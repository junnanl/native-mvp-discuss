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codeName="ThisWorkbook"/>
  <mc:AlternateContent xmlns:mc="http://schemas.openxmlformats.org/markup-compatibility/2006">
    <mc:Choice Requires="x15">
      <x15ac:absPath xmlns:x15ac="http://schemas.microsoft.com/office/spreadsheetml/2010/11/ac" url="D:\default_pro\Desktop\"/>
    </mc:Choice>
  </mc:AlternateContent>
  <xr:revisionPtr revIDLastSave="0" documentId="8_{821377B2-66BE-48E9-BF0A-63DE2AE1B686}" xr6:coauthVersionLast="47" xr6:coauthVersionMax="47" xr10:uidLastSave="{00000000-0000-0000-0000-000000000000}"/>
  <bookViews>
    <workbookView xWindow="-108" yWindow="-108" windowWidth="23256" windowHeight="12456" tabRatio="964" activeTab="1" xr2:uid="{00000000-000D-0000-FFFF-FFFF00000000}"/>
  </bookViews>
  <sheets>
    <sheet name="模型说明" sheetId="29" r:id="rId1"/>
    <sheet name="综合评估表" sheetId="26" r:id="rId2"/>
    <sheet name="收入支出明细表（基础数据表）" sheetId="30" r:id="rId3"/>
    <sheet name="收入支出明细表（含税）" sheetId="34" r:id="rId4"/>
    <sheet name="收入支出明细表（不含税)" sheetId="35" r:id="rId5"/>
    <sheet name="现金流量明细表" sheetId="27" r:id="rId6"/>
    <sheet name="折旧及摊销辅助明细表" sheetId="32" state="hidden" r:id="rId7"/>
  </sheets>
  <externalReferences>
    <externalReference r:id="rId8"/>
  </externalReferences>
  <definedNames>
    <definedName name="_xlnm._FilterDatabase" localSheetId="4" hidden="1">'收入支出明细表（不含税)'!$A$2:$X$84</definedName>
    <definedName name="_xlnm._FilterDatabase" localSheetId="3" hidden="1">'收入支出明细表（含税）'!$A$2:$X$223</definedName>
    <definedName name="_xlnm._FilterDatabase" localSheetId="2" hidden="1">'收入支出明细表（基础数据表）'!$A$2:$AL$223</definedName>
    <definedName name="_xlnm.Print_Area" localSheetId="5">现金流量明细表!$A$1:$Q$40</definedName>
    <definedName name="_xlnm.Print_Area" localSheetId="1">综合评估表!$A$1:$G$31</definedName>
  </definedNames>
  <calcPr calcId="191029"/>
</workbook>
</file>

<file path=xl/calcChain.xml><?xml version="1.0" encoding="utf-8"?>
<calcChain xmlns="http://schemas.openxmlformats.org/spreadsheetml/2006/main">
  <c r="N88" i="32" l="1"/>
  <c r="M88" i="32"/>
  <c r="L88" i="32"/>
  <c r="K88" i="32"/>
  <c r="J88" i="32"/>
  <c r="I88" i="32"/>
  <c r="H88" i="32"/>
  <c r="G88" i="32"/>
  <c r="F88" i="32"/>
  <c r="E88" i="32"/>
  <c r="D88" i="32"/>
  <c r="N87" i="32"/>
  <c r="M87" i="32"/>
  <c r="M89" i="32" s="1"/>
  <c r="L87" i="32"/>
  <c r="L89" i="32" s="1"/>
  <c r="K87" i="32"/>
  <c r="J87" i="32"/>
  <c r="I87" i="32"/>
  <c r="I89" i="32" s="1"/>
  <c r="H87" i="32"/>
  <c r="H89" i="32" s="1"/>
  <c r="G87" i="32"/>
  <c r="G89" i="32" s="1"/>
  <c r="F87" i="32"/>
  <c r="F89" i="32" s="1"/>
  <c r="E87" i="32"/>
  <c r="E89" i="32" s="1"/>
  <c r="P84" i="32"/>
  <c r="O84" i="32"/>
  <c r="O83" i="32"/>
  <c r="N83" i="32" s="1"/>
  <c r="N82" i="32"/>
  <c r="M82" i="32" s="1"/>
  <c r="M81" i="32"/>
  <c r="L81" i="32" s="1"/>
  <c r="L80" i="32"/>
  <c r="K80" i="32" s="1"/>
  <c r="L79" i="32"/>
  <c r="M79" i="32" s="1"/>
  <c r="K79" i="32"/>
  <c r="J79" i="32" s="1"/>
  <c r="L78" i="32"/>
  <c r="M78" i="32" s="1"/>
  <c r="K78" i="32"/>
  <c r="J78" i="32"/>
  <c r="I78" i="32"/>
  <c r="I77" i="32"/>
  <c r="H77" i="32"/>
  <c r="H76" i="32"/>
  <c r="G76" i="32" s="1"/>
  <c r="G75" i="32"/>
  <c r="F75" i="32"/>
  <c r="F74" i="32"/>
  <c r="D73" i="32"/>
  <c r="P68" i="32"/>
  <c r="O68" i="32" s="1"/>
  <c r="O67" i="32"/>
  <c r="N67" i="32" s="1"/>
  <c r="N66" i="32"/>
  <c r="M66" i="32" s="1"/>
  <c r="M65" i="32"/>
  <c r="L65" i="32"/>
  <c r="L64" i="32"/>
  <c r="K64" i="32" s="1"/>
  <c r="K63" i="32"/>
  <c r="J63" i="32" s="1"/>
  <c r="J62" i="32"/>
  <c r="I62" i="32"/>
  <c r="I61" i="32"/>
  <c r="H61" i="32" s="1"/>
  <c r="H60" i="32"/>
  <c r="G60" i="32" s="1"/>
  <c r="G59" i="32"/>
  <c r="F59" i="32" s="1"/>
  <c r="F58" i="32"/>
  <c r="E58" i="32"/>
  <c r="D57" i="32"/>
  <c r="E54" i="32"/>
  <c r="P52" i="32"/>
  <c r="O52" i="32" s="1"/>
  <c r="O51" i="32"/>
  <c r="N51" i="32" s="1"/>
  <c r="N50" i="32"/>
  <c r="M50" i="32" s="1"/>
  <c r="M49" i="32"/>
  <c r="L49" i="32"/>
  <c r="L48" i="32"/>
  <c r="K48" i="32"/>
  <c r="K47" i="32"/>
  <c r="J47" i="32"/>
  <c r="J46" i="32"/>
  <c r="I46" i="32"/>
  <c r="I45" i="32"/>
  <c r="H45" i="32" s="1"/>
  <c r="H44" i="32"/>
  <c r="G44" i="32" s="1"/>
  <c r="G43" i="32"/>
  <c r="F43" i="32"/>
  <c r="F42" i="32"/>
  <c r="F38" i="32" s="1"/>
  <c r="E42" i="32"/>
  <c r="D41" i="32"/>
  <c r="P36" i="32"/>
  <c r="O36" i="32"/>
  <c r="O35" i="32"/>
  <c r="N35" i="32" s="1"/>
  <c r="N34" i="32"/>
  <c r="M34" i="32" s="1"/>
  <c r="M33" i="32"/>
  <c r="L33" i="32"/>
  <c r="L32" i="32"/>
  <c r="K32" i="32"/>
  <c r="M32" i="32" s="1"/>
  <c r="K31" i="32"/>
  <c r="J31" i="32"/>
  <c r="L31" i="32" s="1"/>
  <c r="J30" i="32"/>
  <c r="I30" i="32"/>
  <c r="I29" i="32"/>
  <c r="H29" i="32" s="1"/>
  <c r="H28" i="32"/>
  <c r="G28" i="32" s="1"/>
  <c r="G27" i="32"/>
  <c r="F27" i="32" s="1"/>
  <c r="F26" i="32"/>
  <c r="E26" i="32" s="1"/>
  <c r="D25" i="32"/>
  <c r="P20" i="32"/>
  <c r="O20" i="32" s="1"/>
  <c r="O19" i="32"/>
  <c r="N19" i="32" s="1"/>
  <c r="N18" i="32"/>
  <c r="M18" i="32"/>
  <c r="M17" i="32"/>
  <c r="L17" i="32" s="1"/>
  <c r="L16" i="32"/>
  <c r="K16" i="32" s="1"/>
  <c r="K15" i="32"/>
  <c r="J15" i="32" s="1"/>
  <c r="J14" i="32"/>
  <c r="I14" i="32" s="1"/>
  <c r="I13" i="32"/>
  <c r="H13" i="32"/>
  <c r="H12" i="32"/>
  <c r="G12" i="32" s="1"/>
  <c r="G11" i="32"/>
  <c r="F11" i="32" s="1"/>
  <c r="F10" i="32"/>
  <c r="E10" i="32"/>
  <c r="D9" i="32"/>
  <c r="D87" i="32" s="1"/>
  <c r="D89" i="32" s="1"/>
  <c r="E6" i="32"/>
  <c r="S37" i="35"/>
  <c r="R37" i="35"/>
  <c r="Q37" i="35"/>
  <c r="P37" i="35"/>
  <c r="O37" i="35"/>
  <c r="N37" i="35"/>
  <c r="M37" i="35"/>
  <c r="L37" i="35"/>
  <c r="K37" i="35"/>
  <c r="J37" i="35"/>
  <c r="I37" i="35"/>
  <c r="H37" i="35"/>
  <c r="G37" i="35"/>
  <c r="S36" i="35"/>
  <c r="R36" i="35"/>
  <c r="Q36" i="35"/>
  <c r="P36" i="35"/>
  <c r="O36" i="35"/>
  <c r="N36" i="35"/>
  <c r="M36" i="35"/>
  <c r="L36" i="35"/>
  <c r="K36" i="35"/>
  <c r="J36" i="35"/>
  <c r="I36" i="35"/>
  <c r="H36" i="35"/>
  <c r="G36" i="35"/>
  <c r="S24" i="35"/>
  <c r="R24" i="35"/>
  <c r="Q24" i="35"/>
  <c r="P24" i="35"/>
  <c r="O24" i="35"/>
  <c r="N24" i="35"/>
  <c r="M24" i="35"/>
  <c r="L24" i="35"/>
  <c r="K24" i="35"/>
  <c r="J24" i="35"/>
  <c r="I24" i="35"/>
  <c r="H24" i="35"/>
  <c r="G24" i="35"/>
  <c r="S23" i="35"/>
  <c r="R23" i="35"/>
  <c r="Q23" i="35"/>
  <c r="P23" i="35"/>
  <c r="O23" i="35"/>
  <c r="N23" i="35"/>
  <c r="M23" i="35"/>
  <c r="L23" i="35"/>
  <c r="K23" i="35"/>
  <c r="J23" i="35"/>
  <c r="I23" i="35"/>
  <c r="H23" i="35"/>
  <c r="G23" i="35"/>
  <c r="S22" i="35"/>
  <c r="R22" i="35"/>
  <c r="Q22" i="35"/>
  <c r="P22" i="35"/>
  <c r="O22" i="35"/>
  <c r="N22" i="35"/>
  <c r="M22" i="35"/>
  <c r="L22" i="35"/>
  <c r="K22" i="35"/>
  <c r="J22" i="35"/>
  <c r="I22" i="35"/>
  <c r="H22" i="35"/>
  <c r="G22" i="35"/>
  <c r="H6" i="35"/>
  <c r="G223" i="34"/>
  <c r="F223" i="34"/>
  <c r="E223" i="34"/>
  <c r="S222" i="34"/>
  <c r="R222" i="34"/>
  <c r="Q222" i="34"/>
  <c r="P222" i="34"/>
  <c r="O222" i="34"/>
  <c r="N222" i="34"/>
  <c r="M222" i="34"/>
  <c r="L222" i="34"/>
  <c r="K222" i="34"/>
  <c r="J222" i="34"/>
  <c r="I222" i="34"/>
  <c r="H222" i="34"/>
  <c r="F222" i="34"/>
  <c r="E222" i="34"/>
  <c r="S221" i="34"/>
  <c r="R221" i="34"/>
  <c r="Q221" i="34"/>
  <c r="P221" i="34"/>
  <c r="O221" i="34"/>
  <c r="N221" i="34"/>
  <c r="M221" i="34"/>
  <c r="L221" i="34"/>
  <c r="K221" i="34"/>
  <c r="J221" i="34"/>
  <c r="I221" i="34"/>
  <c r="H221" i="34"/>
  <c r="F221" i="34"/>
  <c r="E221" i="34"/>
  <c r="G220" i="34"/>
  <c r="F220" i="34"/>
  <c r="E220" i="34"/>
  <c r="S219" i="34"/>
  <c r="R219" i="34"/>
  <c r="Q219" i="34"/>
  <c r="P219" i="34"/>
  <c r="O219" i="34"/>
  <c r="N219" i="34"/>
  <c r="M219" i="34"/>
  <c r="L219" i="34"/>
  <c r="K219" i="34"/>
  <c r="J219" i="34"/>
  <c r="I219" i="34"/>
  <c r="H219" i="34"/>
  <c r="F219" i="34"/>
  <c r="E219" i="34"/>
  <c r="S218" i="34"/>
  <c r="R218" i="34"/>
  <c r="Q218" i="34"/>
  <c r="P218" i="34"/>
  <c r="O218" i="34"/>
  <c r="N218" i="34"/>
  <c r="M218" i="34"/>
  <c r="L218" i="34"/>
  <c r="K218" i="34"/>
  <c r="J218" i="34"/>
  <c r="I218" i="34"/>
  <c r="H218" i="34"/>
  <c r="F218" i="34"/>
  <c r="E218" i="34"/>
  <c r="G217" i="34"/>
  <c r="F217" i="34"/>
  <c r="E217" i="34"/>
  <c r="F216" i="34"/>
  <c r="E216" i="34"/>
  <c r="F215" i="34"/>
  <c r="E215" i="34"/>
  <c r="S214" i="34"/>
  <c r="R214" i="34"/>
  <c r="Q214" i="34"/>
  <c r="P214" i="34"/>
  <c r="O214" i="34"/>
  <c r="N214" i="34"/>
  <c r="M214" i="34"/>
  <c r="L214" i="34"/>
  <c r="K214" i="34"/>
  <c r="J214" i="34"/>
  <c r="I214" i="34"/>
  <c r="H214" i="34"/>
  <c r="G214" i="34"/>
  <c r="F214" i="34"/>
  <c r="E214" i="34"/>
  <c r="G213" i="34"/>
  <c r="F213" i="34"/>
  <c r="E213" i="34"/>
  <c r="S212" i="34"/>
  <c r="R212" i="34"/>
  <c r="Q212" i="34"/>
  <c r="P212" i="34"/>
  <c r="O212" i="34"/>
  <c r="N212" i="34"/>
  <c r="M212" i="34"/>
  <c r="L212" i="34"/>
  <c r="K212" i="34"/>
  <c r="J212" i="34"/>
  <c r="I212" i="34"/>
  <c r="H212" i="34"/>
  <c r="F212" i="34"/>
  <c r="E212" i="34"/>
  <c r="S211" i="34"/>
  <c r="R211" i="34"/>
  <c r="Q211" i="34"/>
  <c r="P211" i="34"/>
  <c r="O211" i="34"/>
  <c r="N211" i="34"/>
  <c r="M211" i="34"/>
  <c r="L211" i="34"/>
  <c r="K211" i="34"/>
  <c r="J211" i="34"/>
  <c r="I211" i="34"/>
  <c r="H211" i="34"/>
  <c r="F211" i="34"/>
  <c r="E211" i="34"/>
  <c r="G210" i="34"/>
  <c r="F210" i="34"/>
  <c r="E210" i="34"/>
  <c r="S209" i="34"/>
  <c r="R209" i="34"/>
  <c r="Q209" i="34"/>
  <c r="P209" i="34"/>
  <c r="O209" i="34"/>
  <c r="N209" i="34"/>
  <c r="M209" i="34"/>
  <c r="L209" i="34"/>
  <c r="K209" i="34"/>
  <c r="J209" i="34"/>
  <c r="I209" i="34"/>
  <c r="H209" i="34"/>
  <c r="F209" i="34"/>
  <c r="E209" i="34"/>
  <c r="S208" i="34"/>
  <c r="R208" i="34"/>
  <c r="Q208" i="34"/>
  <c r="P208" i="34"/>
  <c r="O208" i="34"/>
  <c r="N208" i="34"/>
  <c r="M208" i="34"/>
  <c r="L208" i="34"/>
  <c r="K208" i="34"/>
  <c r="J208" i="34"/>
  <c r="I208" i="34"/>
  <c r="H208" i="34"/>
  <c r="F208" i="34"/>
  <c r="E208" i="34"/>
  <c r="G207" i="34"/>
  <c r="F207" i="34"/>
  <c r="E207" i="34"/>
  <c r="S206" i="34"/>
  <c r="R206" i="34"/>
  <c r="Q206" i="34"/>
  <c r="P206" i="34"/>
  <c r="O206" i="34"/>
  <c r="N206" i="34"/>
  <c r="M206" i="34"/>
  <c r="L206" i="34"/>
  <c r="K206" i="34"/>
  <c r="J206" i="34"/>
  <c r="I206" i="34"/>
  <c r="H206" i="34"/>
  <c r="F206" i="34"/>
  <c r="E206" i="34"/>
  <c r="S205" i="34"/>
  <c r="R205" i="34"/>
  <c r="Q205" i="34"/>
  <c r="P205" i="34"/>
  <c r="O205" i="34"/>
  <c r="N205" i="34"/>
  <c r="M205" i="34"/>
  <c r="L205" i="34"/>
  <c r="K205" i="34"/>
  <c r="J205" i="34"/>
  <c r="I205" i="34"/>
  <c r="H205" i="34"/>
  <c r="F205" i="34"/>
  <c r="E205" i="34"/>
  <c r="G204" i="34"/>
  <c r="F204" i="34"/>
  <c r="E204" i="34"/>
  <c r="F203" i="34"/>
  <c r="E203" i="34"/>
  <c r="F202" i="34"/>
  <c r="E202" i="34"/>
  <c r="G201" i="34"/>
  <c r="F201" i="34"/>
  <c r="E201" i="34"/>
  <c r="S200" i="34"/>
  <c r="R200" i="34"/>
  <c r="Q200" i="34"/>
  <c r="P200" i="34"/>
  <c r="O200" i="34"/>
  <c r="N200" i="34"/>
  <c r="M200" i="34"/>
  <c r="L200" i="34"/>
  <c r="K200" i="34"/>
  <c r="J200" i="34"/>
  <c r="I200" i="34"/>
  <c r="H200" i="34"/>
  <c r="F200" i="34"/>
  <c r="E200" i="34"/>
  <c r="S199" i="34"/>
  <c r="R199" i="34"/>
  <c r="Q199" i="34"/>
  <c r="P199" i="34"/>
  <c r="O199" i="34"/>
  <c r="N199" i="34"/>
  <c r="M199" i="34"/>
  <c r="L199" i="34"/>
  <c r="K199" i="34"/>
  <c r="J199" i="34"/>
  <c r="I199" i="34"/>
  <c r="H199" i="34"/>
  <c r="F199" i="34"/>
  <c r="E199" i="34"/>
  <c r="G198" i="34"/>
  <c r="F198" i="34"/>
  <c r="E198" i="34"/>
  <c r="S197" i="34"/>
  <c r="R197" i="34"/>
  <c r="Q197" i="34"/>
  <c r="P197" i="34"/>
  <c r="O197" i="34"/>
  <c r="N197" i="34"/>
  <c r="M197" i="34"/>
  <c r="L197" i="34"/>
  <c r="K197" i="34"/>
  <c r="J197" i="34"/>
  <c r="I197" i="34"/>
  <c r="H197" i="34"/>
  <c r="F197" i="34"/>
  <c r="E197" i="34"/>
  <c r="S196" i="34"/>
  <c r="R196" i="34"/>
  <c r="Q196" i="34"/>
  <c r="P196" i="34"/>
  <c r="O196" i="34"/>
  <c r="N196" i="34"/>
  <c r="M196" i="34"/>
  <c r="L196" i="34"/>
  <c r="K196" i="34"/>
  <c r="J196" i="34"/>
  <c r="I196" i="34"/>
  <c r="H196" i="34"/>
  <c r="F196" i="34"/>
  <c r="E196" i="34"/>
  <c r="G195" i="34"/>
  <c r="F195" i="34"/>
  <c r="E195" i="34"/>
  <c r="F194" i="34"/>
  <c r="E194" i="34"/>
  <c r="F193" i="34"/>
  <c r="E193" i="34"/>
  <c r="G192" i="34"/>
  <c r="F192" i="34"/>
  <c r="E192" i="34"/>
  <c r="F191" i="34"/>
  <c r="E191" i="34"/>
  <c r="F190" i="34"/>
  <c r="E190" i="34"/>
  <c r="S189" i="34"/>
  <c r="R189" i="34"/>
  <c r="Q189" i="34"/>
  <c r="P189" i="34"/>
  <c r="O189" i="34"/>
  <c r="N189" i="34"/>
  <c r="M189" i="34"/>
  <c r="L189" i="34"/>
  <c r="K189" i="34"/>
  <c r="J189" i="34"/>
  <c r="I189" i="34"/>
  <c r="H189" i="34"/>
  <c r="G189" i="34"/>
  <c r="F189" i="34"/>
  <c r="E189" i="34"/>
  <c r="G188" i="34"/>
  <c r="F188" i="34"/>
  <c r="E188" i="34"/>
  <c r="S187" i="34"/>
  <c r="R187" i="34"/>
  <c r="Q187" i="34"/>
  <c r="P187" i="34"/>
  <c r="O187" i="34"/>
  <c r="N187" i="34"/>
  <c r="M187" i="34"/>
  <c r="L187" i="34"/>
  <c r="K187" i="34"/>
  <c r="J187" i="34"/>
  <c r="I187" i="34"/>
  <c r="H187" i="34"/>
  <c r="F187" i="34"/>
  <c r="E187" i="34"/>
  <c r="S186" i="34"/>
  <c r="R186" i="34"/>
  <c r="Q186" i="34"/>
  <c r="P186" i="34"/>
  <c r="O186" i="34"/>
  <c r="N186" i="34"/>
  <c r="M186" i="34"/>
  <c r="L186" i="34"/>
  <c r="K186" i="34"/>
  <c r="J186" i="34"/>
  <c r="I186" i="34"/>
  <c r="H186" i="34"/>
  <c r="F186" i="34"/>
  <c r="E186" i="34"/>
  <c r="G185" i="34"/>
  <c r="F185" i="34"/>
  <c r="E185" i="34"/>
  <c r="S184" i="34"/>
  <c r="R184" i="34"/>
  <c r="Q184" i="34"/>
  <c r="P184" i="34"/>
  <c r="O184" i="34"/>
  <c r="N184" i="34"/>
  <c r="M184" i="34"/>
  <c r="L184" i="34"/>
  <c r="K184" i="34"/>
  <c r="J184" i="34"/>
  <c r="I184" i="34"/>
  <c r="H184" i="34"/>
  <c r="F184" i="34"/>
  <c r="E184" i="34"/>
  <c r="S183" i="34"/>
  <c r="R183" i="34"/>
  <c r="Q183" i="34"/>
  <c r="P183" i="34"/>
  <c r="O183" i="34"/>
  <c r="N183" i="34"/>
  <c r="M183" i="34"/>
  <c r="L183" i="34"/>
  <c r="K183" i="34"/>
  <c r="J183" i="34"/>
  <c r="I183" i="34"/>
  <c r="H183" i="34"/>
  <c r="F183" i="34"/>
  <c r="E183" i="34"/>
  <c r="G182" i="34"/>
  <c r="F182" i="34"/>
  <c r="E182" i="34"/>
  <c r="S181" i="34"/>
  <c r="R181" i="34"/>
  <c r="Q181" i="34"/>
  <c r="P181" i="34"/>
  <c r="O181" i="34"/>
  <c r="N181" i="34"/>
  <c r="M181" i="34"/>
  <c r="L181" i="34"/>
  <c r="K181" i="34"/>
  <c r="J181" i="34"/>
  <c r="I181" i="34"/>
  <c r="H181" i="34"/>
  <c r="F181" i="34"/>
  <c r="E181" i="34"/>
  <c r="S180" i="34"/>
  <c r="R180" i="34"/>
  <c r="Q180" i="34"/>
  <c r="P180" i="34"/>
  <c r="O180" i="34"/>
  <c r="N180" i="34"/>
  <c r="M180" i="34"/>
  <c r="L180" i="34"/>
  <c r="K180" i="34"/>
  <c r="J180" i="34"/>
  <c r="I180" i="34"/>
  <c r="H180" i="34"/>
  <c r="F180" i="34"/>
  <c r="E180" i="34"/>
  <c r="G179" i="34"/>
  <c r="F179" i="34"/>
  <c r="E179" i="34"/>
  <c r="S178" i="34"/>
  <c r="R178" i="34"/>
  <c r="Q178" i="34"/>
  <c r="P178" i="34"/>
  <c r="O178" i="34"/>
  <c r="N178" i="34"/>
  <c r="M178" i="34"/>
  <c r="L178" i="34"/>
  <c r="K178" i="34"/>
  <c r="J178" i="34"/>
  <c r="I178" i="34"/>
  <c r="H178" i="34"/>
  <c r="F178" i="34"/>
  <c r="E178" i="34"/>
  <c r="S177" i="34"/>
  <c r="R177" i="34"/>
  <c r="Q177" i="34"/>
  <c r="P177" i="34"/>
  <c r="O177" i="34"/>
  <c r="N177" i="34"/>
  <c r="M177" i="34"/>
  <c r="L177" i="34"/>
  <c r="K177" i="34"/>
  <c r="J177" i="34"/>
  <c r="I177" i="34"/>
  <c r="H177" i="34"/>
  <c r="F177" i="34"/>
  <c r="E177" i="34"/>
  <c r="G176" i="34"/>
  <c r="F176" i="34"/>
  <c r="E176" i="34"/>
  <c r="S175" i="34"/>
  <c r="R175" i="34"/>
  <c r="Q175" i="34"/>
  <c r="P175" i="34"/>
  <c r="O175" i="34"/>
  <c r="N175" i="34"/>
  <c r="M175" i="34"/>
  <c r="L175" i="34"/>
  <c r="K175" i="34"/>
  <c r="J175" i="34"/>
  <c r="I175" i="34"/>
  <c r="H175" i="34"/>
  <c r="F175" i="34"/>
  <c r="E175" i="34"/>
  <c r="S174" i="34"/>
  <c r="R174" i="34"/>
  <c r="Q174" i="34"/>
  <c r="P174" i="34"/>
  <c r="O174" i="34"/>
  <c r="N174" i="34"/>
  <c r="M174" i="34"/>
  <c r="L174" i="34"/>
  <c r="K174" i="34"/>
  <c r="J174" i="34"/>
  <c r="I174" i="34"/>
  <c r="H174" i="34"/>
  <c r="F174" i="34"/>
  <c r="E174" i="34"/>
  <c r="G173" i="34"/>
  <c r="F173" i="34"/>
  <c r="E173" i="34"/>
  <c r="F172" i="34"/>
  <c r="E172" i="34"/>
  <c r="F171" i="34"/>
  <c r="E171" i="34"/>
  <c r="S170" i="34"/>
  <c r="R170" i="34"/>
  <c r="Q170" i="34"/>
  <c r="P170" i="34"/>
  <c r="O170" i="34"/>
  <c r="N170" i="34"/>
  <c r="M170" i="34"/>
  <c r="L170" i="34"/>
  <c r="K170" i="34"/>
  <c r="J170" i="34"/>
  <c r="I170" i="34"/>
  <c r="H170" i="34"/>
  <c r="G170" i="34"/>
  <c r="F170" i="34"/>
  <c r="E170" i="34"/>
  <c r="G169" i="34"/>
  <c r="F169" i="34"/>
  <c r="E169" i="34"/>
  <c r="S168" i="34"/>
  <c r="R168" i="34"/>
  <c r="Q168" i="34"/>
  <c r="P168" i="34"/>
  <c r="O168" i="34"/>
  <c r="N168" i="34"/>
  <c r="M168" i="34"/>
  <c r="L168" i="34"/>
  <c r="K168" i="34"/>
  <c r="J168" i="34"/>
  <c r="I168" i="34"/>
  <c r="H168" i="34"/>
  <c r="F168" i="34"/>
  <c r="E168" i="34"/>
  <c r="S167" i="34"/>
  <c r="R167" i="34"/>
  <c r="Q167" i="34"/>
  <c r="P167" i="34"/>
  <c r="O167" i="34"/>
  <c r="N167" i="34"/>
  <c r="M167" i="34"/>
  <c r="L167" i="34"/>
  <c r="K167" i="34"/>
  <c r="J167" i="34"/>
  <c r="I167" i="34"/>
  <c r="H167" i="34"/>
  <c r="F167" i="34"/>
  <c r="E167" i="34"/>
  <c r="G166" i="34"/>
  <c r="F166" i="34"/>
  <c r="E166" i="34"/>
  <c r="S165" i="34"/>
  <c r="R165" i="34"/>
  <c r="Q165" i="34"/>
  <c r="P165" i="34"/>
  <c r="O165" i="34"/>
  <c r="N165" i="34"/>
  <c r="M165" i="34"/>
  <c r="L165" i="34"/>
  <c r="K165" i="34"/>
  <c r="J165" i="34"/>
  <c r="I165" i="34"/>
  <c r="H165" i="34"/>
  <c r="F165" i="34"/>
  <c r="E165" i="34"/>
  <c r="S164" i="34"/>
  <c r="R164" i="34"/>
  <c r="Q164" i="34"/>
  <c r="P164" i="34"/>
  <c r="O164" i="34"/>
  <c r="N164" i="34"/>
  <c r="M164" i="34"/>
  <c r="L164" i="34"/>
  <c r="K164" i="34"/>
  <c r="J164" i="34"/>
  <c r="I164" i="34"/>
  <c r="H164" i="34"/>
  <c r="G164" i="34"/>
  <c r="F164" i="34"/>
  <c r="E164" i="34"/>
  <c r="G163" i="34"/>
  <c r="F163" i="34"/>
  <c r="E163" i="34"/>
  <c r="S162" i="34"/>
  <c r="R162" i="34"/>
  <c r="Q162" i="34"/>
  <c r="P162" i="34"/>
  <c r="O162" i="34"/>
  <c r="N162" i="34"/>
  <c r="M162" i="34"/>
  <c r="L162" i="34"/>
  <c r="K162" i="34"/>
  <c r="J162" i="34"/>
  <c r="I162" i="34"/>
  <c r="H162" i="34"/>
  <c r="F162" i="34"/>
  <c r="E162" i="34"/>
  <c r="S161" i="34"/>
  <c r="R161" i="34"/>
  <c r="Q161" i="34"/>
  <c r="P161" i="34"/>
  <c r="O161" i="34"/>
  <c r="N161" i="34"/>
  <c r="M161" i="34"/>
  <c r="L161" i="34"/>
  <c r="K161" i="34"/>
  <c r="J161" i="34"/>
  <c r="I161" i="34"/>
  <c r="H161" i="34"/>
  <c r="F161" i="34"/>
  <c r="E161" i="34"/>
  <c r="F160" i="34"/>
  <c r="E160" i="34"/>
  <c r="S159" i="34"/>
  <c r="R159" i="34"/>
  <c r="Q159" i="34"/>
  <c r="P159" i="34"/>
  <c r="O159" i="34"/>
  <c r="N159" i="34"/>
  <c r="M159" i="34"/>
  <c r="L159" i="34"/>
  <c r="K159" i="34"/>
  <c r="J159" i="34"/>
  <c r="I159" i="34"/>
  <c r="H159" i="34"/>
  <c r="F159" i="34"/>
  <c r="E159" i="34"/>
  <c r="S158" i="34"/>
  <c r="R158" i="34"/>
  <c r="Q158" i="34"/>
  <c r="P158" i="34"/>
  <c r="O158" i="34"/>
  <c r="N158" i="34"/>
  <c r="M158" i="34"/>
  <c r="L158" i="34"/>
  <c r="K158" i="34"/>
  <c r="J158" i="34"/>
  <c r="I158" i="34"/>
  <c r="H158" i="34"/>
  <c r="F158" i="34"/>
  <c r="E158" i="34"/>
  <c r="G157" i="34"/>
  <c r="F157" i="34"/>
  <c r="E157" i="34"/>
  <c r="S156" i="34"/>
  <c r="R156" i="34"/>
  <c r="Q156" i="34"/>
  <c r="P156" i="34"/>
  <c r="O156" i="34"/>
  <c r="N156" i="34"/>
  <c r="M156" i="34"/>
  <c r="L156" i="34"/>
  <c r="K156" i="34"/>
  <c r="J156" i="34"/>
  <c r="I156" i="34"/>
  <c r="H156" i="34"/>
  <c r="F156" i="34"/>
  <c r="E156" i="34"/>
  <c r="S155" i="34"/>
  <c r="R155" i="34"/>
  <c r="Q155" i="34"/>
  <c r="P155" i="34"/>
  <c r="O155" i="34"/>
  <c r="N155" i="34"/>
  <c r="M155" i="34"/>
  <c r="L155" i="34"/>
  <c r="K155" i="34"/>
  <c r="J155" i="34"/>
  <c r="I155" i="34"/>
  <c r="H155" i="34"/>
  <c r="F155" i="34"/>
  <c r="E155" i="34"/>
  <c r="G154" i="34"/>
  <c r="F154" i="34"/>
  <c r="E154" i="34"/>
  <c r="S153" i="34"/>
  <c r="R153" i="34"/>
  <c r="Q153" i="34"/>
  <c r="P153" i="34"/>
  <c r="O153" i="34"/>
  <c r="N153" i="34"/>
  <c r="M153" i="34"/>
  <c r="L153" i="34"/>
  <c r="K153" i="34"/>
  <c r="J153" i="34"/>
  <c r="I153" i="34"/>
  <c r="H153" i="34"/>
  <c r="F153" i="34"/>
  <c r="E153" i="34"/>
  <c r="S152" i="34"/>
  <c r="R152" i="34"/>
  <c r="Q152" i="34"/>
  <c r="P152" i="34"/>
  <c r="O152" i="34"/>
  <c r="N152" i="34"/>
  <c r="M152" i="34"/>
  <c r="L152" i="34"/>
  <c r="K152" i="34"/>
  <c r="J152" i="34"/>
  <c r="I152" i="34"/>
  <c r="H152" i="34"/>
  <c r="F152" i="34"/>
  <c r="E152" i="34"/>
  <c r="G151" i="34"/>
  <c r="F151" i="34"/>
  <c r="E151" i="34"/>
  <c r="S150" i="34"/>
  <c r="R150" i="34"/>
  <c r="Q150" i="34"/>
  <c r="P150" i="34"/>
  <c r="O150" i="34"/>
  <c r="N150" i="34"/>
  <c r="M150" i="34"/>
  <c r="L150" i="34"/>
  <c r="K150" i="34"/>
  <c r="J150" i="34"/>
  <c r="I150" i="34"/>
  <c r="H150" i="34"/>
  <c r="F150" i="34"/>
  <c r="E150" i="34"/>
  <c r="S149" i="34"/>
  <c r="R149" i="34"/>
  <c r="Q149" i="34"/>
  <c r="P149" i="34"/>
  <c r="O149" i="34"/>
  <c r="N149" i="34"/>
  <c r="M149" i="34"/>
  <c r="L149" i="34"/>
  <c r="K149" i="34"/>
  <c r="J149" i="34"/>
  <c r="I149" i="34"/>
  <c r="H149" i="34"/>
  <c r="F149" i="34"/>
  <c r="E149" i="34"/>
  <c r="G148" i="34"/>
  <c r="F148" i="34"/>
  <c r="E148" i="34"/>
  <c r="S147" i="34"/>
  <c r="R147" i="34"/>
  <c r="Q147" i="34"/>
  <c r="P147" i="34"/>
  <c r="O147" i="34"/>
  <c r="N147" i="34"/>
  <c r="M147" i="34"/>
  <c r="L147" i="34"/>
  <c r="K147" i="34"/>
  <c r="J147" i="34"/>
  <c r="I147" i="34"/>
  <c r="H147" i="34"/>
  <c r="F147" i="34"/>
  <c r="E147" i="34"/>
  <c r="S146" i="34"/>
  <c r="R146" i="34"/>
  <c r="Q146" i="34"/>
  <c r="P146" i="34"/>
  <c r="O146" i="34"/>
  <c r="N146" i="34"/>
  <c r="M146" i="34"/>
  <c r="L146" i="34"/>
  <c r="K146" i="34"/>
  <c r="J146" i="34"/>
  <c r="I146" i="34"/>
  <c r="H146" i="34"/>
  <c r="F146" i="34"/>
  <c r="E146" i="34"/>
  <c r="G145" i="34"/>
  <c r="F145" i="34"/>
  <c r="E145" i="34"/>
  <c r="F144" i="34"/>
  <c r="E144" i="34"/>
  <c r="F143" i="34"/>
  <c r="E143" i="34"/>
  <c r="G142" i="34"/>
  <c r="F142" i="34"/>
  <c r="E142" i="34"/>
  <c r="F141" i="34"/>
  <c r="E141" i="34"/>
  <c r="F140" i="34"/>
  <c r="E140" i="34"/>
  <c r="G139" i="34"/>
  <c r="F139" i="34"/>
  <c r="E139" i="34"/>
  <c r="G138" i="34"/>
  <c r="F138" i="34"/>
  <c r="E138" i="34"/>
  <c r="S137" i="34"/>
  <c r="R137" i="34"/>
  <c r="Q137" i="34"/>
  <c r="P137" i="34"/>
  <c r="O137" i="34"/>
  <c r="N137" i="34"/>
  <c r="M137" i="34"/>
  <c r="L137" i="34"/>
  <c r="K137" i="34"/>
  <c r="J137" i="34"/>
  <c r="I137" i="34"/>
  <c r="H137" i="34"/>
  <c r="F137" i="34"/>
  <c r="E137" i="34"/>
  <c r="G136" i="34"/>
  <c r="F136" i="34"/>
  <c r="E136" i="34"/>
  <c r="G135" i="34"/>
  <c r="F135" i="34"/>
  <c r="E135" i="34"/>
  <c r="S134" i="34"/>
  <c r="R134" i="34"/>
  <c r="Q134" i="34"/>
  <c r="P134" i="34"/>
  <c r="O134" i="34"/>
  <c r="N134" i="34"/>
  <c r="M134" i="34"/>
  <c r="L134" i="34"/>
  <c r="K134" i="34"/>
  <c r="J134" i="34"/>
  <c r="I134" i="34"/>
  <c r="H134" i="34"/>
  <c r="F134" i="34"/>
  <c r="E134" i="34"/>
  <c r="G133" i="34"/>
  <c r="F133" i="34"/>
  <c r="E133" i="34"/>
  <c r="G132" i="34"/>
  <c r="F132" i="34"/>
  <c r="E132" i="34"/>
  <c r="S131" i="34"/>
  <c r="R131" i="34"/>
  <c r="Q131" i="34"/>
  <c r="P131" i="34"/>
  <c r="O131" i="34"/>
  <c r="N131" i="34"/>
  <c r="M131" i="34"/>
  <c r="L131" i="34"/>
  <c r="K131" i="34"/>
  <c r="J131" i="34"/>
  <c r="I131" i="34"/>
  <c r="H131" i="34"/>
  <c r="F131" i="34"/>
  <c r="E131" i="34"/>
  <c r="G130" i="34"/>
  <c r="F130" i="34"/>
  <c r="E130" i="34"/>
  <c r="G129" i="34"/>
  <c r="F129" i="34"/>
  <c r="E129" i="34"/>
  <c r="S128" i="34"/>
  <c r="R128" i="34"/>
  <c r="Q128" i="34"/>
  <c r="P128" i="34"/>
  <c r="O128" i="34"/>
  <c r="N128" i="34"/>
  <c r="M128" i="34"/>
  <c r="L128" i="34"/>
  <c r="K128" i="34"/>
  <c r="J128" i="34"/>
  <c r="I128" i="34"/>
  <c r="H128" i="34"/>
  <c r="F128" i="34"/>
  <c r="E128" i="34"/>
  <c r="G127" i="34"/>
  <c r="F127" i="34"/>
  <c r="E127" i="34"/>
  <c r="G126" i="34"/>
  <c r="F126" i="34"/>
  <c r="E126" i="34"/>
  <c r="S125" i="34"/>
  <c r="R125" i="34"/>
  <c r="Q125" i="34"/>
  <c r="P125" i="34"/>
  <c r="O125" i="34"/>
  <c r="N125" i="34"/>
  <c r="M125" i="34"/>
  <c r="L125" i="34"/>
  <c r="K125" i="34"/>
  <c r="J125" i="34"/>
  <c r="I125" i="34"/>
  <c r="H125" i="34"/>
  <c r="F125" i="34"/>
  <c r="E125" i="34"/>
  <c r="G124" i="34"/>
  <c r="F124" i="34"/>
  <c r="E124" i="34"/>
  <c r="G123" i="34"/>
  <c r="F123" i="34"/>
  <c r="E123" i="34"/>
  <c r="F122" i="34"/>
  <c r="E122" i="34"/>
  <c r="F121" i="34"/>
  <c r="E121" i="34"/>
  <c r="G120" i="34"/>
  <c r="F120" i="34"/>
  <c r="E120" i="34"/>
  <c r="G119" i="34"/>
  <c r="F119" i="34"/>
  <c r="E119" i="34"/>
  <c r="S118" i="34"/>
  <c r="R118" i="34"/>
  <c r="Q118" i="34"/>
  <c r="P118" i="34"/>
  <c r="O118" i="34"/>
  <c r="N118" i="34"/>
  <c r="M118" i="34"/>
  <c r="L118" i="34"/>
  <c r="K118" i="34"/>
  <c r="J118" i="34"/>
  <c r="I118" i="34"/>
  <c r="H118" i="34"/>
  <c r="F118" i="34"/>
  <c r="E118" i="34"/>
  <c r="G117" i="34"/>
  <c r="F117" i="34"/>
  <c r="E117" i="34"/>
  <c r="G116" i="34"/>
  <c r="F116" i="34"/>
  <c r="E116" i="34"/>
  <c r="S115" i="34"/>
  <c r="R115" i="34"/>
  <c r="Q115" i="34"/>
  <c r="P115" i="34"/>
  <c r="O115" i="34"/>
  <c r="N115" i="34"/>
  <c r="M115" i="34"/>
  <c r="L115" i="34"/>
  <c r="K115" i="34"/>
  <c r="J115" i="34"/>
  <c r="I115" i="34"/>
  <c r="H115" i="34"/>
  <c r="F115" i="34"/>
  <c r="E115" i="34"/>
  <c r="G114" i="34"/>
  <c r="F114" i="34"/>
  <c r="E114" i="34"/>
  <c r="G113" i="34"/>
  <c r="F113" i="34"/>
  <c r="E113" i="34"/>
  <c r="S112" i="34"/>
  <c r="R112" i="34"/>
  <c r="Q112" i="34"/>
  <c r="P112" i="34"/>
  <c r="O112" i="34"/>
  <c r="N112" i="34"/>
  <c r="M112" i="34"/>
  <c r="L112" i="34"/>
  <c r="K112" i="34"/>
  <c r="J112" i="34"/>
  <c r="I112" i="34"/>
  <c r="H112" i="34"/>
  <c r="F112" i="34"/>
  <c r="E112" i="34"/>
  <c r="G111" i="34"/>
  <c r="F111" i="34"/>
  <c r="E111" i="34"/>
  <c r="G110" i="34"/>
  <c r="F110" i="34"/>
  <c r="E110" i="34"/>
  <c r="S109" i="34"/>
  <c r="R109" i="34"/>
  <c r="Q109" i="34"/>
  <c r="P109" i="34"/>
  <c r="O109" i="34"/>
  <c r="N109" i="34"/>
  <c r="M109" i="34"/>
  <c r="L109" i="34"/>
  <c r="K109" i="34"/>
  <c r="J109" i="34"/>
  <c r="I109" i="34"/>
  <c r="H109" i="34"/>
  <c r="F109" i="34"/>
  <c r="E109" i="34"/>
  <c r="G108" i="34"/>
  <c r="F108" i="34"/>
  <c r="E108" i="34"/>
  <c r="G107" i="34"/>
  <c r="F107" i="34"/>
  <c r="E107" i="34"/>
  <c r="S106" i="34"/>
  <c r="R106" i="34"/>
  <c r="Q106" i="34"/>
  <c r="P106" i="34"/>
  <c r="O106" i="34"/>
  <c r="N106" i="34"/>
  <c r="M106" i="34"/>
  <c r="L106" i="34"/>
  <c r="K106" i="34"/>
  <c r="J106" i="34"/>
  <c r="I106" i="34"/>
  <c r="H106" i="34"/>
  <c r="F106" i="34"/>
  <c r="E106" i="34"/>
  <c r="G105" i="34"/>
  <c r="F105" i="34"/>
  <c r="E105" i="34"/>
  <c r="G104" i="34"/>
  <c r="F104" i="34"/>
  <c r="E104" i="34"/>
  <c r="S103" i="34"/>
  <c r="R103" i="34"/>
  <c r="Q103" i="34"/>
  <c r="P103" i="34"/>
  <c r="O103" i="34"/>
  <c r="N103" i="34"/>
  <c r="M103" i="34"/>
  <c r="L103" i="34"/>
  <c r="K103" i="34"/>
  <c r="J103" i="34"/>
  <c r="I103" i="34"/>
  <c r="H103" i="34"/>
  <c r="F103" i="34"/>
  <c r="E103" i="34"/>
  <c r="G102" i="34"/>
  <c r="F102" i="34"/>
  <c r="E102" i="34"/>
  <c r="G101" i="34"/>
  <c r="F101" i="34"/>
  <c r="E101" i="34"/>
  <c r="F100" i="34"/>
  <c r="E100" i="34"/>
  <c r="F99" i="34"/>
  <c r="E99" i="34"/>
  <c r="G98" i="34"/>
  <c r="F98" i="34"/>
  <c r="E98" i="34"/>
  <c r="F97" i="34"/>
  <c r="E97" i="34"/>
  <c r="F96" i="34"/>
  <c r="E96" i="34"/>
  <c r="S95" i="34"/>
  <c r="R95" i="34"/>
  <c r="Q95" i="34"/>
  <c r="P95" i="34"/>
  <c r="O95" i="34"/>
  <c r="N95" i="34"/>
  <c r="M95" i="34"/>
  <c r="L95" i="34"/>
  <c r="K95" i="34"/>
  <c r="J95" i="34"/>
  <c r="I95" i="34"/>
  <c r="H95" i="34"/>
  <c r="G95" i="34"/>
  <c r="F95" i="34"/>
  <c r="E95" i="34"/>
  <c r="S94" i="34"/>
  <c r="R94" i="34"/>
  <c r="Q94" i="34"/>
  <c r="P94" i="34"/>
  <c r="O94" i="34"/>
  <c r="N94" i="34"/>
  <c r="M94" i="34"/>
  <c r="L94" i="34"/>
  <c r="K94" i="34"/>
  <c r="J94" i="34"/>
  <c r="I94" i="34"/>
  <c r="H94" i="34"/>
  <c r="G94" i="34"/>
  <c r="F94" i="34"/>
  <c r="E94" i="34"/>
  <c r="G93" i="34"/>
  <c r="F93" i="34"/>
  <c r="E93" i="34"/>
  <c r="S92" i="34"/>
  <c r="R92" i="34"/>
  <c r="Q92" i="34"/>
  <c r="P92" i="34"/>
  <c r="O92" i="34"/>
  <c r="N92" i="34"/>
  <c r="M92" i="34"/>
  <c r="L92" i="34"/>
  <c r="K92" i="34"/>
  <c r="J92" i="34"/>
  <c r="I92" i="34"/>
  <c r="H92" i="34"/>
  <c r="F92" i="34"/>
  <c r="E92" i="34"/>
  <c r="S91" i="34"/>
  <c r="R91" i="34"/>
  <c r="Q91" i="34"/>
  <c r="P91" i="34"/>
  <c r="O91" i="34"/>
  <c r="N91" i="34"/>
  <c r="M91" i="34"/>
  <c r="L91" i="34"/>
  <c r="K91" i="34"/>
  <c r="J91" i="34"/>
  <c r="I91" i="34"/>
  <c r="H91" i="34"/>
  <c r="F91" i="34"/>
  <c r="E91" i="34"/>
  <c r="G90" i="34"/>
  <c r="F90" i="34"/>
  <c r="E90" i="34"/>
  <c r="S89" i="34"/>
  <c r="R89" i="34"/>
  <c r="Q89" i="34"/>
  <c r="P89" i="34"/>
  <c r="O89" i="34"/>
  <c r="N89" i="34"/>
  <c r="M89" i="34"/>
  <c r="L89" i="34"/>
  <c r="K89" i="34"/>
  <c r="J89" i="34"/>
  <c r="I89" i="34"/>
  <c r="H89" i="34"/>
  <c r="F89" i="34"/>
  <c r="E89" i="34"/>
  <c r="S88" i="34"/>
  <c r="R88" i="34"/>
  <c r="Q88" i="34"/>
  <c r="P88" i="34"/>
  <c r="O88" i="34"/>
  <c r="N88" i="34"/>
  <c r="M88" i="34"/>
  <c r="L88" i="34"/>
  <c r="K88" i="34"/>
  <c r="J88" i="34"/>
  <c r="I88" i="34"/>
  <c r="H88" i="34"/>
  <c r="F88" i="34"/>
  <c r="E88" i="34"/>
  <c r="G87" i="34"/>
  <c r="F87" i="34"/>
  <c r="E87" i="34"/>
  <c r="S86" i="34"/>
  <c r="R86" i="34"/>
  <c r="Q86" i="34"/>
  <c r="P86" i="34"/>
  <c r="O86" i="34"/>
  <c r="N86" i="34"/>
  <c r="M86" i="34"/>
  <c r="L86" i="34"/>
  <c r="K86" i="34"/>
  <c r="J86" i="34"/>
  <c r="I86" i="34"/>
  <c r="H86" i="34"/>
  <c r="F86" i="34"/>
  <c r="E86" i="34"/>
  <c r="S85" i="34"/>
  <c r="R85" i="34"/>
  <c r="Q85" i="34"/>
  <c r="P85" i="34"/>
  <c r="O85" i="34"/>
  <c r="N85" i="34"/>
  <c r="M85" i="34"/>
  <c r="L85" i="34"/>
  <c r="K85" i="34"/>
  <c r="J85" i="34"/>
  <c r="I85" i="34"/>
  <c r="H85" i="34"/>
  <c r="F85" i="34"/>
  <c r="E85" i="34"/>
  <c r="G84" i="34"/>
  <c r="F84" i="34"/>
  <c r="E84" i="34"/>
  <c r="S83" i="34"/>
  <c r="R83" i="34"/>
  <c r="Q83" i="34"/>
  <c r="P83" i="34"/>
  <c r="O83" i="34"/>
  <c r="N83" i="34"/>
  <c r="M83" i="34"/>
  <c r="L83" i="34"/>
  <c r="K83" i="34"/>
  <c r="J83" i="34"/>
  <c r="I83" i="34"/>
  <c r="H83" i="34"/>
  <c r="F83" i="34"/>
  <c r="E83" i="34"/>
  <c r="S82" i="34"/>
  <c r="R82" i="34"/>
  <c r="Q82" i="34"/>
  <c r="P82" i="34"/>
  <c r="O82" i="34"/>
  <c r="N82" i="34"/>
  <c r="M82" i="34"/>
  <c r="L82" i="34"/>
  <c r="K82" i="34"/>
  <c r="J82" i="34"/>
  <c r="I82" i="34"/>
  <c r="H82" i="34"/>
  <c r="F82" i="34"/>
  <c r="E82" i="34"/>
  <c r="G81" i="34"/>
  <c r="F81" i="34"/>
  <c r="E81" i="34"/>
  <c r="S80" i="34"/>
  <c r="R80" i="34"/>
  <c r="Q80" i="34"/>
  <c r="P80" i="34"/>
  <c r="O80" i="34"/>
  <c r="N80" i="34"/>
  <c r="M80" i="34"/>
  <c r="L80" i="34"/>
  <c r="K80" i="34"/>
  <c r="J80" i="34"/>
  <c r="I80" i="34"/>
  <c r="H80" i="34"/>
  <c r="F80" i="34"/>
  <c r="E80" i="34"/>
  <c r="S79" i="34"/>
  <c r="R79" i="34"/>
  <c r="Q79" i="34"/>
  <c r="P79" i="34"/>
  <c r="O79" i="34"/>
  <c r="N79" i="34"/>
  <c r="M79" i="34"/>
  <c r="L79" i="34"/>
  <c r="K79" i="34"/>
  <c r="J79" i="34"/>
  <c r="I79" i="34"/>
  <c r="H79" i="34"/>
  <c r="F79" i="34"/>
  <c r="E79" i="34"/>
  <c r="G78" i="34"/>
  <c r="F78" i="34"/>
  <c r="E78" i="34"/>
  <c r="S77" i="34"/>
  <c r="R77" i="34"/>
  <c r="Q77" i="34"/>
  <c r="P77" i="34"/>
  <c r="O77" i="34"/>
  <c r="N77" i="34"/>
  <c r="M77" i="34"/>
  <c r="L77" i="34"/>
  <c r="K77" i="34"/>
  <c r="J77" i="34"/>
  <c r="I77" i="34"/>
  <c r="H77" i="34"/>
  <c r="F77" i="34"/>
  <c r="E77" i="34"/>
  <c r="S76" i="34"/>
  <c r="R76" i="34"/>
  <c r="Q76" i="34"/>
  <c r="P76" i="34"/>
  <c r="O76" i="34"/>
  <c r="N76" i="34"/>
  <c r="M76" i="34"/>
  <c r="L76" i="34"/>
  <c r="K76" i="34"/>
  <c r="J76" i="34"/>
  <c r="I76" i="34"/>
  <c r="H76" i="34"/>
  <c r="F76" i="34"/>
  <c r="E76" i="34"/>
  <c r="G75" i="34"/>
  <c r="F75" i="34"/>
  <c r="E75" i="34"/>
  <c r="S74" i="34"/>
  <c r="R74" i="34"/>
  <c r="Q74" i="34"/>
  <c r="P74" i="34"/>
  <c r="O74" i="34"/>
  <c r="N74" i="34"/>
  <c r="M74" i="34"/>
  <c r="L74" i="34"/>
  <c r="K74" i="34"/>
  <c r="J74" i="34"/>
  <c r="I74" i="34"/>
  <c r="H74" i="34"/>
  <c r="F74" i="34"/>
  <c r="E74" i="34"/>
  <c r="S73" i="34"/>
  <c r="R73" i="34"/>
  <c r="Q73" i="34"/>
  <c r="P73" i="34"/>
  <c r="O73" i="34"/>
  <c r="N73" i="34"/>
  <c r="M73" i="34"/>
  <c r="L73" i="34"/>
  <c r="K73" i="34"/>
  <c r="J73" i="34"/>
  <c r="I73" i="34"/>
  <c r="H73" i="34"/>
  <c r="F73" i="34"/>
  <c r="E73" i="34"/>
  <c r="G72" i="34"/>
  <c r="F72" i="34"/>
  <c r="E72" i="34"/>
  <c r="S71" i="34"/>
  <c r="R71" i="34"/>
  <c r="Q71" i="34"/>
  <c r="P71" i="34"/>
  <c r="O71" i="34"/>
  <c r="N71" i="34"/>
  <c r="M71" i="34"/>
  <c r="L71" i="34"/>
  <c r="K71" i="34"/>
  <c r="J71" i="34"/>
  <c r="I71" i="34"/>
  <c r="H71" i="34"/>
  <c r="F71" i="34"/>
  <c r="E71" i="34"/>
  <c r="S70" i="34"/>
  <c r="R70" i="34"/>
  <c r="Q70" i="34"/>
  <c r="P70" i="34"/>
  <c r="O70" i="34"/>
  <c r="N70" i="34"/>
  <c r="M70" i="34"/>
  <c r="L70" i="34"/>
  <c r="K70" i="34"/>
  <c r="J70" i="34"/>
  <c r="I70" i="34"/>
  <c r="H70" i="34"/>
  <c r="F70" i="34"/>
  <c r="E70" i="34"/>
  <c r="G69" i="34"/>
  <c r="F69" i="34"/>
  <c r="E69" i="34"/>
  <c r="S68" i="34"/>
  <c r="R68" i="34"/>
  <c r="Q68" i="34"/>
  <c r="P68" i="34"/>
  <c r="O68" i="34"/>
  <c r="N68" i="34"/>
  <c r="M68" i="34"/>
  <c r="L68" i="34"/>
  <c r="K68" i="34"/>
  <c r="J68" i="34"/>
  <c r="I68" i="34"/>
  <c r="H68" i="34"/>
  <c r="F68" i="34"/>
  <c r="E68" i="34"/>
  <c r="S67" i="34"/>
  <c r="R67" i="34"/>
  <c r="Q67" i="34"/>
  <c r="P67" i="34"/>
  <c r="O67" i="34"/>
  <c r="N67" i="34"/>
  <c r="M67" i="34"/>
  <c r="L67" i="34"/>
  <c r="K67" i="34"/>
  <c r="J67" i="34"/>
  <c r="I67" i="34"/>
  <c r="H67" i="34"/>
  <c r="F67" i="34"/>
  <c r="E67" i="34"/>
  <c r="G66" i="34"/>
  <c r="F66" i="34"/>
  <c r="E66" i="34"/>
  <c r="S65" i="34"/>
  <c r="R65" i="34"/>
  <c r="Q65" i="34"/>
  <c r="P65" i="34"/>
  <c r="O65" i="34"/>
  <c r="N65" i="34"/>
  <c r="M65" i="34"/>
  <c r="L65" i="34"/>
  <c r="K65" i="34"/>
  <c r="J65" i="34"/>
  <c r="I65" i="34"/>
  <c r="H65" i="34"/>
  <c r="F65" i="34"/>
  <c r="E65" i="34"/>
  <c r="S64" i="34"/>
  <c r="R64" i="34"/>
  <c r="Q64" i="34"/>
  <c r="P64" i="34"/>
  <c r="O64" i="34"/>
  <c r="N64" i="34"/>
  <c r="M64" i="34"/>
  <c r="L64" i="34"/>
  <c r="K64" i="34"/>
  <c r="J64" i="34"/>
  <c r="I64" i="34"/>
  <c r="H64" i="34"/>
  <c r="F64" i="34"/>
  <c r="E64" i="34"/>
  <c r="G63" i="34"/>
  <c r="F63" i="34"/>
  <c r="E63" i="34"/>
  <c r="F62" i="34"/>
  <c r="E62" i="34"/>
  <c r="F61" i="34"/>
  <c r="E61" i="34"/>
  <c r="S60" i="34"/>
  <c r="R60" i="34"/>
  <c r="Q60" i="34"/>
  <c r="P60" i="34"/>
  <c r="O60" i="34"/>
  <c r="N60" i="34"/>
  <c r="M60" i="34"/>
  <c r="L60" i="34"/>
  <c r="K60" i="34"/>
  <c r="J60" i="34"/>
  <c r="I60" i="34"/>
  <c r="H60" i="34"/>
  <c r="G60" i="34"/>
  <c r="F60" i="34"/>
  <c r="E60" i="34"/>
  <c r="S59" i="34"/>
  <c r="R59" i="34"/>
  <c r="Q59" i="34"/>
  <c r="P59" i="34"/>
  <c r="O59" i="34"/>
  <c r="N59" i="34"/>
  <c r="M59" i="34"/>
  <c r="L59" i="34"/>
  <c r="K59" i="34"/>
  <c r="J59" i="34"/>
  <c r="I59" i="34"/>
  <c r="H59" i="34"/>
  <c r="G59" i="34"/>
  <c r="F59" i="34"/>
  <c r="E59" i="34"/>
  <c r="S58" i="34"/>
  <c r="R58" i="34"/>
  <c r="Q58" i="34"/>
  <c r="P58" i="34"/>
  <c r="O58" i="34"/>
  <c r="N58" i="34"/>
  <c r="M58" i="34"/>
  <c r="L58" i="34"/>
  <c r="K58" i="34"/>
  <c r="J58" i="34"/>
  <c r="I58" i="34"/>
  <c r="H58" i="34"/>
  <c r="G58" i="34"/>
  <c r="F58" i="34"/>
  <c r="E58" i="34"/>
  <c r="G57" i="34"/>
  <c r="F57" i="34"/>
  <c r="E57" i="34"/>
  <c r="S56" i="34"/>
  <c r="R56" i="34"/>
  <c r="Q56" i="34"/>
  <c r="P56" i="34"/>
  <c r="O56" i="34"/>
  <c r="N56" i="34"/>
  <c r="M56" i="34"/>
  <c r="L56" i="34"/>
  <c r="K56" i="34"/>
  <c r="J56" i="34"/>
  <c r="I56" i="34"/>
  <c r="H56" i="34"/>
  <c r="F56" i="34"/>
  <c r="E56" i="34"/>
  <c r="S55" i="34"/>
  <c r="R55" i="34"/>
  <c r="Q55" i="34"/>
  <c r="P55" i="34"/>
  <c r="O55" i="34"/>
  <c r="N55" i="34"/>
  <c r="M55" i="34"/>
  <c r="L55" i="34"/>
  <c r="K55" i="34"/>
  <c r="J55" i="34"/>
  <c r="I55" i="34"/>
  <c r="H55" i="34"/>
  <c r="F55" i="34"/>
  <c r="E55" i="34"/>
  <c r="G54" i="34"/>
  <c r="F54" i="34"/>
  <c r="E54" i="34"/>
  <c r="S53" i="34"/>
  <c r="R53" i="34"/>
  <c r="Q53" i="34"/>
  <c r="P53" i="34"/>
  <c r="O53" i="34"/>
  <c r="N53" i="34"/>
  <c r="M53" i="34"/>
  <c r="L53" i="34"/>
  <c r="K53" i="34"/>
  <c r="J53" i="34"/>
  <c r="I53" i="34"/>
  <c r="H53" i="34"/>
  <c r="G53" i="34"/>
  <c r="F53" i="34"/>
  <c r="E53" i="34"/>
  <c r="S52" i="34"/>
  <c r="R52" i="34"/>
  <c r="Q52" i="34"/>
  <c r="P52" i="34"/>
  <c r="O52" i="34"/>
  <c r="N52" i="34"/>
  <c r="M52" i="34"/>
  <c r="L52" i="34"/>
  <c r="K52" i="34"/>
  <c r="J52" i="34"/>
  <c r="I52" i="34"/>
  <c r="H52" i="34"/>
  <c r="F52" i="34"/>
  <c r="E52" i="34"/>
  <c r="G51" i="34"/>
  <c r="F51" i="34"/>
  <c r="E51" i="34"/>
  <c r="S50" i="34"/>
  <c r="R50" i="34"/>
  <c r="Q50" i="34"/>
  <c r="P50" i="34"/>
  <c r="O50" i="34"/>
  <c r="N50" i="34"/>
  <c r="M50" i="34"/>
  <c r="L50" i="34"/>
  <c r="K50" i="34"/>
  <c r="J50" i="34"/>
  <c r="I50" i="34"/>
  <c r="H50" i="34"/>
  <c r="F50" i="34"/>
  <c r="E50" i="34"/>
  <c r="S49" i="34"/>
  <c r="R49" i="34"/>
  <c r="Q49" i="34"/>
  <c r="P49" i="34"/>
  <c r="O49" i="34"/>
  <c r="N49" i="34"/>
  <c r="M49" i="34"/>
  <c r="L49" i="34"/>
  <c r="K49" i="34"/>
  <c r="J49" i="34"/>
  <c r="I49" i="34"/>
  <c r="H49" i="34"/>
  <c r="F49" i="34"/>
  <c r="E49" i="34"/>
  <c r="G48" i="34"/>
  <c r="F48" i="34"/>
  <c r="E48" i="34"/>
  <c r="S47" i="34"/>
  <c r="R47" i="34"/>
  <c r="Q47" i="34"/>
  <c r="P47" i="34"/>
  <c r="O47" i="34"/>
  <c r="N47" i="34"/>
  <c r="M47" i="34"/>
  <c r="L47" i="34"/>
  <c r="K47" i="34"/>
  <c r="J47" i="34"/>
  <c r="I47" i="34"/>
  <c r="H47" i="34"/>
  <c r="F47" i="34"/>
  <c r="E47" i="34"/>
  <c r="S46" i="34"/>
  <c r="R46" i="34"/>
  <c r="Q46" i="34"/>
  <c r="P46" i="34"/>
  <c r="O46" i="34"/>
  <c r="N46" i="34"/>
  <c r="M46" i="34"/>
  <c r="L46" i="34"/>
  <c r="K46" i="34"/>
  <c r="J46" i="34"/>
  <c r="I46" i="34"/>
  <c r="H46" i="34"/>
  <c r="F46" i="34"/>
  <c r="E46" i="34"/>
  <c r="G45" i="34"/>
  <c r="F45" i="34"/>
  <c r="E45" i="34"/>
  <c r="F44" i="34"/>
  <c r="E44" i="34"/>
  <c r="F43" i="34"/>
  <c r="E43" i="34"/>
  <c r="G42" i="34"/>
  <c r="F42" i="34"/>
  <c r="E42" i="34"/>
  <c r="F41" i="34"/>
  <c r="E41" i="34"/>
  <c r="F40" i="34"/>
  <c r="E40" i="34"/>
  <c r="S39" i="34"/>
  <c r="R39" i="34"/>
  <c r="Q39" i="34"/>
  <c r="P39" i="34"/>
  <c r="O39" i="34"/>
  <c r="N39" i="34"/>
  <c r="M39" i="34"/>
  <c r="L39" i="34"/>
  <c r="K39" i="34"/>
  <c r="J39" i="34"/>
  <c r="I39" i="34"/>
  <c r="H39" i="34"/>
  <c r="G39" i="34"/>
  <c r="F39" i="34"/>
  <c r="E39" i="34"/>
  <c r="G38" i="34"/>
  <c r="F38" i="34"/>
  <c r="E38" i="34"/>
  <c r="S37" i="34"/>
  <c r="R37" i="34"/>
  <c r="Q37" i="34"/>
  <c r="P37" i="34"/>
  <c r="O37" i="34"/>
  <c r="N37" i="34"/>
  <c r="M37" i="34"/>
  <c r="L37" i="34"/>
  <c r="K37" i="34"/>
  <c r="J37" i="34"/>
  <c r="I37" i="34"/>
  <c r="H37" i="34"/>
  <c r="F37" i="34"/>
  <c r="E37" i="34"/>
  <c r="S36" i="34"/>
  <c r="R36" i="34"/>
  <c r="Q36" i="34"/>
  <c r="P36" i="34"/>
  <c r="O36" i="34"/>
  <c r="N36" i="34"/>
  <c r="M36" i="34"/>
  <c r="L36" i="34"/>
  <c r="K36" i="34"/>
  <c r="J36" i="34"/>
  <c r="I36" i="34"/>
  <c r="H36" i="34"/>
  <c r="F36" i="34"/>
  <c r="E36" i="34"/>
  <c r="G35" i="34"/>
  <c r="F35" i="34"/>
  <c r="E35" i="34"/>
  <c r="S34" i="34"/>
  <c r="R34" i="34"/>
  <c r="Q34" i="34"/>
  <c r="P34" i="34"/>
  <c r="O34" i="34"/>
  <c r="N34" i="34"/>
  <c r="M34" i="34"/>
  <c r="L34" i="34"/>
  <c r="K34" i="34"/>
  <c r="J34" i="34"/>
  <c r="I34" i="34"/>
  <c r="H34" i="34"/>
  <c r="F34" i="34"/>
  <c r="E34" i="34"/>
  <c r="S33" i="34"/>
  <c r="R33" i="34"/>
  <c r="Q33" i="34"/>
  <c r="P33" i="34"/>
  <c r="O33" i="34"/>
  <c r="N33" i="34"/>
  <c r="M33" i="34"/>
  <c r="L33" i="34"/>
  <c r="K33" i="34"/>
  <c r="J33" i="34"/>
  <c r="I33" i="34"/>
  <c r="H33" i="34"/>
  <c r="F33" i="34"/>
  <c r="E33" i="34"/>
  <c r="G32" i="34"/>
  <c r="F32" i="34"/>
  <c r="E32" i="34"/>
  <c r="S31" i="34"/>
  <c r="R31" i="34"/>
  <c r="Q31" i="34"/>
  <c r="P31" i="34"/>
  <c r="O31" i="34"/>
  <c r="N31" i="34"/>
  <c r="M31" i="34"/>
  <c r="L31" i="34"/>
  <c r="K31" i="34"/>
  <c r="J31" i="34"/>
  <c r="I31" i="34"/>
  <c r="H31" i="34"/>
  <c r="F31" i="34"/>
  <c r="E31" i="34"/>
  <c r="S30" i="34"/>
  <c r="R30" i="34"/>
  <c r="Q30" i="34"/>
  <c r="P30" i="34"/>
  <c r="O30" i="34"/>
  <c r="N30" i="34"/>
  <c r="M30" i="34"/>
  <c r="L30" i="34"/>
  <c r="K30" i="34"/>
  <c r="J30" i="34"/>
  <c r="I30" i="34"/>
  <c r="H30" i="34"/>
  <c r="F30" i="34"/>
  <c r="E30" i="34"/>
  <c r="G29" i="34"/>
  <c r="F29" i="34"/>
  <c r="E29" i="34"/>
  <c r="S28" i="34"/>
  <c r="R28" i="34"/>
  <c r="Q28" i="34"/>
  <c r="P28" i="34"/>
  <c r="O28" i="34"/>
  <c r="N28" i="34"/>
  <c r="M28" i="34"/>
  <c r="L28" i="34"/>
  <c r="K28" i="34"/>
  <c r="J28" i="34"/>
  <c r="I28" i="34"/>
  <c r="H28" i="34"/>
  <c r="F28" i="34"/>
  <c r="E28" i="34"/>
  <c r="S27" i="34"/>
  <c r="R27" i="34"/>
  <c r="Q27" i="34"/>
  <c r="P27" i="34"/>
  <c r="O27" i="34"/>
  <c r="N27" i="34"/>
  <c r="M27" i="34"/>
  <c r="L27" i="34"/>
  <c r="K27" i="34"/>
  <c r="J27" i="34"/>
  <c r="I27" i="34"/>
  <c r="H27" i="34"/>
  <c r="F27" i="34"/>
  <c r="E27" i="34"/>
  <c r="G26" i="34"/>
  <c r="F26" i="34"/>
  <c r="E26" i="34"/>
  <c r="S25" i="34"/>
  <c r="R25" i="34"/>
  <c r="Q25" i="34"/>
  <c r="P25" i="34"/>
  <c r="O25" i="34"/>
  <c r="N25" i="34"/>
  <c r="M25" i="34"/>
  <c r="L25" i="34"/>
  <c r="K25" i="34"/>
  <c r="J25" i="34"/>
  <c r="I25" i="34"/>
  <c r="H25" i="34"/>
  <c r="F25" i="34"/>
  <c r="E25" i="34"/>
  <c r="S24" i="34"/>
  <c r="R24" i="34"/>
  <c r="Q24" i="34"/>
  <c r="P24" i="34"/>
  <c r="O24" i="34"/>
  <c r="N24" i="34"/>
  <c r="M24" i="34"/>
  <c r="L24" i="34"/>
  <c r="K24" i="34"/>
  <c r="J24" i="34"/>
  <c r="I24" i="34"/>
  <c r="H24" i="34"/>
  <c r="F24" i="34"/>
  <c r="E24" i="34"/>
  <c r="G23" i="34"/>
  <c r="F23" i="34"/>
  <c r="E23" i="34"/>
  <c r="S22" i="34"/>
  <c r="R22" i="34"/>
  <c r="Q22" i="34"/>
  <c r="P22" i="34"/>
  <c r="O22" i="34"/>
  <c r="N22" i="34"/>
  <c r="M22" i="34"/>
  <c r="L22" i="34"/>
  <c r="K22" i="34"/>
  <c r="J22" i="34"/>
  <c r="I22" i="34"/>
  <c r="H22" i="34"/>
  <c r="F22" i="34"/>
  <c r="E22" i="34"/>
  <c r="S21" i="34"/>
  <c r="R21" i="34"/>
  <c r="Q21" i="34"/>
  <c r="P21" i="34"/>
  <c r="O21" i="34"/>
  <c r="N21" i="34"/>
  <c r="M21" i="34"/>
  <c r="L21" i="34"/>
  <c r="K21" i="34"/>
  <c r="J21" i="34"/>
  <c r="I21" i="34"/>
  <c r="H21" i="34"/>
  <c r="F21" i="34"/>
  <c r="E21" i="34"/>
  <c r="G20" i="34"/>
  <c r="F20" i="34"/>
  <c r="E20" i="34"/>
  <c r="S19" i="34"/>
  <c r="R19" i="34"/>
  <c r="Q19" i="34"/>
  <c r="P19" i="34"/>
  <c r="O19" i="34"/>
  <c r="N19" i="34"/>
  <c r="M19" i="34"/>
  <c r="L19" i="34"/>
  <c r="K19" i="34"/>
  <c r="J19" i="34"/>
  <c r="I19" i="34"/>
  <c r="H19" i="34"/>
  <c r="F19" i="34"/>
  <c r="E19" i="34"/>
  <c r="S18" i="34"/>
  <c r="R18" i="34"/>
  <c r="Q18" i="34"/>
  <c r="P18" i="34"/>
  <c r="O18" i="34"/>
  <c r="N18" i="34"/>
  <c r="M18" i="34"/>
  <c r="L18" i="34"/>
  <c r="K18" i="34"/>
  <c r="J18" i="34"/>
  <c r="I18" i="34"/>
  <c r="H18" i="34"/>
  <c r="F18" i="34"/>
  <c r="E18" i="34"/>
  <c r="R17" i="34"/>
  <c r="G17" i="34"/>
  <c r="F17" i="34"/>
  <c r="E17" i="34"/>
  <c r="S16" i="34"/>
  <c r="R16" i="34"/>
  <c r="Q16" i="34"/>
  <c r="P16" i="34"/>
  <c r="O16" i="34"/>
  <c r="N16" i="34"/>
  <c r="M16" i="34"/>
  <c r="L16" i="34"/>
  <c r="K16" i="34"/>
  <c r="J16" i="34"/>
  <c r="I16" i="34"/>
  <c r="H16" i="34"/>
  <c r="F16" i="34"/>
  <c r="E16" i="34"/>
  <c r="S15" i="34"/>
  <c r="R15" i="34"/>
  <c r="Q15" i="34"/>
  <c r="P15" i="34"/>
  <c r="O15" i="34"/>
  <c r="N15" i="34"/>
  <c r="M15" i="34"/>
  <c r="L15" i="34"/>
  <c r="K15" i="34"/>
  <c r="J15" i="34"/>
  <c r="I15" i="34"/>
  <c r="H15" i="34"/>
  <c r="F15" i="34"/>
  <c r="E15" i="34"/>
  <c r="P14" i="34"/>
  <c r="G14" i="34"/>
  <c r="F14" i="34"/>
  <c r="E14" i="34"/>
  <c r="S13" i="34"/>
  <c r="R13" i="34"/>
  <c r="Q13" i="34"/>
  <c r="P13" i="34"/>
  <c r="O13" i="34"/>
  <c r="N13" i="34"/>
  <c r="M13" i="34"/>
  <c r="L13" i="34"/>
  <c r="K13" i="34"/>
  <c r="J13" i="34"/>
  <c r="I13" i="34"/>
  <c r="H13" i="34"/>
  <c r="F13" i="34"/>
  <c r="E13" i="34"/>
  <c r="S12" i="34"/>
  <c r="R12" i="34"/>
  <c r="Q12" i="34"/>
  <c r="P12" i="34"/>
  <c r="O12" i="34"/>
  <c r="N12" i="34"/>
  <c r="M12" i="34"/>
  <c r="L12" i="34"/>
  <c r="K12" i="34"/>
  <c r="J12" i="34"/>
  <c r="I12" i="34"/>
  <c r="H12" i="34"/>
  <c r="F12" i="34"/>
  <c r="E12" i="34"/>
  <c r="G11" i="34"/>
  <c r="F11" i="34"/>
  <c r="E11" i="34"/>
  <c r="F10" i="34"/>
  <c r="E10" i="34"/>
  <c r="F9" i="34"/>
  <c r="E9" i="34"/>
  <c r="G8" i="34"/>
  <c r="F8" i="34"/>
  <c r="E8" i="34"/>
  <c r="F7" i="34"/>
  <c r="E7" i="34"/>
  <c r="F6" i="34"/>
  <c r="E6" i="34"/>
  <c r="G5" i="34"/>
  <c r="F5" i="34"/>
  <c r="E5" i="34"/>
  <c r="F4" i="34"/>
  <c r="E4" i="34"/>
  <c r="F3" i="34"/>
  <c r="E3" i="34"/>
  <c r="S223" i="30"/>
  <c r="S223" i="34" s="1"/>
  <c r="L223" i="30"/>
  <c r="L223" i="34" s="1"/>
  <c r="J223" i="30"/>
  <c r="J223" i="34" s="1"/>
  <c r="I223" i="30"/>
  <c r="I223" i="34" s="1"/>
  <c r="H223" i="30"/>
  <c r="H223" i="34" s="1"/>
  <c r="G222" i="30"/>
  <c r="G222" i="34" s="1"/>
  <c r="AF221" i="30"/>
  <c r="S83" i="35" s="1"/>
  <c r="AE221" i="30"/>
  <c r="R83" i="35" s="1"/>
  <c r="AD221" i="30"/>
  <c r="AC221" i="30"/>
  <c r="AB221" i="30"/>
  <c r="O83" i="35" s="1"/>
  <c r="AA221" i="30"/>
  <c r="N83" i="35" s="1"/>
  <c r="Z221" i="30"/>
  <c r="M83" i="35" s="1"/>
  <c r="Y221" i="30"/>
  <c r="L83" i="35" s="1"/>
  <c r="X221" i="30"/>
  <c r="K83" i="35" s="1"/>
  <c r="W221" i="30"/>
  <c r="J83" i="35" s="1"/>
  <c r="V221" i="30"/>
  <c r="I83" i="35" s="1"/>
  <c r="U221" i="30"/>
  <c r="H83" i="35" s="1"/>
  <c r="G221" i="30"/>
  <c r="G221" i="34" s="1"/>
  <c r="S220" i="30"/>
  <c r="S220" i="34" s="1"/>
  <c r="O220" i="30"/>
  <c r="O220" i="34" s="1"/>
  <c r="N220" i="30"/>
  <c r="N220" i="34" s="1"/>
  <c r="G219" i="30"/>
  <c r="G219" i="34" s="1"/>
  <c r="AF218" i="30"/>
  <c r="S82" i="35" s="1"/>
  <c r="AE218" i="30"/>
  <c r="R82" i="35" s="1"/>
  <c r="AD218" i="30"/>
  <c r="Q82" i="35" s="1"/>
  <c r="AC218" i="30"/>
  <c r="P82" i="35" s="1"/>
  <c r="AB218" i="30"/>
  <c r="O82" i="35" s="1"/>
  <c r="AA218" i="30"/>
  <c r="N82" i="35" s="1"/>
  <c r="Z218" i="30"/>
  <c r="M82" i="35" s="1"/>
  <c r="Y218" i="30"/>
  <c r="X218" i="30"/>
  <c r="W218" i="30"/>
  <c r="J82" i="35" s="1"/>
  <c r="V218" i="30"/>
  <c r="I82" i="35" s="1"/>
  <c r="U218" i="30"/>
  <c r="H82" i="35" s="1"/>
  <c r="G218" i="30"/>
  <c r="G218" i="34" s="1"/>
  <c r="N217" i="30"/>
  <c r="N217" i="34" s="1"/>
  <c r="J217" i="30"/>
  <c r="J217" i="34" s="1"/>
  <c r="I217" i="30"/>
  <c r="I217" i="34" s="1"/>
  <c r="S216" i="30"/>
  <c r="S216" i="34" s="1"/>
  <c r="R216" i="30"/>
  <c r="R216" i="34" s="1"/>
  <c r="Q216" i="30"/>
  <c r="Q216" i="34" s="1"/>
  <c r="P216" i="30"/>
  <c r="P216" i="34" s="1"/>
  <c r="O216" i="30"/>
  <c r="O216" i="34" s="1"/>
  <c r="N216" i="30"/>
  <c r="N216" i="34" s="1"/>
  <c r="M216" i="30"/>
  <c r="M216" i="34" s="1"/>
  <c r="L216" i="30"/>
  <c r="L216" i="34" s="1"/>
  <c r="K216" i="30"/>
  <c r="K216" i="34" s="1"/>
  <c r="J216" i="30"/>
  <c r="J216" i="34" s="1"/>
  <c r="I216" i="30"/>
  <c r="I216" i="34" s="1"/>
  <c r="H216" i="30"/>
  <c r="H216" i="34" s="1"/>
  <c r="G216" i="30"/>
  <c r="G216" i="34" s="1"/>
  <c r="AF215" i="30"/>
  <c r="S81" i="35" s="1"/>
  <c r="AE215" i="30"/>
  <c r="R81" i="35" s="1"/>
  <c r="AB215" i="30"/>
  <c r="O81" i="35" s="1"/>
  <c r="W215" i="30"/>
  <c r="J81" i="35" s="1"/>
  <c r="V215" i="30"/>
  <c r="I81" i="35" s="1"/>
  <c r="U215" i="30"/>
  <c r="H81" i="35" s="1"/>
  <c r="S215" i="30"/>
  <c r="S215" i="34" s="1"/>
  <c r="R215" i="30"/>
  <c r="R215" i="34" s="1"/>
  <c r="Q215" i="30"/>
  <c r="Q215" i="34" s="1"/>
  <c r="P215" i="30"/>
  <c r="P215" i="34" s="1"/>
  <c r="O215" i="30"/>
  <c r="O215" i="34" s="1"/>
  <c r="N215" i="30"/>
  <c r="N215" i="34" s="1"/>
  <c r="M215" i="30"/>
  <c r="M215" i="34" s="1"/>
  <c r="L215" i="30"/>
  <c r="L215" i="34" s="1"/>
  <c r="K215" i="30"/>
  <c r="K215" i="34" s="1"/>
  <c r="J215" i="30"/>
  <c r="J215" i="34" s="1"/>
  <c r="I215" i="30"/>
  <c r="I215" i="34" s="1"/>
  <c r="H215" i="30"/>
  <c r="H215" i="34" s="1"/>
  <c r="G215" i="30"/>
  <c r="G215" i="34" s="1"/>
  <c r="AF214" i="30"/>
  <c r="S80" i="35" s="1"/>
  <c r="AE214" i="30"/>
  <c r="R80" i="35" s="1"/>
  <c r="AD214" i="30"/>
  <c r="Q80" i="35" s="1"/>
  <c r="AC214" i="30"/>
  <c r="P80" i="35" s="1"/>
  <c r="AB214" i="30"/>
  <c r="O80" i="35" s="1"/>
  <c r="AA214" i="30"/>
  <c r="N80" i="35" s="1"/>
  <c r="Z214" i="30"/>
  <c r="M80" i="35" s="1"/>
  <c r="Y214" i="30"/>
  <c r="L80" i="35" s="1"/>
  <c r="X214" i="30"/>
  <c r="K80" i="35" s="1"/>
  <c r="W214" i="30"/>
  <c r="J80" i="35" s="1"/>
  <c r="V214" i="30"/>
  <c r="I80" i="35" s="1"/>
  <c r="U214" i="30"/>
  <c r="H80" i="35" s="1"/>
  <c r="R213" i="30"/>
  <c r="R213" i="34" s="1"/>
  <c r="Q213" i="30"/>
  <c r="Q213" i="34" s="1"/>
  <c r="P213" i="30"/>
  <c r="P213" i="34" s="1"/>
  <c r="O213" i="30"/>
  <c r="O213" i="34" s="1"/>
  <c r="N213" i="30"/>
  <c r="N213" i="34" s="1"/>
  <c r="M213" i="30"/>
  <c r="M213" i="34" s="1"/>
  <c r="L213" i="30"/>
  <c r="L213" i="34" s="1"/>
  <c r="K213" i="30"/>
  <c r="K213" i="34" s="1"/>
  <c r="J213" i="30"/>
  <c r="J213" i="34" s="1"/>
  <c r="I213" i="30"/>
  <c r="I213" i="34" s="1"/>
  <c r="H213" i="30"/>
  <c r="H213" i="34" s="1"/>
  <c r="G212" i="30"/>
  <c r="G212" i="34" s="1"/>
  <c r="AF211" i="30"/>
  <c r="S79" i="35" s="1"/>
  <c r="AE211" i="30"/>
  <c r="R79" i="35" s="1"/>
  <c r="AD211" i="30"/>
  <c r="Q79" i="35" s="1"/>
  <c r="AC211" i="30"/>
  <c r="P79" i="35" s="1"/>
  <c r="AB211" i="30"/>
  <c r="O79" i="35" s="1"/>
  <c r="AA211" i="30"/>
  <c r="N79" i="35" s="1"/>
  <c r="Z211" i="30"/>
  <c r="M79" i="35" s="1"/>
  <c r="Y211" i="30"/>
  <c r="L79" i="35" s="1"/>
  <c r="X211" i="30"/>
  <c r="K79" i="35" s="1"/>
  <c r="W211" i="30"/>
  <c r="J79" i="35" s="1"/>
  <c r="V211" i="30"/>
  <c r="I79" i="35" s="1"/>
  <c r="U211" i="30"/>
  <c r="H79" i="35" s="1"/>
  <c r="T211" i="30"/>
  <c r="G79" i="35" s="1"/>
  <c r="G211" i="30"/>
  <c r="G211" i="34" s="1"/>
  <c r="S210" i="30"/>
  <c r="S210" i="34" s="1"/>
  <c r="Q210" i="30"/>
  <c r="Q210" i="34" s="1"/>
  <c r="M210" i="30"/>
  <c r="M210" i="34" s="1"/>
  <c r="K210" i="30"/>
  <c r="K210" i="34" s="1"/>
  <c r="J210" i="30"/>
  <c r="J210" i="34" s="1"/>
  <c r="I210" i="30"/>
  <c r="I210" i="34" s="1"/>
  <c r="H210" i="30"/>
  <c r="H210" i="34" s="1"/>
  <c r="G209" i="30"/>
  <c r="G209" i="34" s="1"/>
  <c r="AF208" i="30"/>
  <c r="S78" i="35" s="1"/>
  <c r="AE208" i="30"/>
  <c r="R78" i="35" s="1"/>
  <c r="AD208" i="30"/>
  <c r="AC208" i="30"/>
  <c r="P78" i="35" s="1"/>
  <c r="AB208" i="30"/>
  <c r="O78" i="35" s="1"/>
  <c r="AA208" i="30"/>
  <c r="N78" i="35" s="1"/>
  <c r="Z208" i="30"/>
  <c r="M78" i="35" s="1"/>
  <c r="Y208" i="30"/>
  <c r="L78" i="35" s="1"/>
  <c r="X208" i="30"/>
  <c r="K78" i="35" s="1"/>
  <c r="W208" i="30"/>
  <c r="J78" i="35" s="1"/>
  <c r="V208" i="30"/>
  <c r="I78" i="35" s="1"/>
  <c r="U208" i="30"/>
  <c r="H78" i="35" s="1"/>
  <c r="G208" i="30"/>
  <c r="G208" i="34" s="1"/>
  <c r="S207" i="30"/>
  <c r="S207" i="34" s="1"/>
  <c r="Q207" i="30"/>
  <c r="Q207" i="34" s="1"/>
  <c r="P207" i="30"/>
  <c r="P207" i="34" s="1"/>
  <c r="O207" i="30"/>
  <c r="O207" i="34" s="1"/>
  <c r="N207" i="30"/>
  <c r="N207" i="34" s="1"/>
  <c r="L207" i="30"/>
  <c r="L207" i="34" s="1"/>
  <c r="H207" i="30"/>
  <c r="H207" i="34" s="1"/>
  <c r="G206" i="30"/>
  <c r="G206" i="34" s="1"/>
  <c r="AF205" i="30"/>
  <c r="S77" i="35" s="1"/>
  <c r="AE205" i="30"/>
  <c r="R77" i="35" s="1"/>
  <c r="AD205" i="30"/>
  <c r="Q77" i="35" s="1"/>
  <c r="AC205" i="30"/>
  <c r="P77" i="35" s="1"/>
  <c r="AB205" i="30"/>
  <c r="O77" i="35" s="1"/>
  <c r="AA205" i="30"/>
  <c r="N77" i="35" s="1"/>
  <c r="Z205" i="30"/>
  <c r="Y205" i="30"/>
  <c r="X205" i="30"/>
  <c r="K77" i="35" s="1"/>
  <c r="W205" i="30"/>
  <c r="J77" i="35" s="1"/>
  <c r="V205" i="30"/>
  <c r="I77" i="35" s="1"/>
  <c r="U205" i="30"/>
  <c r="H77" i="35" s="1"/>
  <c r="G205" i="30"/>
  <c r="G205" i="34" s="1"/>
  <c r="S203" i="30"/>
  <c r="S203" i="34" s="1"/>
  <c r="R203" i="30"/>
  <c r="R203" i="34" s="1"/>
  <c r="Q203" i="30"/>
  <c r="Q203" i="34" s="1"/>
  <c r="P203" i="30"/>
  <c r="P203" i="34" s="1"/>
  <c r="O203" i="30"/>
  <c r="O203" i="34" s="1"/>
  <c r="N203" i="30"/>
  <c r="N203" i="34" s="1"/>
  <c r="M203" i="30"/>
  <c r="M203" i="34" s="1"/>
  <c r="L203" i="30"/>
  <c r="L203" i="34" s="1"/>
  <c r="K203" i="30"/>
  <c r="K203" i="34" s="1"/>
  <c r="J203" i="30"/>
  <c r="J203" i="34" s="1"/>
  <c r="I203" i="30"/>
  <c r="I203" i="34" s="1"/>
  <c r="H203" i="30"/>
  <c r="H203" i="34" s="1"/>
  <c r="G203" i="30"/>
  <c r="K204" i="30" s="1"/>
  <c r="K204" i="34" s="1"/>
  <c r="AF202" i="30"/>
  <c r="S76" i="35" s="1"/>
  <c r="AC202" i="30"/>
  <c r="P76" i="35" s="1"/>
  <c r="W202" i="30"/>
  <c r="J76" i="35" s="1"/>
  <c r="V202" i="30"/>
  <c r="I76" i="35" s="1"/>
  <c r="U202" i="30"/>
  <c r="H76" i="35" s="1"/>
  <c r="S202" i="30"/>
  <c r="S202" i="34" s="1"/>
  <c r="R202" i="30"/>
  <c r="R202" i="34" s="1"/>
  <c r="Q202" i="30"/>
  <c r="P202" i="30"/>
  <c r="P202" i="34" s="1"/>
  <c r="O202" i="30"/>
  <c r="O202" i="34" s="1"/>
  <c r="N202" i="30"/>
  <c r="N202" i="34" s="1"/>
  <c r="M202" i="30"/>
  <c r="M202" i="34" s="1"/>
  <c r="L202" i="30"/>
  <c r="L202" i="34" s="1"/>
  <c r="K202" i="30"/>
  <c r="K202" i="34" s="1"/>
  <c r="J202" i="30"/>
  <c r="J202" i="34" s="1"/>
  <c r="I202" i="30"/>
  <c r="I202" i="34" s="1"/>
  <c r="H202" i="30"/>
  <c r="H202" i="34" s="1"/>
  <c r="G202" i="30"/>
  <c r="G202" i="34" s="1"/>
  <c r="S201" i="30"/>
  <c r="S201" i="34" s="1"/>
  <c r="R201" i="30"/>
  <c r="R201" i="34" s="1"/>
  <c r="Q201" i="30"/>
  <c r="Q201" i="34" s="1"/>
  <c r="P201" i="30"/>
  <c r="P201" i="34" s="1"/>
  <c r="O201" i="30"/>
  <c r="O201" i="34" s="1"/>
  <c r="N201" i="30"/>
  <c r="N201" i="34" s="1"/>
  <c r="M201" i="30"/>
  <c r="M201" i="34" s="1"/>
  <c r="L201" i="30"/>
  <c r="L201" i="34" s="1"/>
  <c r="J201" i="30"/>
  <c r="J201" i="34" s="1"/>
  <c r="G200" i="30"/>
  <c r="G200" i="34" s="1"/>
  <c r="AF199" i="30"/>
  <c r="S75" i="35" s="1"/>
  <c r="AE199" i="30"/>
  <c r="R75" i="35" s="1"/>
  <c r="AD199" i="30"/>
  <c r="Q75" i="35" s="1"/>
  <c r="AC199" i="30"/>
  <c r="P75" i="35" s="1"/>
  <c r="AB199" i="30"/>
  <c r="O75" i="35" s="1"/>
  <c r="AA199" i="30"/>
  <c r="N75" i="35" s="1"/>
  <c r="Z199" i="30"/>
  <c r="M75" i="35" s="1"/>
  <c r="Y199" i="30"/>
  <c r="L75" i="35" s="1"/>
  <c r="X199" i="30"/>
  <c r="K75" i="35" s="1"/>
  <c r="W199" i="30"/>
  <c r="V199" i="30"/>
  <c r="I75" i="35" s="1"/>
  <c r="U199" i="30"/>
  <c r="H75" i="35" s="1"/>
  <c r="G199" i="30"/>
  <c r="G199" i="34" s="1"/>
  <c r="Q198" i="30"/>
  <c r="Q198" i="34" s="1"/>
  <c r="O198" i="30"/>
  <c r="O198" i="34" s="1"/>
  <c r="N198" i="30"/>
  <c r="N198" i="34" s="1"/>
  <c r="M198" i="30"/>
  <c r="M198" i="34" s="1"/>
  <c r="I198" i="30"/>
  <c r="I198" i="34" s="1"/>
  <c r="H198" i="30"/>
  <c r="H198" i="34" s="1"/>
  <c r="G197" i="30"/>
  <c r="G197" i="34" s="1"/>
  <c r="AF196" i="30"/>
  <c r="S74" i="35" s="1"/>
  <c r="AE196" i="30"/>
  <c r="R74" i="35" s="1"/>
  <c r="AD196" i="30"/>
  <c r="Q74" i="35" s="1"/>
  <c r="AC196" i="30"/>
  <c r="P74" i="35" s="1"/>
  <c r="AB196" i="30"/>
  <c r="O74" i="35" s="1"/>
  <c r="AA196" i="30"/>
  <c r="N74" i="35" s="1"/>
  <c r="Z196" i="30"/>
  <c r="M74" i="35" s="1"/>
  <c r="Y196" i="30"/>
  <c r="L74" i="35" s="1"/>
  <c r="X196" i="30"/>
  <c r="K74" i="35" s="1"/>
  <c r="W196" i="30"/>
  <c r="J74" i="35" s="1"/>
  <c r="V196" i="30"/>
  <c r="I74" i="35" s="1"/>
  <c r="U196" i="30"/>
  <c r="H74" i="35" s="1"/>
  <c r="G196" i="30"/>
  <c r="S194" i="30"/>
  <c r="S194" i="34" s="1"/>
  <c r="R194" i="30"/>
  <c r="R194" i="34" s="1"/>
  <c r="Q194" i="30"/>
  <c r="Q194" i="34" s="1"/>
  <c r="P194" i="30"/>
  <c r="O194" i="30"/>
  <c r="N194" i="30"/>
  <c r="N194" i="34" s="1"/>
  <c r="M194" i="30"/>
  <c r="M194" i="34" s="1"/>
  <c r="L194" i="30"/>
  <c r="L194" i="34" s="1"/>
  <c r="K194" i="30"/>
  <c r="K194" i="34" s="1"/>
  <c r="J194" i="30"/>
  <c r="J194" i="34" s="1"/>
  <c r="I194" i="30"/>
  <c r="I194" i="34" s="1"/>
  <c r="H194" i="30"/>
  <c r="H194" i="34" s="1"/>
  <c r="AF193" i="30"/>
  <c r="S73" i="35" s="1"/>
  <c r="AE193" i="30"/>
  <c r="R73" i="35" s="1"/>
  <c r="AD193" i="30"/>
  <c r="Q73" i="35" s="1"/>
  <c r="Z193" i="30"/>
  <c r="Y193" i="30"/>
  <c r="V193" i="30"/>
  <c r="I73" i="35" s="1"/>
  <c r="S193" i="30"/>
  <c r="S193" i="34" s="1"/>
  <c r="R193" i="30"/>
  <c r="R193" i="34" s="1"/>
  <c r="Q193" i="30"/>
  <c r="Q193" i="34" s="1"/>
  <c r="P193" i="30"/>
  <c r="P193" i="34" s="1"/>
  <c r="O193" i="30"/>
  <c r="O193" i="34" s="1"/>
  <c r="N193" i="30"/>
  <c r="N193" i="34" s="1"/>
  <c r="M193" i="30"/>
  <c r="M193" i="34" s="1"/>
  <c r="L193" i="30"/>
  <c r="L193" i="34" s="1"/>
  <c r="K193" i="30"/>
  <c r="K193" i="34" s="1"/>
  <c r="J193" i="30"/>
  <c r="I193" i="30"/>
  <c r="H193" i="30"/>
  <c r="H193" i="34" s="1"/>
  <c r="S191" i="30"/>
  <c r="R191" i="30"/>
  <c r="Q191" i="30"/>
  <c r="Q191" i="34" s="1"/>
  <c r="K191" i="30"/>
  <c r="K191" i="34" s="1"/>
  <c r="J191" i="30"/>
  <c r="J191" i="34" s="1"/>
  <c r="I191" i="30"/>
  <c r="I191" i="34" s="1"/>
  <c r="H191" i="30"/>
  <c r="H191" i="34" s="1"/>
  <c r="S190" i="30"/>
  <c r="S190" i="34" s="1"/>
  <c r="R190" i="30"/>
  <c r="R190" i="34" s="1"/>
  <c r="M190" i="30"/>
  <c r="M190" i="34" s="1"/>
  <c r="L190" i="30"/>
  <c r="L190" i="34" s="1"/>
  <c r="K190" i="30"/>
  <c r="K190" i="34" s="1"/>
  <c r="AF189" i="30"/>
  <c r="S71" i="35" s="1"/>
  <c r="AE189" i="30"/>
  <c r="R71" i="35" s="1"/>
  <c r="AD189" i="30"/>
  <c r="Q71" i="35" s="1"/>
  <c r="AC189" i="30"/>
  <c r="P71" i="35" s="1"/>
  <c r="AB189" i="30"/>
  <c r="O71" i="35" s="1"/>
  <c r="AA189" i="30"/>
  <c r="N71" i="35" s="1"/>
  <c r="Z189" i="30"/>
  <c r="M71" i="35" s="1"/>
  <c r="Y189" i="30"/>
  <c r="L71" i="35" s="1"/>
  <c r="X189" i="30"/>
  <c r="K71" i="35" s="1"/>
  <c r="W189" i="30"/>
  <c r="J71" i="35" s="1"/>
  <c r="V189" i="30"/>
  <c r="I71" i="35" s="1"/>
  <c r="U189" i="30"/>
  <c r="H71" i="35" s="1"/>
  <c r="G187" i="30"/>
  <c r="AF186" i="30"/>
  <c r="S70" i="35" s="1"/>
  <c r="AE186" i="30"/>
  <c r="R70" i="35" s="1"/>
  <c r="AD186" i="30"/>
  <c r="Q70" i="35" s="1"/>
  <c r="AC186" i="30"/>
  <c r="P70" i="35" s="1"/>
  <c r="AB186" i="30"/>
  <c r="O70" i="35" s="1"/>
  <c r="AA186" i="30"/>
  <c r="N70" i="35" s="1"/>
  <c r="Z186" i="30"/>
  <c r="M70" i="35" s="1"/>
  <c r="Y186" i="30"/>
  <c r="L70" i="35" s="1"/>
  <c r="X186" i="30"/>
  <c r="K70" i="35" s="1"/>
  <c r="W186" i="30"/>
  <c r="J70" i="35" s="1"/>
  <c r="V186" i="30"/>
  <c r="I70" i="35" s="1"/>
  <c r="U186" i="30"/>
  <c r="H70" i="35" s="1"/>
  <c r="G186" i="30"/>
  <c r="G186" i="34" s="1"/>
  <c r="R185" i="30"/>
  <c r="R185" i="34" s="1"/>
  <c r="Q185" i="30"/>
  <c r="Q185" i="34" s="1"/>
  <c r="H185" i="30"/>
  <c r="H185" i="34" s="1"/>
  <c r="G184" i="30"/>
  <c r="G184" i="34" s="1"/>
  <c r="AF183" i="30"/>
  <c r="S69" i="35" s="1"/>
  <c r="AE183" i="30"/>
  <c r="R69" i="35" s="1"/>
  <c r="AD183" i="30"/>
  <c r="Q69" i="35" s="1"/>
  <c r="AC183" i="30"/>
  <c r="P69" i="35" s="1"/>
  <c r="AB183" i="30"/>
  <c r="O69" i="35" s="1"/>
  <c r="AA183" i="30"/>
  <c r="Z183" i="30"/>
  <c r="M69" i="35" s="1"/>
  <c r="Y183" i="30"/>
  <c r="L69" i="35" s="1"/>
  <c r="X183" i="30"/>
  <c r="K69" i="35" s="1"/>
  <c r="W183" i="30"/>
  <c r="J69" i="35" s="1"/>
  <c r="V183" i="30"/>
  <c r="I69" i="35" s="1"/>
  <c r="U183" i="30"/>
  <c r="H69" i="35" s="1"/>
  <c r="G183" i="30"/>
  <c r="G183" i="34" s="1"/>
  <c r="S182" i="30"/>
  <c r="S182" i="34" s="1"/>
  <c r="R182" i="30"/>
  <c r="R182" i="34" s="1"/>
  <c r="Q182" i="30"/>
  <c r="Q182" i="34" s="1"/>
  <c r="P182" i="30"/>
  <c r="P182" i="34" s="1"/>
  <c r="O182" i="30"/>
  <c r="O182" i="34" s="1"/>
  <c r="N182" i="30"/>
  <c r="N182" i="34" s="1"/>
  <c r="M182" i="30"/>
  <c r="M182" i="34" s="1"/>
  <c r="L182" i="30"/>
  <c r="L182" i="34" s="1"/>
  <c r="K182" i="30"/>
  <c r="K182" i="34" s="1"/>
  <c r="J182" i="30"/>
  <c r="J182" i="34" s="1"/>
  <c r="I182" i="30"/>
  <c r="I182" i="34" s="1"/>
  <c r="H182" i="30"/>
  <c r="H182" i="34" s="1"/>
  <c r="G181" i="30"/>
  <c r="G181" i="34" s="1"/>
  <c r="AF180" i="30"/>
  <c r="S68" i="35" s="1"/>
  <c r="AE180" i="30"/>
  <c r="R68" i="35" s="1"/>
  <c r="AD180" i="30"/>
  <c r="Q68" i="35" s="1"/>
  <c r="AC180" i="30"/>
  <c r="P68" i="35" s="1"/>
  <c r="AB180" i="30"/>
  <c r="O68" i="35" s="1"/>
  <c r="AA180" i="30"/>
  <c r="N68" i="35" s="1"/>
  <c r="Z180" i="30"/>
  <c r="M68" i="35" s="1"/>
  <c r="Y180" i="30"/>
  <c r="L68" i="35" s="1"/>
  <c r="X180" i="30"/>
  <c r="K68" i="35" s="1"/>
  <c r="W180" i="30"/>
  <c r="J68" i="35" s="1"/>
  <c r="V180" i="30"/>
  <c r="U180" i="30"/>
  <c r="H68" i="35" s="1"/>
  <c r="G180" i="30"/>
  <c r="G180" i="34" s="1"/>
  <c r="H179" i="30"/>
  <c r="H179" i="34" s="1"/>
  <c r="G178" i="30"/>
  <c r="AF177" i="30"/>
  <c r="S67" i="35" s="1"/>
  <c r="AE177" i="30"/>
  <c r="R67" i="35" s="1"/>
  <c r="AD177" i="30"/>
  <c r="Q67" i="35" s="1"/>
  <c r="AC177" i="30"/>
  <c r="P67" i="35" s="1"/>
  <c r="AB177" i="30"/>
  <c r="O67" i="35" s="1"/>
  <c r="AA177" i="30"/>
  <c r="N67" i="35" s="1"/>
  <c r="Z177" i="30"/>
  <c r="M67" i="35" s="1"/>
  <c r="Y177" i="30"/>
  <c r="L67" i="35" s="1"/>
  <c r="X177" i="30"/>
  <c r="K67" i="35" s="1"/>
  <c r="W177" i="30"/>
  <c r="J67" i="35" s="1"/>
  <c r="V177" i="30"/>
  <c r="I67" i="35" s="1"/>
  <c r="U177" i="30"/>
  <c r="H67" i="35" s="1"/>
  <c r="G177" i="30"/>
  <c r="G177" i="34" s="1"/>
  <c r="S176" i="30"/>
  <c r="S176" i="34" s="1"/>
  <c r="R176" i="30"/>
  <c r="R176" i="34" s="1"/>
  <c r="Q176" i="30"/>
  <c r="Q176" i="34" s="1"/>
  <c r="I176" i="30"/>
  <c r="I176" i="34" s="1"/>
  <c r="H176" i="30"/>
  <c r="H176" i="34" s="1"/>
  <c r="G175" i="30"/>
  <c r="G175" i="34" s="1"/>
  <c r="AF174" i="30"/>
  <c r="S66" i="35" s="1"/>
  <c r="AE174" i="30"/>
  <c r="R66" i="35" s="1"/>
  <c r="AD174" i="30"/>
  <c r="Q66" i="35" s="1"/>
  <c r="AC174" i="30"/>
  <c r="AB174" i="30"/>
  <c r="AA174" i="30"/>
  <c r="N66" i="35" s="1"/>
  <c r="Z174" i="30"/>
  <c r="M66" i="35" s="1"/>
  <c r="Y174" i="30"/>
  <c r="L66" i="35" s="1"/>
  <c r="X174" i="30"/>
  <c r="K66" i="35" s="1"/>
  <c r="W174" i="30"/>
  <c r="J66" i="35" s="1"/>
  <c r="V174" i="30"/>
  <c r="I66" i="35" s="1"/>
  <c r="U174" i="30"/>
  <c r="H66" i="35" s="1"/>
  <c r="G174" i="30"/>
  <c r="G174" i="34" s="1"/>
  <c r="AF172" i="30"/>
  <c r="AE172" i="30"/>
  <c r="AD172" i="30"/>
  <c r="AC172" i="30"/>
  <c r="AB172" i="30"/>
  <c r="AA172" i="30"/>
  <c r="Z172" i="30"/>
  <c r="Y172" i="30"/>
  <c r="X172" i="30"/>
  <c r="W172" i="30"/>
  <c r="V172" i="30"/>
  <c r="U172" i="30"/>
  <c r="T172" i="30"/>
  <c r="S172" i="30"/>
  <c r="S172" i="34" s="1"/>
  <c r="R172" i="30"/>
  <c r="R172" i="34" s="1"/>
  <c r="Q172" i="30"/>
  <c r="Q172" i="34" s="1"/>
  <c r="P172" i="30"/>
  <c r="P172" i="34" s="1"/>
  <c r="O172" i="30"/>
  <c r="O172" i="34" s="1"/>
  <c r="N172" i="30"/>
  <c r="N172" i="34" s="1"/>
  <c r="M172" i="30"/>
  <c r="M172" i="34" s="1"/>
  <c r="L172" i="30"/>
  <c r="L172" i="34" s="1"/>
  <c r="K172" i="30"/>
  <c r="K172" i="34" s="1"/>
  <c r="J172" i="30"/>
  <c r="J172" i="34" s="1"/>
  <c r="I172" i="30"/>
  <c r="I172" i="34" s="1"/>
  <c r="H172" i="30"/>
  <c r="H172" i="34" s="1"/>
  <c r="AE171" i="30"/>
  <c r="R65" i="35" s="1"/>
  <c r="Y171" i="30"/>
  <c r="L65" i="35" s="1"/>
  <c r="W171" i="30"/>
  <c r="J65" i="35" s="1"/>
  <c r="U171" i="30"/>
  <c r="H65" i="35" s="1"/>
  <c r="S171" i="30"/>
  <c r="S171" i="34" s="1"/>
  <c r="R171" i="30"/>
  <c r="R171" i="34" s="1"/>
  <c r="Q171" i="30"/>
  <c r="Q171" i="34" s="1"/>
  <c r="P171" i="30"/>
  <c r="P171" i="34" s="1"/>
  <c r="O171" i="30"/>
  <c r="O171" i="34" s="1"/>
  <c r="N171" i="30"/>
  <c r="N171" i="34" s="1"/>
  <c r="M171" i="30"/>
  <c r="M171" i="34" s="1"/>
  <c r="L171" i="30"/>
  <c r="L171" i="34" s="1"/>
  <c r="K171" i="30"/>
  <c r="K171" i="34" s="1"/>
  <c r="J171" i="30"/>
  <c r="J171" i="34" s="1"/>
  <c r="I171" i="30"/>
  <c r="I171" i="34" s="1"/>
  <c r="H171" i="30"/>
  <c r="H171" i="34" s="1"/>
  <c r="G171" i="30"/>
  <c r="G171" i="34" s="1"/>
  <c r="AF170" i="30"/>
  <c r="S64" i="35" s="1"/>
  <c r="AE170" i="30"/>
  <c r="R64" i="35" s="1"/>
  <c r="AD170" i="30"/>
  <c r="Q64" i="35" s="1"/>
  <c r="AC170" i="30"/>
  <c r="P64" i="35" s="1"/>
  <c r="AB170" i="30"/>
  <c r="O64" i="35" s="1"/>
  <c r="AA170" i="30"/>
  <c r="N64" i="35" s="1"/>
  <c r="Z170" i="30"/>
  <c r="M64" i="35" s="1"/>
  <c r="Y170" i="30"/>
  <c r="L64" i="35" s="1"/>
  <c r="X170" i="30"/>
  <c r="K64" i="35" s="1"/>
  <c r="W170" i="30"/>
  <c r="J64" i="35" s="1"/>
  <c r="V170" i="30"/>
  <c r="I64" i="35" s="1"/>
  <c r="U170" i="30"/>
  <c r="H64" i="35" s="1"/>
  <c r="S169" i="30"/>
  <c r="S169" i="34" s="1"/>
  <c r="Q169" i="30"/>
  <c r="Q169" i="34" s="1"/>
  <c r="P169" i="30"/>
  <c r="P169" i="34" s="1"/>
  <c r="K169" i="30"/>
  <c r="K169" i="34" s="1"/>
  <c r="J169" i="30"/>
  <c r="J169" i="34" s="1"/>
  <c r="I169" i="30"/>
  <c r="I169" i="34" s="1"/>
  <c r="G168" i="30"/>
  <c r="G168" i="34" s="1"/>
  <c r="AF167" i="30"/>
  <c r="S63" i="35" s="1"/>
  <c r="AE167" i="30"/>
  <c r="R63" i="35" s="1"/>
  <c r="AD167" i="30"/>
  <c r="Q63" i="35" s="1"/>
  <c r="AC167" i="30"/>
  <c r="P63" i="35" s="1"/>
  <c r="AB167" i="30"/>
  <c r="O63" i="35" s="1"/>
  <c r="AA167" i="30"/>
  <c r="N63" i="35" s="1"/>
  <c r="Z167" i="30"/>
  <c r="M63" i="35" s="1"/>
  <c r="Y167" i="30"/>
  <c r="L63" i="35" s="1"/>
  <c r="X167" i="30"/>
  <c r="K63" i="35" s="1"/>
  <c r="W167" i="30"/>
  <c r="J63" i="35" s="1"/>
  <c r="V167" i="30"/>
  <c r="I63" i="35" s="1"/>
  <c r="U167" i="30"/>
  <c r="H63" i="35" s="1"/>
  <c r="G167" i="30"/>
  <c r="G167" i="34" s="1"/>
  <c r="R166" i="30"/>
  <c r="R166" i="34" s="1"/>
  <c r="N166" i="30"/>
  <c r="N166" i="34" s="1"/>
  <c r="L166" i="30"/>
  <c r="L166" i="34" s="1"/>
  <c r="K166" i="30"/>
  <c r="K166" i="34" s="1"/>
  <c r="J166" i="30"/>
  <c r="J166" i="34" s="1"/>
  <c r="G165" i="30"/>
  <c r="G165" i="34" s="1"/>
  <c r="AF164" i="30"/>
  <c r="S62" i="35" s="1"/>
  <c r="AE164" i="30"/>
  <c r="R62" i="35" s="1"/>
  <c r="AD164" i="30"/>
  <c r="Q62" i="35" s="1"/>
  <c r="AC164" i="30"/>
  <c r="P62" i="35" s="1"/>
  <c r="AB164" i="30"/>
  <c r="O62" i="35" s="1"/>
  <c r="AA164" i="30"/>
  <c r="N62" i="35" s="1"/>
  <c r="Z164" i="30"/>
  <c r="M62" i="35" s="1"/>
  <c r="Y164" i="30"/>
  <c r="L62" i="35" s="1"/>
  <c r="X164" i="30"/>
  <c r="K62" i="35" s="1"/>
  <c r="W164" i="30"/>
  <c r="J62" i="35" s="1"/>
  <c r="V164" i="30"/>
  <c r="I62" i="35" s="1"/>
  <c r="U164" i="30"/>
  <c r="G164" i="30"/>
  <c r="G162" i="30"/>
  <c r="Q163" i="30" s="1"/>
  <c r="Q163" i="34" s="1"/>
  <c r="AF161" i="30"/>
  <c r="S61" i="35" s="1"/>
  <c r="AE161" i="30"/>
  <c r="R61" i="35" s="1"/>
  <c r="AD161" i="30"/>
  <c r="Q61" i="35" s="1"/>
  <c r="AC161" i="30"/>
  <c r="P61" i="35" s="1"/>
  <c r="AB161" i="30"/>
  <c r="O61" i="35" s="1"/>
  <c r="AA161" i="30"/>
  <c r="N61" i="35" s="1"/>
  <c r="Z161" i="30"/>
  <c r="M61" i="35" s="1"/>
  <c r="Y161" i="30"/>
  <c r="L61" i="35" s="1"/>
  <c r="X161" i="30"/>
  <c r="K61" i="35" s="1"/>
  <c r="W161" i="30"/>
  <c r="V161" i="30"/>
  <c r="I61" i="35" s="1"/>
  <c r="U161" i="30"/>
  <c r="H61" i="35" s="1"/>
  <c r="G161" i="30"/>
  <c r="G161" i="34" s="1"/>
  <c r="S160" i="30"/>
  <c r="S160" i="34" s="1"/>
  <c r="R160" i="30"/>
  <c r="R160" i="34" s="1"/>
  <c r="Q160" i="30"/>
  <c r="Q160" i="34" s="1"/>
  <c r="P160" i="30"/>
  <c r="P160" i="34" s="1"/>
  <c r="O160" i="30"/>
  <c r="O160" i="34" s="1"/>
  <c r="N160" i="30"/>
  <c r="N160" i="34" s="1"/>
  <c r="M160" i="30"/>
  <c r="M160" i="34" s="1"/>
  <c r="L160" i="30"/>
  <c r="L160" i="34" s="1"/>
  <c r="K160" i="30"/>
  <c r="K160" i="34" s="1"/>
  <c r="J160" i="30"/>
  <c r="J160" i="34" s="1"/>
  <c r="H160" i="30"/>
  <c r="H160" i="34" s="1"/>
  <c r="G159" i="30"/>
  <c r="I160" i="30" s="1"/>
  <c r="I160" i="34" s="1"/>
  <c r="AF158" i="30"/>
  <c r="S60" i="35" s="1"/>
  <c r="AE158" i="30"/>
  <c r="R60" i="35" s="1"/>
  <c r="AD158" i="30"/>
  <c r="Q60" i="35" s="1"/>
  <c r="AC158" i="30"/>
  <c r="P60" i="35" s="1"/>
  <c r="AB158" i="30"/>
  <c r="O60" i="35" s="1"/>
  <c r="AA158" i="30"/>
  <c r="N60" i="35" s="1"/>
  <c r="Z158" i="30"/>
  <c r="M60" i="35" s="1"/>
  <c r="Y158" i="30"/>
  <c r="L60" i="35" s="1"/>
  <c r="X158" i="30"/>
  <c r="K60" i="35" s="1"/>
  <c r="W158" i="30"/>
  <c r="J60" i="35" s="1"/>
  <c r="V158" i="30"/>
  <c r="I60" i="35" s="1"/>
  <c r="U158" i="30"/>
  <c r="H60" i="35" s="1"/>
  <c r="G158" i="30"/>
  <c r="O157" i="30"/>
  <c r="O157" i="34" s="1"/>
  <c r="L157" i="30"/>
  <c r="L157" i="34" s="1"/>
  <c r="G156" i="30"/>
  <c r="AF155" i="30"/>
  <c r="S59" i="35" s="1"/>
  <c r="AE155" i="30"/>
  <c r="R59" i="35" s="1"/>
  <c r="AD155" i="30"/>
  <c r="Q59" i="35" s="1"/>
  <c r="AC155" i="30"/>
  <c r="P59" i="35" s="1"/>
  <c r="AB155" i="30"/>
  <c r="O59" i="35" s="1"/>
  <c r="AA155" i="30"/>
  <c r="N59" i="35" s="1"/>
  <c r="Z155" i="30"/>
  <c r="M59" i="35" s="1"/>
  <c r="Y155" i="30"/>
  <c r="L59" i="35" s="1"/>
  <c r="X155" i="30"/>
  <c r="K59" i="35" s="1"/>
  <c r="W155" i="30"/>
  <c r="J59" i="35" s="1"/>
  <c r="V155" i="30"/>
  <c r="I59" i="35" s="1"/>
  <c r="U155" i="30"/>
  <c r="G155" i="30"/>
  <c r="G155" i="34" s="1"/>
  <c r="H154" i="30"/>
  <c r="H154" i="34" s="1"/>
  <c r="G153" i="30"/>
  <c r="AF152" i="30"/>
  <c r="S58" i="35" s="1"/>
  <c r="AE152" i="30"/>
  <c r="R58" i="35" s="1"/>
  <c r="AD152" i="30"/>
  <c r="Q58" i="35" s="1"/>
  <c r="AC152" i="30"/>
  <c r="P58" i="35" s="1"/>
  <c r="AB152" i="30"/>
  <c r="O58" i="35" s="1"/>
  <c r="AA152" i="30"/>
  <c r="N58" i="35" s="1"/>
  <c r="Z152" i="30"/>
  <c r="M58" i="35" s="1"/>
  <c r="Y152" i="30"/>
  <c r="L58" i="35" s="1"/>
  <c r="X152" i="30"/>
  <c r="K58" i="35" s="1"/>
  <c r="W152" i="30"/>
  <c r="J58" i="35" s="1"/>
  <c r="V152" i="30"/>
  <c r="I58" i="35" s="1"/>
  <c r="U152" i="30"/>
  <c r="H58" i="35" s="1"/>
  <c r="T152" i="30"/>
  <c r="G58" i="35" s="1"/>
  <c r="G152" i="30"/>
  <c r="G152" i="34" s="1"/>
  <c r="S151" i="30"/>
  <c r="S151" i="34" s="1"/>
  <c r="R151" i="30"/>
  <c r="R151" i="34" s="1"/>
  <c r="Q151" i="30"/>
  <c r="Q151" i="34" s="1"/>
  <c r="P151" i="30"/>
  <c r="P151" i="34" s="1"/>
  <c r="O151" i="30"/>
  <c r="O151" i="34" s="1"/>
  <c r="N151" i="30"/>
  <c r="N151" i="34" s="1"/>
  <c r="M151" i="30"/>
  <c r="M151" i="34" s="1"/>
  <c r="L151" i="30"/>
  <c r="L151" i="34" s="1"/>
  <c r="K151" i="30"/>
  <c r="K151" i="34" s="1"/>
  <c r="I151" i="30"/>
  <c r="I151" i="34" s="1"/>
  <c r="G150" i="30"/>
  <c r="J151" i="30" s="1"/>
  <c r="J151" i="34" s="1"/>
  <c r="AF149" i="30"/>
  <c r="S57" i="35" s="1"/>
  <c r="AE149" i="30"/>
  <c r="R57" i="35" s="1"/>
  <c r="AD149" i="30"/>
  <c r="Q57" i="35" s="1"/>
  <c r="AC149" i="30"/>
  <c r="P57" i="35" s="1"/>
  <c r="AB149" i="30"/>
  <c r="AA149" i="30"/>
  <c r="Z149" i="30"/>
  <c r="M57" i="35" s="1"/>
  <c r="Y149" i="30"/>
  <c r="L57" i="35" s="1"/>
  <c r="X149" i="30"/>
  <c r="K57" i="35" s="1"/>
  <c r="W149" i="30"/>
  <c r="J57" i="35" s="1"/>
  <c r="V149" i="30"/>
  <c r="I57" i="35" s="1"/>
  <c r="U149" i="30"/>
  <c r="G149" i="30"/>
  <c r="G149" i="34" s="1"/>
  <c r="P148" i="30"/>
  <c r="P148" i="34" s="1"/>
  <c r="N148" i="30"/>
  <c r="N148" i="34" s="1"/>
  <c r="M148" i="30"/>
  <c r="M148" i="34" s="1"/>
  <c r="L148" i="30"/>
  <c r="L148" i="34" s="1"/>
  <c r="G147" i="30"/>
  <c r="AF146" i="30"/>
  <c r="AE146" i="30"/>
  <c r="R56" i="35" s="1"/>
  <c r="AD146" i="30"/>
  <c r="Q56" i="35" s="1"/>
  <c r="AC146" i="30"/>
  <c r="P56" i="35" s="1"/>
  <c r="AB146" i="30"/>
  <c r="O56" i="35" s="1"/>
  <c r="AA146" i="30"/>
  <c r="N56" i="35" s="1"/>
  <c r="Z146" i="30"/>
  <c r="Y146" i="30"/>
  <c r="L56" i="35" s="1"/>
  <c r="X146" i="30"/>
  <c r="K56" i="35" s="1"/>
  <c r="W146" i="30"/>
  <c r="J56" i="35" s="1"/>
  <c r="V146" i="30"/>
  <c r="U146" i="30"/>
  <c r="H56" i="35" s="1"/>
  <c r="G146" i="30"/>
  <c r="G146" i="34" s="1"/>
  <c r="S144" i="30"/>
  <c r="R144" i="30"/>
  <c r="R144" i="34" s="1"/>
  <c r="Q144" i="30"/>
  <c r="Q144" i="34" s="1"/>
  <c r="P144" i="30"/>
  <c r="O144" i="30"/>
  <c r="N144" i="30"/>
  <c r="M144" i="30"/>
  <c r="L144" i="30"/>
  <c r="L144" i="34" s="1"/>
  <c r="K144" i="30"/>
  <c r="J144" i="30"/>
  <c r="J144" i="34" s="1"/>
  <c r="I144" i="30"/>
  <c r="I144" i="34" s="1"/>
  <c r="H144" i="30"/>
  <c r="H144" i="34" s="1"/>
  <c r="AE143" i="30"/>
  <c r="AC143" i="30"/>
  <c r="S143" i="30"/>
  <c r="S143" i="34" s="1"/>
  <c r="R143" i="30"/>
  <c r="R143" i="34" s="1"/>
  <c r="Q143" i="30"/>
  <c r="Q143" i="34" s="1"/>
  <c r="P143" i="30"/>
  <c r="P143" i="34" s="1"/>
  <c r="O143" i="30"/>
  <c r="N143" i="30"/>
  <c r="M143" i="30"/>
  <c r="L143" i="30"/>
  <c r="L143" i="34" s="1"/>
  <c r="K143" i="30"/>
  <c r="K143" i="34" s="1"/>
  <c r="J143" i="30"/>
  <c r="J143" i="34" s="1"/>
  <c r="I143" i="30"/>
  <c r="H143" i="30"/>
  <c r="H143" i="34" s="1"/>
  <c r="R141" i="30"/>
  <c r="Q141" i="30"/>
  <c r="P141" i="30"/>
  <c r="N141" i="30"/>
  <c r="L141" i="30"/>
  <c r="J141" i="30"/>
  <c r="I141" i="30"/>
  <c r="H141" i="30"/>
  <c r="S140" i="30"/>
  <c r="S140" i="34" s="1"/>
  <c r="R140" i="30"/>
  <c r="R140" i="34" s="1"/>
  <c r="P140" i="30"/>
  <c r="P140" i="34" s="1"/>
  <c r="L140" i="30"/>
  <c r="L140" i="34" s="1"/>
  <c r="K140" i="30"/>
  <c r="K140" i="34" s="1"/>
  <c r="J140" i="30"/>
  <c r="J140" i="34" s="1"/>
  <c r="V139" i="30"/>
  <c r="I53" i="35" s="1"/>
  <c r="U139" i="30"/>
  <c r="H53" i="35" s="1"/>
  <c r="J139" i="30"/>
  <c r="I139" i="30"/>
  <c r="I139" i="34" s="1"/>
  <c r="H139" i="30"/>
  <c r="H139" i="34" s="1"/>
  <c r="R138" i="30"/>
  <c r="R138" i="34" s="1"/>
  <c r="Q138" i="30"/>
  <c r="Q138" i="34" s="1"/>
  <c r="P138" i="30"/>
  <c r="P138" i="34" s="1"/>
  <c r="N138" i="30"/>
  <c r="N138" i="34" s="1"/>
  <c r="J138" i="30"/>
  <c r="J138" i="34" s="1"/>
  <c r="H138" i="30"/>
  <c r="H138" i="34" s="1"/>
  <c r="G137" i="30"/>
  <c r="AF136" i="30"/>
  <c r="S52" i="35" s="1"/>
  <c r="AB136" i="30"/>
  <c r="O52" i="35" s="1"/>
  <c r="AA136" i="30"/>
  <c r="N52" i="35" s="1"/>
  <c r="X136" i="30"/>
  <c r="K52" i="35" s="1"/>
  <c r="S136" i="30"/>
  <c r="S136" i="34" s="1"/>
  <c r="R136" i="30"/>
  <c r="Q136" i="30"/>
  <c r="P136" i="30"/>
  <c r="P136" i="34" s="1"/>
  <c r="O136" i="30"/>
  <c r="O136" i="34" s="1"/>
  <c r="N136" i="30"/>
  <c r="N136" i="34" s="1"/>
  <c r="M136" i="30"/>
  <c r="M136" i="34" s="1"/>
  <c r="L136" i="30"/>
  <c r="K136" i="30"/>
  <c r="K136" i="34" s="1"/>
  <c r="J136" i="30"/>
  <c r="I136" i="30"/>
  <c r="I136" i="34" s="1"/>
  <c r="H136" i="30"/>
  <c r="P135" i="30"/>
  <c r="P135" i="34" s="1"/>
  <c r="N135" i="30"/>
  <c r="N135" i="34" s="1"/>
  <c r="M135" i="30"/>
  <c r="M135" i="34" s="1"/>
  <c r="L135" i="30"/>
  <c r="L135" i="34" s="1"/>
  <c r="I135" i="30"/>
  <c r="I135" i="34" s="1"/>
  <c r="G134" i="30"/>
  <c r="H133" i="30"/>
  <c r="S132" i="30"/>
  <c r="S132" i="34" s="1"/>
  <c r="R132" i="30"/>
  <c r="R132" i="34" s="1"/>
  <c r="Q132" i="30"/>
  <c r="Q132" i="34" s="1"/>
  <c r="P132" i="30"/>
  <c r="P132" i="34" s="1"/>
  <c r="O132" i="30"/>
  <c r="O132" i="34" s="1"/>
  <c r="N132" i="30"/>
  <c r="N132" i="34" s="1"/>
  <c r="M132" i="30"/>
  <c r="M132" i="34" s="1"/>
  <c r="L132" i="30"/>
  <c r="L132" i="34" s="1"/>
  <c r="J132" i="30"/>
  <c r="J132" i="34" s="1"/>
  <c r="G131" i="30"/>
  <c r="G131" i="34" s="1"/>
  <c r="V130" i="30"/>
  <c r="I50" i="35" s="1"/>
  <c r="I130" i="30"/>
  <c r="I130" i="34" s="1"/>
  <c r="H130" i="30"/>
  <c r="G128" i="30"/>
  <c r="U127" i="30"/>
  <c r="H49" i="35" s="1"/>
  <c r="H127" i="30"/>
  <c r="H127" i="34" s="1"/>
  <c r="S126" i="30"/>
  <c r="S126" i="34" s="1"/>
  <c r="R126" i="30"/>
  <c r="R126" i="34" s="1"/>
  <c r="Q126" i="30"/>
  <c r="Q126" i="34" s="1"/>
  <c r="P126" i="30"/>
  <c r="P126" i="34" s="1"/>
  <c r="O126" i="30"/>
  <c r="O126" i="34" s="1"/>
  <c r="N126" i="30"/>
  <c r="N126" i="34" s="1"/>
  <c r="M126" i="30"/>
  <c r="M126" i="34" s="1"/>
  <c r="L126" i="30"/>
  <c r="L126" i="34" s="1"/>
  <c r="K126" i="30"/>
  <c r="K126" i="34" s="1"/>
  <c r="J126" i="30"/>
  <c r="J126" i="34" s="1"/>
  <c r="I126" i="30"/>
  <c r="I126" i="34" s="1"/>
  <c r="H126" i="30"/>
  <c r="H126" i="34" s="1"/>
  <c r="G125" i="30"/>
  <c r="G125" i="34" s="1"/>
  <c r="U124" i="30"/>
  <c r="H48" i="35" s="1"/>
  <c r="H124" i="30"/>
  <c r="S122" i="30"/>
  <c r="S122" i="34" s="1"/>
  <c r="R122" i="30"/>
  <c r="R122" i="34" s="1"/>
  <c r="Q122" i="30"/>
  <c r="Q122" i="34" s="1"/>
  <c r="P122" i="30"/>
  <c r="P122" i="34" s="1"/>
  <c r="O122" i="30"/>
  <c r="O122" i="34" s="1"/>
  <c r="N122" i="30"/>
  <c r="N122" i="34" s="1"/>
  <c r="M122" i="30"/>
  <c r="L122" i="30"/>
  <c r="L122" i="34" s="1"/>
  <c r="K122" i="30"/>
  <c r="J122" i="30"/>
  <c r="I122" i="30"/>
  <c r="I122" i="34" s="1"/>
  <c r="H122" i="30"/>
  <c r="H122" i="34" s="1"/>
  <c r="H121" i="30"/>
  <c r="H121" i="34" s="1"/>
  <c r="G121" i="30"/>
  <c r="G121" i="34" s="1"/>
  <c r="U120" i="30"/>
  <c r="H46" i="35" s="1"/>
  <c r="H120" i="30"/>
  <c r="S119" i="30"/>
  <c r="S119" i="34" s="1"/>
  <c r="R119" i="30"/>
  <c r="R119" i="34" s="1"/>
  <c r="Q119" i="30"/>
  <c r="Q119" i="34" s="1"/>
  <c r="P119" i="30"/>
  <c r="P119" i="34" s="1"/>
  <c r="O119" i="30"/>
  <c r="O119" i="34" s="1"/>
  <c r="N119" i="30"/>
  <c r="N119" i="34" s="1"/>
  <c r="M119" i="30"/>
  <c r="M119" i="34" s="1"/>
  <c r="L119" i="30"/>
  <c r="L119" i="34" s="1"/>
  <c r="K119" i="30"/>
  <c r="K119" i="34" s="1"/>
  <c r="J119" i="30"/>
  <c r="J119" i="34" s="1"/>
  <c r="I119" i="30"/>
  <c r="I119" i="34" s="1"/>
  <c r="H119" i="30"/>
  <c r="H119" i="34" s="1"/>
  <c r="G118" i="30"/>
  <c r="G118" i="34" s="1"/>
  <c r="V117" i="30"/>
  <c r="I45" i="35" s="1"/>
  <c r="U117" i="30"/>
  <c r="H45" i="35" s="1"/>
  <c r="K117" i="30"/>
  <c r="K117" i="34" s="1"/>
  <c r="J117" i="30"/>
  <c r="J117" i="34" s="1"/>
  <c r="I117" i="30"/>
  <c r="I117" i="34" s="1"/>
  <c r="H117" i="30"/>
  <c r="S116" i="30"/>
  <c r="S116" i="34" s="1"/>
  <c r="Q116" i="30"/>
  <c r="Q116" i="34" s="1"/>
  <c r="P116" i="30"/>
  <c r="P116" i="34" s="1"/>
  <c r="N116" i="30"/>
  <c r="N116" i="34" s="1"/>
  <c r="K116" i="30"/>
  <c r="K116" i="34" s="1"/>
  <c r="J116" i="30"/>
  <c r="J116" i="34" s="1"/>
  <c r="I116" i="30"/>
  <c r="I116" i="34" s="1"/>
  <c r="G115" i="30"/>
  <c r="H114" i="30"/>
  <c r="H114" i="34" s="1"/>
  <c r="O113" i="30"/>
  <c r="O113" i="34" s="1"/>
  <c r="N113" i="30"/>
  <c r="N113" i="34" s="1"/>
  <c r="M113" i="30"/>
  <c r="M113" i="34" s="1"/>
  <c r="L113" i="30"/>
  <c r="L113" i="34" s="1"/>
  <c r="K113" i="30"/>
  <c r="K113" i="34" s="1"/>
  <c r="H113" i="30"/>
  <c r="H113" i="34" s="1"/>
  <c r="G112" i="30"/>
  <c r="U111" i="30"/>
  <c r="H43" i="35" s="1"/>
  <c r="H111" i="30"/>
  <c r="S110" i="30"/>
  <c r="S110" i="34" s="1"/>
  <c r="R110" i="30"/>
  <c r="R110" i="34" s="1"/>
  <c r="Q110" i="30"/>
  <c r="Q110" i="34" s="1"/>
  <c r="P110" i="30"/>
  <c r="P110" i="34" s="1"/>
  <c r="O110" i="30"/>
  <c r="O110" i="34" s="1"/>
  <c r="N110" i="30"/>
  <c r="N110" i="34" s="1"/>
  <c r="M110" i="30"/>
  <c r="M110" i="34" s="1"/>
  <c r="L110" i="30"/>
  <c r="L110" i="34" s="1"/>
  <c r="K110" i="30"/>
  <c r="K110" i="34" s="1"/>
  <c r="J110" i="30"/>
  <c r="J110" i="34" s="1"/>
  <c r="I110" i="30"/>
  <c r="I110" i="34" s="1"/>
  <c r="H110" i="30"/>
  <c r="H110" i="34" s="1"/>
  <c r="G109" i="30"/>
  <c r="G109" i="34" s="1"/>
  <c r="U108" i="30"/>
  <c r="H42" i="35" s="1"/>
  <c r="I108" i="30"/>
  <c r="I108" i="34" s="1"/>
  <c r="H108" i="30"/>
  <c r="H108" i="34" s="1"/>
  <c r="P107" i="30"/>
  <c r="P107" i="34" s="1"/>
  <c r="O107" i="30"/>
  <c r="O107" i="34" s="1"/>
  <c r="L107" i="30"/>
  <c r="L107" i="34" s="1"/>
  <c r="H107" i="30"/>
  <c r="H107" i="34" s="1"/>
  <c r="G106" i="30"/>
  <c r="G106" i="34" s="1"/>
  <c r="J105" i="30"/>
  <c r="J105" i="34" s="1"/>
  <c r="I105" i="30"/>
  <c r="I105" i="34" s="1"/>
  <c r="H105" i="30"/>
  <c r="H105" i="34" s="1"/>
  <c r="R104" i="30"/>
  <c r="R104" i="34" s="1"/>
  <c r="O104" i="30"/>
  <c r="O104" i="34" s="1"/>
  <c r="N104" i="30"/>
  <c r="N104" i="34" s="1"/>
  <c r="M104" i="30"/>
  <c r="M104" i="34" s="1"/>
  <c r="L104" i="30"/>
  <c r="L104" i="34" s="1"/>
  <c r="K104" i="30"/>
  <c r="K104" i="34" s="1"/>
  <c r="H104" i="30"/>
  <c r="H104" i="34" s="1"/>
  <c r="G103" i="30"/>
  <c r="G103" i="34" s="1"/>
  <c r="H102" i="30"/>
  <c r="H102" i="34" s="1"/>
  <c r="L101" i="30"/>
  <c r="L101" i="34" s="1"/>
  <c r="S100" i="30"/>
  <c r="R100" i="30"/>
  <c r="Q100" i="30"/>
  <c r="P100" i="30"/>
  <c r="P101" i="30" s="1"/>
  <c r="P101" i="34" s="1"/>
  <c r="O100" i="30"/>
  <c r="N100" i="30"/>
  <c r="M100" i="30"/>
  <c r="L100" i="30"/>
  <c r="K100" i="30"/>
  <c r="J100" i="30"/>
  <c r="I100" i="30"/>
  <c r="H100" i="30"/>
  <c r="G100" i="30"/>
  <c r="G100" i="34" s="1"/>
  <c r="H99" i="30"/>
  <c r="H99" i="34" s="1"/>
  <c r="G99" i="30"/>
  <c r="G99" i="34" s="1"/>
  <c r="R97" i="30"/>
  <c r="R97" i="34" s="1"/>
  <c r="Q97" i="30"/>
  <c r="Q97" i="34" s="1"/>
  <c r="J97" i="30"/>
  <c r="J97" i="34" s="1"/>
  <c r="R93" i="30"/>
  <c r="R93" i="34" s="1"/>
  <c r="Q93" i="30"/>
  <c r="Q93" i="34" s="1"/>
  <c r="J93" i="30"/>
  <c r="J93" i="34" s="1"/>
  <c r="H93" i="30"/>
  <c r="H93" i="34" s="1"/>
  <c r="G92" i="30"/>
  <c r="G92" i="34" s="1"/>
  <c r="AF91" i="30"/>
  <c r="S35" i="35" s="1"/>
  <c r="AE91" i="30"/>
  <c r="R35" i="35" s="1"/>
  <c r="AD91" i="30"/>
  <c r="Q35" i="35" s="1"/>
  <c r="AC91" i="30"/>
  <c r="P35" i="35" s="1"/>
  <c r="AB91" i="30"/>
  <c r="O35" i="35" s="1"/>
  <c r="AA91" i="30"/>
  <c r="N35" i="35" s="1"/>
  <c r="Z91" i="30"/>
  <c r="M35" i="35" s="1"/>
  <c r="Y91" i="30"/>
  <c r="L35" i="35" s="1"/>
  <c r="X91" i="30"/>
  <c r="K35" i="35" s="1"/>
  <c r="W91" i="30"/>
  <c r="J35" i="35" s="1"/>
  <c r="V91" i="30"/>
  <c r="I35" i="35" s="1"/>
  <c r="U91" i="30"/>
  <c r="H35" i="35" s="1"/>
  <c r="G91" i="30"/>
  <c r="G91" i="34" s="1"/>
  <c r="S90" i="30"/>
  <c r="S90" i="34" s="1"/>
  <c r="R90" i="30"/>
  <c r="R90" i="34" s="1"/>
  <c r="O90" i="30"/>
  <c r="O90" i="34" s="1"/>
  <c r="N90" i="30"/>
  <c r="N90" i="34" s="1"/>
  <c r="M90" i="30"/>
  <c r="M90" i="34" s="1"/>
  <c r="L90" i="30"/>
  <c r="L90" i="34" s="1"/>
  <c r="K90" i="30"/>
  <c r="K90" i="34" s="1"/>
  <c r="I90" i="30"/>
  <c r="I90" i="34" s="1"/>
  <c r="G89" i="30"/>
  <c r="G89" i="34" s="1"/>
  <c r="AF88" i="30"/>
  <c r="S34" i="35" s="1"/>
  <c r="AE88" i="30"/>
  <c r="R34" i="35" s="1"/>
  <c r="AD88" i="30"/>
  <c r="Q34" i="35" s="1"/>
  <c r="AC88" i="30"/>
  <c r="P34" i="35" s="1"/>
  <c r="AB88" i="30"/>
  <c r="O34" i="35" s="1"/>
  <c r="AA88" i="30"/>
  <c r="N34" i="35" s="1"/>
  <c r="Z88" i="30"/>
  <c r="M34" i="35" s="1"/>
  <c r="Y88" i="30"/>
  <c r="L34" i="35" s="1"/>
  <c r="X88" i="30"/>
  <c r="K34" i="35" s="1"/>
  <c r="W88" i="30"/>
  <c r="J34" i="35" s="1"/>
  <c r="V88" i="30"/>
  <c r="I34" i="35" s="1"/>
  <c r="U88" i="30"/>
  <c r="H34" i="35" s="1"/>
  <c r="G88" i="30"/>
  <c r="G88" i="34" s="1"/>
  <c r="H87" i="30"/>
  <c r="H87" i="34" s="1"/>
  <c r="G86" i="30"/>
  <c r="G86" i="34" s="1"/>
  <c r="AF85" i="30"/>
  <c r="S33" i="35" s="1"/>
  <c r="AE85" i="30"/>
  <c r="R33" i="35" s="1"/>
  <c r="AD85" i="30"/>
  <c r="Q33" i="35" s="1"/>
  <c r="AC85" i="30"/>
  <c r="P33" i="35" s="1"/>
  <c r="AB85" i="30"/>
  <c r="O33" i="35" s="1"/>
  <c r="AA85" i="30"/>
  <c r="N33" i="35" s="1"/>
  <c r="Z85" i="30"/>
  <c r="M33" i="35" s="1"/>
  <c r="Y85" i="30"/>
  <c r="L33" i="35" s="1"/>
  <c r="X85" i="30"/>
  <c r="K33" i="35" s="1"/>
  <c r="W85" i="30"/>
  <c r="J33" i="35" s="1"/>
  <c r="V85" i="30"/>
  <c r="I33" i="35" s="1"/>
  <c r="U85" i="30"/>
  <c r="H33" i="35" s="1"/>
  <c r="G85" i="30"/>
  <c r="G85" i="34" s="1"/>
  <c r="S84" i="30"/>
  <c r="S84" i="34" s="1"/>
  <c r="R84" i="30"/>
  <c r="R84" i="34" s="1"/>
  <c r="Q84" i="30"/>
  <c r="Q84" i="34" s="1"/>
  <c r="O84" i="30"/>
  <c r="O84" i="34" s="1"/>
  <c r="M84" i="30"/>
  <c r="M84" i="34" s="1"/>
  <c r="L84" i="30"/>
  <c r="L84" i="34" s="1"/>
  <c r="K84" i="30"/>
  <c r="K84" i="34" s="1"/>
  <c r="J84" i="30"/>
  <c r="J84" i="34" s="1"/>
  <c r="I84" i="30"/>
  <c r="I84" i="34" s="1"/>
  <c r="H84" i="30"/>
  <c r="H84" i="34" s="1"/>
  <c r="G83" i="30"/>
  <c r="G83" i="34" s="1"/>
  <c r="AF82" i="30"/>
  <c r="S32" i="35" s="1"/>
  <c r="AE82" i="30"/>
  <c r="R32" i="35" s="1"/>
  <c r="AD82" i="30"/>
  <c r="Q32" i="35" s="1"/>
  <c r="AC82" i="30"/>
  <c r="P32" i="35" s="1"/>
  <c r="AB82" i="30"/>
  <c r="O32" i="35" s="1"/>
  <c r="AA82" i="30"/>
  <c r="N32" i="35" s="1"/>
  <c r="Z82" i="30"/>
  <c r="M32" i="35" s="1"/>
  <c r="Y82" i="30"/>
  <c r="L32" i="35" s="1"/>
  <c r="X82" i="30"/>
  <c r="K32" i="35" s="1"/>
  <c r="W82" i="30"/>
  <c r="J32" i="35" s="1"/>
  <c r="V82" i="30"/>
  <c r="I32" i="35" s="1"/>
  <c r="U82" i="30"/>
  <c r="H32" i="35" s="1"/>
  <c r="G82" i="30"/>
  <c r="G82" i="34" s="1"/>
  <c r="S81" i="30"/>
  <c r="S81" i="34" s="1"/>
  <c r="P81" i="30"/>
  <c r="P81" i="34" s="1"/>
  <c r="N81" i="30"/>
  <c r="N81" i="34" s="1"/>
  <c r="M81" i="30"/>
  <c r="M81" i="34" s="1"/>
  <c r="J81" i="30"/>
  <c r="J81" i="34" s="1"/>
  <c r="G80" i="30"/>
  <c r="G80" i="34" s="1"/>
  <c r="AF79" i="30"/>
  <c r="S31" i="35" s="1"/>
  <c r="AE79" i="30"/>
  <c r="R31" i="35" s="1"/>
  <c r="AD79" i="30"/>
  <c r="Q31" i="35" s="1"/>
  <c r="AC79" i="30"/>
  <c r="P31" i="35" s="1"/>
  <c r="AB79" i="30"/>
  <c r="O31" i="35" s="1"/>
  <c r="AA79" i="30"/>
  <c r="N31" i="35" s="1"/>
  <c r="Z79" i="30"/>
  <c r="M31" i="35" s="1"/>
  <c r="Y79" i="30"/>
  <c r="L31" i="35" s="1"/>
  <c r="X79" i="30"/>
  <c r="K31" i="35" s="1"/>
  <c r="W79" i="30"/>
  <c r="J31" i="35" s="1"/>
  <c r="V79" i="30"/>
  <c r="I31" i="35" s="1"/>
  <c r="U79" i="30"/>
  <c r="H31" i="35" s="1"/>
  <c r="G79" i="30"/>
  <c r="G79" i="34" s="1"/>
  <c r="R78" i="30"/>
  <c r="R78" i="34" s="1"/>
  <c r="Q78" i="30"/>
  <c r="Q78" i="34" s="1"/>
  <c r="P78" i="30"/>
  <c r="P78" i="34" s="1"/>
  <c r="O78" i="30"/>
  <c r="O78" i="34" s="1"/>
  <c r="N78" i="30"/>
  <c r="N78" i="34" s="1"/>
  <c r="K78" i="30"/>
  <c r="K78" i="34" s="1"/>
  <c r="I78" i="30"/>
  <c r="I78" i="34" s="1"/>
  <c r="H78" i="30"/>
  <c r="H78" i="34" s="1"/>
  <c r="G77" i="30"/>
  <c r="G77" i="34" s="1"/>
  <c r="AF76" i="30"/>
  <c r="S30" i="35" s="1"/>
  <c r="AE76" i="30"/>
  <c r="R30" i="35" s="1"/>
  <c r="AD76" i="30"/>
  <c r="Q30" i="35" s="1"/>
  <c r="AC76" i="30"/>
  <c r="P30" i="35" s="1"/>
  <c r="AB76" i="30"/>
  <c r="O30" i="35" s="1"/>
  <c r="AA76" i="30"/>
  <c r="N30" i="35" s="1"/>
  <c r="Z76" i="30"/>
  <c r="M30" i="35" s="1"/>
  <c r="Y76" i="30"/>
  <c r="L30" i="35" s="1"/>
  <c r="X76" i="30"/>
  <c r="K30" i="35" s="1"/>
  <c r="W76" i="30"/>
  <c r="J30" i="35" s="1"/>
  <c r="V76" i="30"/>
  <c r="I30" i="35" s="1"/>
  <c r="U76" i="30"/>
  <c r="H30" i="35" s="1"/>
  <c r="G76" i="30"/>
  <c r="G76" i="34" s="1"/>
  <c r="S75" i="30"/>
  <c r="S75" i="34" s="1"/>
  <c r="R75" i="30"/>
  <c r="R75" i="34" s="1"/>
  <c r="P75" i="30"/>
  <c r="P75" i="34" s="1"/>
  <c r="N75" i="30"/>
  <c r="N75" i="34" s="1"/>
  <c r="M75" i="30"/>
  <c r="M75" i="34" s="1"/>
  <c r="L75" i="30"/>
  <c r="L75" i="34" s="1"/>
  <c r="K75" i="30"/>
  <c r="K75" i="34" s="1"/>
  <c r="J75" i="30"/>
  <c r="J75" i="34" s="1"/>
  <c r="I75" i="30"/>
  <c r="I75" i="34" s="1"/>
  <c r="G74" i="30"/>
  <c r="G74" i="34" s="1"/>
  <c r="AF73" i="30"/>
  <c r="S29" i="35" s="1"/>
  <c r="AE73" i="30"/>
  <c r="R29" i="35" s="1"/>
  <c r="AD73" i="30"/>
  <c r="Q29" i="35" s="1"/>
  <c r="AC73" i="30"/>
  <c r="P29" i="35" s="1"/>
  <c r="AB73" i="30"/>
  <c r="O29" i="35" s="1"/>
  <c r="AA73" i="30"/>
  <c r="N29" i="35" s="1"/>
  <c r="Z73" i="30"/>
  <c r="M29" i="35" s="1"/>
  <c r="Y73" i="30"/>
  <c r="L29" i="35" s="1"/>
  <c r="X73" i="30"/>
  <c r="K29" i="35" s="1"/>
  <c r="W73" i="30"/>
  <c r="J29" i="35" s="1"/>
  <c r="V73" i="30"/>
  <c r="I29" i="35" s="1"/>
  <c r="U73" i="30"/>
  <c r="H29" i="35" s="1"/>
  <c r="G73" i="30"/>
  <c r="G73" i="34" s="1"/>
  <c r="O72" i="30"/>
  <c r="O72" i="34" s="1"/>
  <c r="N72" i="30"/>
  <c r="N72" i="34" s="1"/>
  <c r="G71" i="30"/>
  <c r="G71" i="34" s="1"/>
  <c r="AF70" i="30"/>
  <c r="S28" i="35" s="1"/>
  <c r="AE70" i="30"/>
  <c r="R28" i="35" s="1"/>
  <c r="AD70" i="30"/>
  <c r="Q28" i="35" s="1"/>
  <c r="AC70" i="30"/>
  <c r="P28" i="35" s="1"/>
  <c r="AB70" i="30"/>
  <c r="O28" i="35" s="1"/>
  <c r="AA70" i="30"/>
  <c r="N28" i="35" s="1"/>
  <c r="Z70" i="30"/>
  <c r="M28" i="35" s="1"/>
  <c r="Y70" i="30"/>
  <c r="L28" i="35" s="1"/>
  <c r="X70" i="30"/>
  <c r="K28" i="35" s="1"/>
  <c r="W70" i="30"/>
  <c r="J28" i="35" s="1"/>
  <c r="V70" i="30"/>
  <c r="I28" i="35" s="1"/>
  <c r="U70" i="30"/>
  <c r="H28" i="35" s="1"/>
  <c r="G70" i="30"/>
  <c r="G70" i="34" s="1"/>
  <c r="S69" i="30"/>
  <c r="S69" i="34" s="1"/>
  <c r="R69" i="30"/>
  <c r="R69" i="34" s="1"/>
  <c r="Q69" i="30"/>
  <c r="Q69" i="34" s="1"/>
  <c r="P69" i="30"/>
  <c r="P69" i="34" s="1"/>
  <c r="O69" i="30"/>
  <c r="O69" i="34" s="1"/>
  <c r="N69" i="30"/>
  <c r="N69" i="34" s="1"/>
  <c r="M69" i="30"/>
  <c r="M69" i="34" s="1"/>
  <c r="L69" i="30"/>
  <c r="L69" i="34" s="1"/>
  <c r="K69" i="30"/>
  <c r="K69" i="34" s="1"/>
  <c r="J69" i="30"/>
  <c r="J69" i="34" s="1"/>
  <c r="I69" i="30"/>
  <c r="I69" i="34" s="1"/>
  <c r="H69" i="30"/>
  <c r="H69" i="34" s="1"/>
  <c r="G68" i="30"/>
  <c r="G68" i="34" s="1"/>
  <c r="AF67" i="30"/>
  <c r="S27" i="35" s="1"/>
  <c r="AE67" i="30"/>
  <c r="R27" i="35" s="1"/>
  <c r="AD67" i="30"/>
  <c r="Q27" i="35" s="1"/>
  <c r="AC67" i="30"/>
  <c r="P27" i="35" s="1"/>
  <c r="AB67" i="30"/>
  <c r="O27" i="35" s="1"/>
  <c r="AA67" i="30"/>
  <c r="N27" i="35" s="1"/>
  <c r="Z67" i="30"/>
  <c r="M27" i="35" s="1"/>
  <c r="Y67" i="30"/>
  <c r="L27" i="35" s="1"/>
  <c r="X67" i="30"/>
  <c r="K27" i="35" s="1"/>
  <c r="W67" i="30"/>
  <c r="J27" i="35" s="1"/>
  <c r="V67" i="30"/>
  <c r="I27" i="35" s="1"/>
  <c r="U67" i="30"/>
  <c r="H27" i="35" s="1"/>
  <c r="T67" i="30"/>
  <c r="G27" i="35" s="1"/>
  <c r="G67" i="30"/>
  <c r="G67" i="34" s="1"/>
  <c r="Q66" i="30"/>
  <c r="Q66" i="34" s="1"/>
  <c r="M66" i="30"/>
  <c r="M66" i="34" s="1"/>
  <c r="L66" i="30"/>
  <c r="L66" i="34" s="1"/>
  <c r="K66" i="30"/>
  <c r="K66" i="34" s="1"/>
  <c r="J66" i="30"/>
  <c r="J66" i="34" s="1"/>
  <c r="G65" i="30"/>
  <c r="G65" i="34" s="1"/>
  <c r="AF64" i="30"/>
  <c r="S26" i="35" s="1"/>
  <c r="AE64" i="30"/>
  <c r="R26" i="35" s="1"/>
  <c r="AD64" i="30"/>
  <c r="Q26" i="35" s="1"/>
  <c r="AC64" i="30"/>
  <c r="P26" i="35" s="1"/>
  <c r="AB64" i="30"/>
  <c r="O26" i="35" s="1"/>
  <c r="AA64" i="30"/>
  <c r="N26" i="35" s="1"/>
  <c r="Z64" i="30"/>
  <c r="M26" i="35" s="1"/>
  <c r="Y64" i="30"/>
  <c r="L26" i="35" s="1"/>
  <c r="X64" i="30"/>
  <c r="K26" i="35" s="1"/>
  <c r="W64" i="30"/>
  <c r="J26" i="35" s="1"/>
  <c r="V64" i="30"/>
  <c r="I26" i="35" s="1"/>
  <c r="U64" i="30"/>
  <c r="H26" i="35" s="1"/>
  <c r="G64" i="30"/>
  <c r="G64" i="34" s="1"/>
  <c r="AF62" i="30"/>
  <c r="AF41" i="30" s="1"/>
  <c r="AF4" i="30" s="1"/>
  <c r="AE62" i="30"/>
  <c r="AE41" i="30" s="1"/>
  <c r="AE4" i="30" s="1"/>
  <c r="AD62" i="30"/>
  <c r="AD41" i="30" s="1"/>
  <c r="AD4" i="30" s="1"/>
  <c r="AC62" i="30"/>
  <c r="AB62" i="30"/>
  <c r="AA62" i="30"/>
  <c r="Z62" i="30"/>
  <c r="Y62" i="30"/>
  <c r="Y41" i="30" s="1"/>
  <c r="Y4" i="30" s="1"/>
  <c r="X62" i="30"/>
  <c r="X41" i="30" s="1"/>
  <c r="X4" i="30" s="1"/>
  <c r="W62" i="30"/>
  <c r="V62" i="30"/>
  <c r="U62" i="30"/>
  <c r="T62" i="30"/>
  <c r="S62" i="30"/>
  <c r="S62" i="34" s="1"/>
  <c r="R62" i="30"/>
  <c r="R62" i="34" s="1"/>
  <c r="Q62" i="30"/>
  <c r="Q62" i="34" s="1"/>
  <c r="P62" i="30"/>
  <c r="P62" i="34" s="1"/>
  <c r="O62" i="30"/>
  <c r="O62" i="34" s="1"/>
  <c r="N62" i="30"/>
  <c r="N62" i="34" s="1"/>
  <c r="M62" i="30"/>
  <c r="M62" i="34" s="1"/>
  <c r="L62" i="30"/>
  <c r="L62" i="34" s="1"/>
  <c r="K62" i="30"/>
  <c r="K62" i="34" s="1"/>
  <c r="J62" i="30"/>
  <c r="J62" i="34" s="1"/>
  <c r="I62" i="30"/>
  <c r="I62" i="34" s="1"/>
  <c r="H62" i="30"/>
  <c r="H62" i="34" s="1"/>
  <c r="S61" i="30"/>
  <c r="S61" i="34" s="1"/>
  <c r="R61" i="30"/>
  <c r="R61" i="34" s="1"/>
  <c r="Q61" i="30"/>
  <c r="Q61" i="34" s="1"/>
  <c r="P61" i="30"/>
  <c r="P61" i="34" s="1"/>
  <c r="O61" i="30"/>
  <c r="O61" i="34" s="1"/>
  <c r="N61" i="30"/>
  <c r="N61" i="34" s="1"/>
  <c r="M61" i="30"/>
  <c r="M61" i="34" s="1"/>
  <c r="L61" i="30"/>
  <c r="L61" i="34" s="1"/>
  <c r="K61" i="30"/>
  <c r="K61" i="34" s="1"/>
  <c r="J61" i="30"/>
  <c r="J61" i="34" s="1"/>
  <c r="I61" i="30"/>
  <c r="I61" i="34" s="1"/>
  <c r="H61" i="30"/>
  <c r="H61" i="34" s="1"/>
  <c r="P57" i="30"/>
  <c r="P57" i="34" s="1"/>
  <c r="O57" i="30"/>
  <c r="O57" i="34" s="1"/>
  <c r="L57" i="30"/>
  <c r="L57" i="34" s="1"/>
  <c r="H57" i="30"/>
  <c r="H57" i="34" s="1"/>
  <c r="G56" i="30"/>
  <c r="G56" i="34" s="1"/>
  <c r="AF55" i="30"/>
  <c r="S21" i="35" s="1"/>
  <c r="AE55" i="30"/>
  <c r="R21" i="35" s="1"/>
  <c r="AD55" i="30"/>
  <c r="Q21" i="35" s="1"/>
  <c r="AC55" i="30"/>
  <c r="P21" i="35" s="1"/>
  <c r="AB55" i="30"/>
  <c r="O21" i="35" s="1"/>
  <c r="AA55" i="30"/>
  <c r="N21" i="35" s="1"/>
  <c r="Z55" i="30"/>
  <c r="M21" i="35" s="1"/>
  <c r="Y55" i="30"/>
  <c r="L21" i="35" s="1"/>
  <c r="X55" i="30"/>
  <c r="K21" i="35" s="1"/>
  <c r="W55" i="30"/>
  <c r="J21" i="35" s="1"/>
  <c r="V55" i="30"/>
  <c r="I21" i="35" s="1"/>
  <c r="U55" i="30"/>
  <c r="H21" i="35" s="1"/>
  <c r="G55" i="30"/>
  <c r="G55" i="34" s="1"/>
  <c r="S54" i="30"/>
  <c r="S54" i="34" s="1"/>
  <c r="Q54" i="30"/>
  <c r="Q54" i="34" s="1"/>
  <c r="K54" i="30"/>
  <c r="K54" i="34" s="1"/>
  <c r="J54" i="30"/>
  <c r="J54" i="34" s="1"/>
  <c r="G53" i="30"/>
  <c r="I54" i="30" s="1"/>
  <c r="I54" i="34" s="1"/>
  <c r="AF52" i="30"/>
  <c r="S20" i="35" s="1"/>
  <c r="AE52" i="30"/>
  <c r="R20" i="35" s="1"/>
  <c r="AD52" i="30"/>
  <c r="Q20" i="35" s="1"/>
  <c r="AC52" i="30"/>
  <c r="P20" i="35" s="1"/>
  <c r="AB52" i="30"/>
  <c r="O20" i="35" s="1"/>
  <c r="AA52" i="30"/>
  <c r="N20" i="35" s="1"/>
  <c r="Z52" i="30"/>
  <c r="M20" i="35" s="1"/>
  <c r="Y52" i="30"/>
  <c r="L20" i="35" s="1"/>
  <c r="X52" i="30"/>
  <c r="K20" i="35" s="1"/>
  <c r="W52" i="30"/>
  <c r="J20" i="35" s="1"/>
  <c r="V52" i="30"/>
  <c r="I20" i="35" s="1"/>
  <c r="U52" i="30"/>
  <c r="H20" i="35" s="1"/>
  <c r="G52" i="30"/>
  <c r="G52" i="34" s="1"/>
  <c r="R51" i="30"/>
  <c r="R51" i="34" s="1"/>
  <c r="O51" i="30"/>
  <c r="O51" i="34" s="1"/>
  <c r="N51" i="30"/>
  <c r="N51" i="34" s="1"/>
  <c r="M51" i="30"/>
  <c r="M51" i="34" s="1"/>
  <c r="L51" i="30"/>
  <c r="L51" i="34" s="1"/>
  <c r="K51" i="30"/>
  <c r="K51" i="34" s="1"/>
  <c r="H51" i="30"/>
  <c r="H51" i="34" s="1"/>
  <c r="G50" i="30"/>
  <c r="G50" i="34" s="1"/>
  <c r="AF49" i="30"/>
  <c r="S19" i="35" s="1"/>
  <c r="AE49" i="30"/>
  <c r="R19" i="35" s="1"/>
  <c r="AD49" i="30"/>
  <c r="Q19" i="35" s="1"/>
  <c r="AC49" i="30"/>
  <c r="P19" i="35" s="1"/>
  <c r="AB49" i="30"/>
  <c r="O19" i="35" s="1"/>
  <c r="AA49" i="30"/>
  <c r="N19" i="35" s="1"/>
  <c r="Z49" i="30"/>
  <c r="M19" i="35" s="1"/>
  <c r="Y49" i="30"/>
  <c r="L19" i="35" s="1"/>
  <c r="X49" i="30"/>
  <c r="K19" i="35" s="1"/>
  <c r="W49" i="30"/>
  <c r="J19" i="35" s="1"/>
  <c r="V49" i="30"/>
  <c r="I19" i="35" s="1"/>
  <c r="U49" i="30"/>
  <c r="H19" i="35" s="1"/>
  <c r="G49" i="30"/>
  <c r="G49" i="34" s="1"/>
  <c r="Q48" i="30"/>
  <c r="Q48" i="34" s="1"/>
  <c r="P48" i="30"/>
  <c r="P48" i="34" s="1"/>
  <c r="G47" i="30"/>
  <c r="G47" i="34" s="1"/>
  <c r="AF46" i="30"/>
  <c r="S18" i="35" s="1"/>
  <c r="AE46" i="30"/>
  <c r="R18" i="35" s="1"/>
  <c r="AD46" i="30"/>
  <c r="Q18" i="35" s="1"/>
  <c r="AC46" i="30"/>
  <c r="P18" i="35" s="1"/>
  <c r="AB46" i="30"/>
  <c r="O18" i="35" s="1"/>
  <c r="AA46" i="30"/>
  <c r="N18" i="35" s="1"/>
  <c r="Z46" i="30"/>
  <c r="M18" i="35" s="1"/>
  <c r="Y46" i="30"/>
  <c r="L18" i="35" s="1"/>
  <c r="X46" i="30"/>
  <c r="K18" i="35" s="1"/>
  <c r="W46" i="30"/>
  <c r="J18" i="35" s="1"/>
  <c r="V46" i="30"/>
  <c r="I18" i="35" s="1"/>
  <c r="U46" i="30"/>
  <c r="H18" i="35" s="1"/>
  <c r="G46" i="30"/>
  <c r="G46" i="34" s="1"/>
  <c r="AF44" i="30"/>
  <c r="AE44" i="30"/>
  <c r="AD44" i="30"/>
  <c r="AC44" i="30"/>
  <c r="AB44" i="30"/>
  <c r="AA44" i="30"/>
  <c r="Z44" i="30"/>
  <c r="Y44" i="30"/>
  <c r="X44" i="30"/>
  <c r="W44" i="30"/>
  <c r="V44" i="30"/>
  <c r="U44" i="30"/>
  <c r="U41" i="30" s="1"/>
  <c r="U4" i="30" s="1"/>
  <c r="T44" i="30"/>
  <c r="S44" i="30"/>
  <c r="S44" i="34" s="1"/>
  <c r="R44" i="30"/>
  <c r="R44" i="34" s="1"/>
  <c r="Q44" i="30"/>
  <c r="Q44" i="34" s="1"/>
  <c r="P44" i="30"/>
  <c r="P44" i="34" s="1"/>
  <c r="O44" i="30"/>
  <c r="O44" i="34" s="1"/>
  <c r="N44" i="30"/>
  <c r="N44" i="34" s="1"/>
  <c r="M44" i="30"/>
  <c r="M44" i="34" s="1"/>
  <c r="L44" i="30"/>
  <c r="L44" i="34" s="1"/>
  <c r="K44" i="30"/>
  <c r="K44" i="34" s="1"/>
  <c r="J44" i="30"/>
  <c r="J44" i="34" s="1"/>
  <c r="I44" i="30"/>
  <c r="I44" i="34" s="1"/>
  <c r="H44" i="30"/>
  <c r="H44" i="34" s="1"/>
  <c r="AE43" i="30"/>
  <c r="R17" i="35" s="1"/>
  <c r="AD43" i="30"/>
  <c r="Q17" i="35" s="1"/>
  <c r="W43" i="30"/>
  <c r="J17" i="35" s="1"/>
  <c r="S43" i="30"/>
  <c r="S43" i="34" s="1"/>
  <c r="R43" i="30"/>
  <c r="R43" i="34" s="1"/>
  <c r="Q43" i="30"/>
  <c r="Q43" i="34" s="1"/>
  <c r="P43" i="30"/>
  <c r="P43" i="34" s="1"/>
  <c r="O43" i="30"/>
  <c r="O43" i="34" s="1"/>
  <c r="N43" i="30"/>
  <c r="N43" i="34" s="1"/>
  <c r="M43" i="30"/>
  <c r="M43" i="34" s="1"/>
  <c r="L43" i="30"/>
  <c r="L43" i="34" s="1"/>
  <c r="K43" i="30"/>
  <c r="K43" i="34" s="1"/>
  <c r="J43" i="30"/>
  <c r="J43" i="34" s="1"/>
  <c r="I43" i="30"/>
  <c r="I43" i="34" s="1"/>
  <c r="H43" i="30"/>
  <c r="H43" i="34" s="1"/>
  <c r="G43" i="30"/>
  <c r="G43" i="34" s="1"/>
  <c r="AC41" i="30"/>
  <c r="AB41" i="30"/>
  <c r="AA41" i="30"/>
  <c r="Z41" i="30"/>
  <c r="W41" i="30"/>
  <c r="V41" i="30"/>
  <c r="T41" i="30"/>
  <c r="S41" i="30"/>
  <c r="S41" i="34" s="1"/>
  <c r="Q41" i="30"/>
  <c r="Q41" i="34" s="1"/>
  <c r="M41" i="30"/>
  <c r="M41" i="34" s="1"/>
  <c r="L41" i="30"/>
  <c r="L41" i="34" s="1"/>
  <c r="K41" i="30"/>
  <c r="K41" i="34" s="1"/>
  <c r="J41" i="30"/>
  <c r="Q40" i="30"/>
  <c r="Q40" i="34" s="1"/>
  <c r="P40" i="30"/>
  <c r="P40" i="34" s="1"/>
  <c r="O40" i="30"/>
  <c r="O40" i="34" s="1"/>
  <c r="N40" i="30"/>
  <c r="N40" i="34" s="1"/>
  <c r="M40" i="30"/>
  <c r="M40" i="34" s="1"/>
  <c r="K40" i="30"/>
  <c r="K40" i="34" s="1"/>
  <c r="AF39" i="30"/>
  <c r="S15" i="35" s="1"/>
  <c r="AE39" i="30"/>
  <c r="R15" i="35" s="1"/>
  <c r="AD39" i="30"/>
  <c r="Q15" i="35" s="1"/>
  <c r="AC39" i="30"/>
  <c r="P15" i="35" s="1"/>
  <c r="AB39" i="30"/>
  <c r="O15" i="35" s="1"/>
  <c r="AA39" i="30"/>
  <c r="N15" i="35" s="1"/>
  <c r="Z39" i="30"/>
  <c r="M15" i="35" s="1"/>
  <c r="Y39" i="30"/>
  <c r="L15" i="35" s="1"/>
  <c r="X39" i="30"/>
  <c r="K15" i="35" s="1"/>
  <c r="W39" i="30"/>
  <c r="J15" i="35" s="1"/>
  <c r="V39" i="30"/>
  <c r="I15" i="35" s="1"/>
  <c r="U39" i="30"/>
  <c r="H15" i="35" s="1"/>
  <c r="Q38" i="30"/>
  <c r="Q38" i="34" s="1"/>
  <c r="O38" i="30"/>
  <c r="O38" i="34" s="1"/>
  <c r="N38" i="30"/>
  <c r="N38" i="34" s="1"/>
  <c r="I38" i="30"/>
  <c r="I38" i="34" s="1"/>
  <c r="H38" i="30"/>
  <c r="H38" i="34" s="1"/>
  <c r="G37" i="30"/>
  <c r="S38" i="30" s="1"/>
  <c r="S38" i="34" s="1"/>
  <c r="AF36" i="30"/>
  <c r="S14" i="35" s="1"/>
  <c r="AE36" i="30"/>
  <c r="R14" i="35" s="1"/>
  <c r="AD36" i="30"/>
  <c r="Q14" i="35" s="1"/>
  <c r="AC36" i="30"/>
  <c r="P14" i="35" s="1"/>
  <c r="AB36" i="30"/>
  <c r="O14" i="35" s="1"/>
  <c r="AA36" i="30"/>
  <c r="N14" i="35" s="1"/>
  <c r="Z36" i="30"/>
  <c r="M14" i="35" s="1"/>
  <c r="Y36" i="30"/>
  <c r="L14" i="35" s="1"/>
  <c r="X36" i="30"/>
  <c r="K14" i="35" s="1"/>
  <c r="W36" i="30"/>
  <c r="J14" i="35" s="1"/>
  <c r="V36" i="30"/>
  <c r="I14" i="35" s="1"/>
  <c r="U36" i="30"/>
  <c r="H14" i="35" s="1"/>
  <c r="G36" i="30"/>
  <c r="G36" i="34" s="1"/>
  <c r="S35" i="30"/>
  <c r="S35" i="34" s="1"/>
  <c r="R35" i="30"/>
  <c r="R35" i="34" s="1"/>
  <c r="P35" i="30"/>
  <c r="P35" i="34" s="1"/>
  <c r="M35" i="30"/>
  <c r="M35" i="34" s="1"/>
  <c r="L35" i="30"/>
  <c r="L35" i="34" s="1"/>
  <c r="K35" i="30"/>
  <c r="K35" i="34" s="1"/>
  <c r="J35" i="30"/>
  <c r="J35" i="34" s="1"/>
  <c r="I35" i="30"/>
  <c r="I35" i="34" s="1"/>
  <c r="G34" i="30"/>
  <c r="G34" i="34" s="1"/>
  <c r="AF33" i="30"/>
  <c r="S13" i="35" s="1"/>
  <c r="AE33" i="30"/>
  <c r="R13" i="35" s="1"/>
  <c r="AD33" i="30"/>
  <c r="Q13" i="35" s="1"/>
  <c r="AC33" i="30"/>
  <c r="P13" i="35" s="1"/>
  <c r="AB33" i="30"/>
  <c r="O13" i="35" s="1"/>
  <c r="AA33" i="30"/>
  <c r="N13" i="35" s="1"/>
  <c r="Z33" i="30"/>
  <c r="M13" i="35" s="1"/>
  <c r="Y33" i="30"/>
  <c r="L13" i="35" s="1"/>
  <c r="X33" i="30"/>
  <c r="K13" i="35" s="1"/>
  <c r="W33" i="30"/>
  <c r="J13" i="35" s="1"/>
  <c r="V33" i="30"/>
  <c r="I13" i="35" s="1"/>
  <c r="U33" i="30"/>
  <c r="H13" i="35" s="1"/>
  <c r="G33" i="30"/>
  <c r="G33" i="34" s="1"/>
  <c r="O32" i="30"/>
  <c r="O32" i="34" s="1"/>
  <c r="N32" i="30"/>
  <c r="N32" i="34" s="1"/>
  <c r="G31" i="30"/>
  <c r="G31" i="34" s="1"/>
  <c r="AF30" i="30"/>
  <c r="S12" i="35" s="1"/>
  <c r="AE30" i="30"/>
  <c r="R12" i="35" s="1"/>
  <c r="AD30" i="30"/>
  <c r="Q12" i="35" s="1"/>
  <c r="AC30" i="30"/>
  <c r="P12" i="35" s="1"/>
  <c r="AB30" i="30"/>
  <c r="O12" i="35" s="1"/>
  <c r="AA30" i="30"/>
  <c r="N12" i="35" s="1"/>
  <c r="Z30" i="30"/>
  <c r="M12" i="35" s="1"/>
  <c r="Y30" i="30"/>
  <c r="L12" i="35" s="1"/>
  <c r="X30" i="30"/>
  <c r="K12" i="35" s="1"/>
  <c r="W30" i="30"/>
  <c r="J12" i="35" s="1"/>
  <c r="V30" i="30"/>
  <c r="I12" i="35" s="1"/>
  <c r="U30" i="30"/>
  <c r="H12" i="35" s="1"/>
  <c r="G30" i="30"/>
  <c r="G30" i="34" s="1"/>
  <c r="S29" i="30"/>
  <c r="S29" i="34" s="1"/>
  <c r="R29" i="30"/>
  <c r="R29" i="34" s="1"/>
  <c r="Q29" i="30"/>
  <c r="Q29" i="34" s="1"/>
  <c r="P29" i="30"/>
  <c r="P29" i="34" s="1"/>
  <c r="O29" i="30"/>
  <c r="O29" i="34" s="1"/>
  <c r="N29" i="30"/>
  <c r="N29" i="34" s="1"/>
  <c r="M29" i="30"/>
  <c r="M29" i="34" s="1"/>
  <c r="L29" i="30"/>
  <c r="L29" i="34" s="1"/>
  <c r="K29" i="30"/>
  <c r="K29" i="34" s="1"/>
  <c r="J29" i="30"/>
  <c r="J29" i="34" s="1"/>
  <c r="I29" i="30"/>
  <c r="I29" i="34" s="1"/>
  <c r="H29" i="30"/>
  <c r="H29" i="34" s="1"/>
  <c r="G28" i="30"/>
  <c r="G28" i="34" s="1"/>
  <c r="AF27" i="30"/>
  <c r="S11" i="35" s="1"/>
  <c r="AE27" i="30"/>
  <c r="R11" i="35" s="1"/>
  <c r="AD27" i="30"/>
  <c r="Q11" i="35" s="1"/>
  <c r="AC27" i="30"/>
  <c r="P11" i="35" s="1"/>
  <c r="AB27" i="30"/>
  <c r="O11" i="35" s="1"/>
  <c r="AA27" i="30"/>
  <c r="N11" i="35" s="1"/>
  <c r="Z27" i="30"/>
  <c r="M11" i="35" s="1"/>
  <c r="Y27" i="30"/>
  <c r="L11" i="35" s="1"/>
  <c r="X27" i="30"/>
  <c r="K11" i="35" s="1"/>
  <c r="W27" i="30"/>
  <c r="J11" i="35" s="1"/>
  <c r="V27" i="30"/>
  <c r="I11" i="35" s="1"/>
  <c r="U27" i="30"/>
  <c r="H11" i="35" s="1"/>
  <c r="T27" i="30"/>
  <c r="G11" i="35" s="1"/>
  <c r="G27" i="30"/>
  <c r="G27" i="34" s="1"/>
  <c r="S26" i="30"/>
  <c r="S26" i="34" s="1"/>
  <c r="Q26" i="30"/>
  <c r="Q26" i="34" s="1"/>
  <c r="M26" i="30"/>
  <c r="M26" i="34" s="1"/>
  <c r="L26" i="30"/>
  <c r="L26" i="34" s="1"/>
  <c r="K26" i="30"/>
  <c r="K26" i="34" s="1"/>
  <c r="J26" i="30"/>
  <c r="J26" i="34" s="1"/>
  <c r="G25" i="30"/>
  <c r="G25" i="34" s="1"/>
  <c r="AF24" i="30"/>
  <c r="S10" i="35" s="1"/>
  <c r="AE24" i="30"/>
  <c r="R10" i="35" s="1"/>
  <c r="AD24" i="30"/>
  <c r="Q10" i="35" s="1"/>
  <c r="AC24" i="30"/>
  <c r="P10" i="35" s="1"/>
  <c r="AB24" i="30"/>
  <c r="O10" i="35" s="1"/>
  <c r="AA24" i="30"/>
  <c r="N10" i="35" s="1"/>
  <c r="Z24" i="30"/>
  <c r="M10" i="35" s="1"/>
  <c r="Y24" i="30"/>
  <c r="L10" i="35" s="1"/>
  <c r="X24" i="30"/>
  <c r="K10" i="35" s="1"/>
  <c r="W24" i="30"/>
  <c r="J10" i="35" s="1"/>
  <c r="V24" i="30"/>
  <c r="I10" i="35" s="1"/>
  <c r="U24" i="30"/>
  <c r="H10" i="35" s="1"/>
  <c r="G24" i="30"/>
  <c r="G24" i="34" s="1"/>
  <c r="P23" i="30"/>
  <c r="P23" i="34" s="1"/>
  <c r="O23" i="30"/>
  <c r="O23" i="34" s="1"/>
  <c r="N23" i="30"/>
  <c r="N23" i="34" s="1"/>
  <c r="L23" i="30"/>
  <c r="L23" i="34" s="1"/>
  <c r="H23" i="30"/>
  <c r="H23" i="34" s="1"/>
  <c r="G22" i="30"/>
  <c r="M23" i="30" s="1"/>
  <c r="M23" i="34" s="1"/>
  <c r="AF21" i="30"/>
  <c r="S9" i="35" s="1"/>
  <c r="AE21" i="30"/>
  <c r="R9" i="35" s="1"/>
  <c r="AD21" i="30"/>
  <c r="Q9" i="35" s="1"/>
  <c r="AC21" i="30"/>
  <c r="P9" i="35" s="1"/>
  <c r="AB21" i="30"/>
  <c r="O9" i="35" s="1"/>
  <c r="AA21" i="30"/>
  <c r="N9" i="35" s="1"/>
  <c r="Z21" i="30"/>
  <c r="M9" i="35" s="1"/>
  <c r="Y21" i="30"/>
  <c r="L9" i="35" s="1"/>
  <c r="X21" i="30"/>
  <c r="K9" i="35" s="1"/>
  <c r="W21" i="30"/>
  <c r="J9" i="35" s="1"/>
  <c r="V21" i="30"/>
  <c r="I9" i="35" s="1"/>
  <c r="U21" i="30"/>
  <c r="H9" i="35" s="1"/>
  <c r="G21" i="30"/>
  <c r="G21" i="34" s="1"/>
  <c r="S20" i="30"/>
  <c r="S20" i="34" s="1"/>
  <c r="Q20" i="30"/>
  <c r="Q20" i="34" s="1"/>
  <c r="M20" i="30"/>
  <c r="M20" i="34" s="1"/>
  <c r="K20" i="30"/>
  <c r="K20" i="34" s="1"/>
  <c r="J20" i="30"/>
  <c r="J20" i="34" s="1"/>
  <c r="G19" i="30"/>
  <c r="G19" i="34" s="1"/>
  <c r="AF18" i="30"/>
  <c r="S8" i="35" s="1"/>
  <c r="AE18" i="30"/>
  <c r="R8" i="35" s="1"/>
  <c r="AD18" i="30"/>
  <c r="Q8" i="35" s="1"/>
  <c r="AC18" i="30"/>
  <c r="P8" i="35" s="1"/>
  <c r="AB18" i="30"/>
  <c r="O8" i="35" s="1"/>
  <c r="AA18" i="30"/>
  <c r="N8" i="35" s="1"/>
  <c r="Z18" i="30"/>
  <c r="M8" i="35" s="1"/>
  <c r="Y18" i="30"/>
  <c r="L8" i="35" s="1"/>
  <c r="X18" i="30"/>
  <c r="K8" i="35" s="1"/>
  <c r="W18" i="30"/>
  <c r="J8" i="35" s="1"/>
  <c r="V18" i="30"/>
  <c r="I8" i="35" s="1"/>
  <c r="U18" i="30"/>
  <c r="H8" i="35" s="1"/>
  <c r="G18" i="30"/>
  <c r="G18" i="34" s="1"/>
  <c r="R17" i="30"/>
  <c r="O17" i="30"/>
  <c r="O17" i="34" s="1"/>
  <c r="N17" i="30"/>
  <c r="N17" i="34" s="1"/>
  <c r="M17" i="30"/>
  <c r="M17" i="34" s="1"/>
  <c r="L17" i="30"/>
  <c r="L17" i="34" s="1"/>
  <c r="K17" i="30"/>
  <c r="K17" i="34" s="1"/>
  <c r="H17" i="30"/>
  <c r="H17" i="34" s="1"/>
  <c r="G16" i="30"/>
  <c r="G16" i="34" s="1"/>
  <c r="AF15" i="30"/>
  <c r="S7" i="35" s="1"/>
  <c r="AE15" i="30"/>
  <c r="R7" i="35" s="1"/>
  <c r="AD15" i="30"/>
  <c r="Q7" i="35" s="1"/>
  <c r="AC15" i="30"/>
  <c r="P7" i="35" s="1"/>
  <c r="AB15" i="30"/>
  <c r="O7" i="35" s="1"/>
  <c r="AA15" i="30"/>
  <c r="N7" i="35" s="1"/>
  <c r="Z15" i="30"/>
  <c r="M7" i="35" s="1"/>
  <c r="Y15" i="30"/>
  <c r="L7" i="35" s="1"/>
  <c r="X15" i="30"/>
  <c r="K7" i="35" s="1"/>
  <c r="W15" i="30"/>
  <c r="J7" i="35" s="1"/>
  <c r="V15" i="30"/>
  <c r="I7" i="35" s="1"/>
  <c r="U15" i="30"/>
  <c r="H7" i="35" s="1"/>
  <c r="G15" i="30"/>
  <c r="G15" i="34" s="1"/>
  <c r="S14" i="30"/>
  <c r="S14" i="34" s="1"/>
  <c r="Q14" i="30"/>
  <c r="Q14" i="34" s="1"/>
  <c r="P14" i="30"/>
  <c r="I14" i="30"/>
  <c r="I14" i="34" s="1"/>
  <c r="G13" i="30"/>
  <c r="G13" i="34" s="1"/>
  <c r="AF12" i="30"/>
  <c r="S6" i="35" s="1"/>
  <c r="AE12" i="30"/>
  <c r="R6" i="35" s="1"/>
  <c r="AD12" i="30"/>
  <c r="Q6" i="35" s="1"/>
  <c r="AC12" i="30"/>
  <c r="P6" i="35" s="1"/>
  <c r="AB12" i="30"/>
  <c r="O6" i="35" s="1"/>
  <c r="AA12" i="30"/>
  <c r="N6" i="35" s="1"/>
  <c r="Z12" i="30"/>
  <c r="M6" i="35" s="1"/>
  <c r="Y12" i="30"/>
  <c r="L6" i="35" s="1"/>
  <c r="X12" i="30"/>
  <c r="K6" i="35" s="1"/>
  <c r="W12" i="30"/>
  <c r="J6" i="35" s="1"/>
  <c r="V12" i="30"/>
  <c r="I6" i="35" s="1"/>
  <c r="U12" i="30"/>
  <c r="G12" i="30"/>
  <c r="G12" i="34" s="1"/>
  <c r="L11" i="30"/>
  <c r="L11" i="34" s="1"/>
  <c r="K11" i="30"/>
  <c r="K11" i="34" s="1"/>
  <c r="AF10" i="30"/>
  <c r="AE10" i="30"/>
  <c r="AD10" i="30"/>
  <c r="AC10" i="30"/>
  <c r="AB10" i="30"/>
  <c r="AA10" i="30"/>
  <c r="Z10" i="30"/>
  <c r="Y10" i="30"/>
  <c r="X10" i="30"/>
  <c r="W10" i="30"/>
  <c r="V10" i="30"/>
  <c r="U10" i="30"/>
  <c r="T10" i="30"/>
  <c r="S10" i="30"/>
  <c r="S10" i="34" s="1"/>
  <c r="R10" i="30"/>
  <c r="R10" i="34" s="1"/>
  <c r="Q10" i="30"/>
  <c r="Q10" i="34" s="1"/>
  <c r="P10" i="30"/>
  <c r="P10" i="34" s="1"/>
  <c r="O10" i="30"/>
  <c r="O10" i="34" s="1"/>
  <c r="N10" i="30"/>
  <c r="N10" i="34" s="1"/>
  <c r="M10" i="30"/>
  <c r="M10" i="34" s="1"/>
  <c r="L10" i="30"/>
  <c r="L10" i="34" s="1"/>
  <c r="K10" i="30"/>
  <c r="K10" i="34" s="1"/>
  <c r="J10" i="30"/>
  <c r="J10" i="34" s="1"/>
  <c r="I10" i="30"/>
  <c r="I10" i="34" s="1"/>
  <c r="H10" i="30"/>
  <c r="H10" i="34" s="1"/>
  <c r="G10" i="30"/>
  <c r="G10" i="34" s="1"/>
  <c r="AE9" i="30"/>
  <c r="R5" i="35" s="1"/>
  <c r="AD9" i="30"/>
  <c r="Q5" i="35" s="1"/>
  <c r="W9" i="30"/>
  <c r="J5" i="35" s="1"/>
  <c r="S9" i="30"/>
  <c r="S9" i="34" s="1"/>
  <c r="R9" i="30"/>
  <c r="R9" i="34" s="1"/>
  <c r="Q9" i="30"/>
  <c r="Q9" i="34" s="1"/>
  <c r="P9" i="30"/>
  <c r="P9" i="34" s="1"/>
  <c r="O9" i="30"/>
  <c r="O9" i="34" s="1"/>
  <c r="N9" i="30"/>
  <c r="N9" i="34" s="1"/>
  <c r="M9" i="30"/>
  <c r="M9" i="34" s="1"/>
  <c r="L9" i="30"/>
  <c r="L9" i="34" s="1"/>
  <c r="K9" i="30"/>
  <c r="K9" i="34" s="1"/>
  <c r="J9" i="30"/>
  <c r="J9" i="34" s="1"/>
  <c r="I9" i="30"/>
  <c r="I9" i="34" s="1"/>
  <c r="H9" i="30"/>
  <c r="H9" i="34" s="1"/>
  <c r="G9" i="30"/>
  <c r="G9" i="34" s="1"/>
  <c r="L8" i="30"/>
  <c r="L8" i="34" s="1"/>
  <c r="K8" i="30"/>
  <c r="K8" i="34" s="1"/>
  <c r="AF7" i="30"/>
  <c r="AE7" i="30"/>
  <c r="AD7" i="30"/>
  <c r="AC7" i="30"/>
  <c r="AB7" i="30"/>
  <c r="AA7" i="30"/>
  <c r="Z7" i="30"/>
  <c r="Y7" i="30"/>
  <c r="X7" i="30"/>
  <c r="W7" i="30"/>
  <c r="V7" i="30"/>
  <c r="U7" i="30"/>
  <c r="T7" i="30"/>
  <c r="S7" i="30"/>
  <c r="S7" i="34" s="1"/>
  <c r="R7" i="30"/>
  <c r="R7" i="34" s="1"/>
  <c r="Q7" i="30"/>
  <c r="Q7" i="34" s="1"/>
  <c r="P7" i="30"/>
  <c r="P7" i="34" s="1"/>
  <c r="O7" i="30"/>
  <c r="O7" i="34" s="1"/>
  <c r="N7" i="30"/>
  <c r="N7" i="34" s="1"/>
  <c r="M7" i="30"/>
  <c r="M7" i="34" s="1"/>
  <c r="L7" i="30"/>
  <c r="L7" i="34" s="1"/>
  <c r="K7" i="30"/>
  <c r="K7" i="34" s="1"/>
  <c r="J7" i="30"/>
  <c r="J7" i="34" s="1"/>
  <c r="I7" i="30"/>
  <c r="I7" i="34" s="1"/>
  <c r="H7" i="30"/>
  <c r="H7" i="34" s="1"/>
  <c r="G7" i="30"/>
  <c r="G7" i="34" s="1"/>
  <c r="W6" i="30"/>
  <c r="J4" i="35" s="1"/>
  <c r="S6" i="30"/>
  <c r="S6" i="34" s="1"/>
  <c r="R6" i="30"/>
  <c r="R6" i="34" s="1"/>
  <c r="Q6" i="30"/>
  <c r="Q6" i="34" s="1"/>
  <c r="P6" i="30"/>
  <c r="P6" i="34" s="1"/>
  <c r="O6" i="30"/>
  <c r="O6" i="34" s="1"/>
  <c r="N6" i="30"/>
  <c r="N6" i="34" s="1"/>
  <c r="M6" i="30"/>
  <c r="M6" i="34" s="1"/>
  <c r="L6" i="30"/>
  <c r="L6" i="34" s="1"/>
  <c r="K6" i="30"/>
  <c r="K6" i="34" s="1"/>
  <c r="J6" i="30"/>
  <c r="J6" i="34" s="1"/>
  <c r="I6" i="30"/>
  <c r="I6" i="34" s="1"/>
  <c r="H6" i="30"/>
  <c r="H6" i="34" s="1"/>
  <c r="AC4" i="30"/>
  <c r="AB4" i="30"/>
  <c r="AA4" i="30"/>
  <c r="Z4" i="30"/>
  <c r="W4" i="30"/>
  <c r="V4" i="30"/>
  <c r="T4" i="30"/>
  <c r="S4" i="30"/>
  <c r="Q4" i="30"/>
  <c r="M4" i="30"/>
  <c r="L4" i="30"/>
  <c r="K4" i="30"/>
  <c r="J4" i="30"/>
  <c r="Q3" i="30"/>
  <c r="Q3" i="34" s="1"/>
  <c r="P3" i="30"/>
  <c r="P3" i="34" s="1"/>
  <c r="N3" i="30"/>
  <c r="N3" i="34" s="1"/>
  <c r="M3" i="30"/>
  <c r="M3" i="34" s="1"/>
  <c r="K3" i="30"/>
  <c r="K3" i="34" s="1"/>
  <c r="K89" i="32" l="1"/>
  <c r="N89" i="32"/>
  <c r="J89" i="32"/>
  <c r="D7" i="27"/>
  <c r="H100" i="34"/>
  <c r="AD6" i="30"/>
  <c r="T18" i="30"/>
  <c r="G8" i="35" s="1"/>
  <c r="T52" i="30"/>
  <c r="G20" i="35" s="1"/>
  <c r="K101" i="30"/>
  <c r="K101" i="34" s="1"/>
  <c r="P55" i="35"/>
  <c r="AC140" i="30"/>
  <c r="G153" i="34"/>
  <c r="O154" i="30"/>
  <c r="O154" i="34" s="1"/>
  <c r="M154" i="30"/>
  <c r="M154" i="34" s="1"/>
  <c r="L154" i="30"/>
  <c r="L154" i="34" s="1"/>
  <c r="K154" i="30"/>
  <c r="K154" i="34" s="1"/>
  <c r="I154" i="30"/>
  <c r="I154" i="34" s="1"/>
  <c r="S154" i="30"/>
  <c r="S154" i="34" s="1"/>
  <c r="J193" i="34"/>
  <c r="J190" i="30"/>
  <c r="J190" i="34" s="1"/>
  <c r="K82" i="35"/>
  <c r="X215" i="30"/>
  <c r="K81" i="35" s="1"/>
  <c r="L82" i="35"/>
  <c r="Y215" i="30"/>
  <c r="L81" i="35" s="1"/>
  <c r="M8" i="30"/>
  <c r="M8" i="34" s="1"/>
  <c r="AF9" i="30"/>
  <c r="M11" i="30"/>
  <c r="M11" i="34" s="1"/>
  <c r="R14" i="30"/>
  <c r="R14" i="34" s="1"/>
  <c r="L20" i="30"/>
  <c r="L20" i="34" s="1"/>
  <c r="Q23" i="30"/>
  <c r="Q23" i="34" s="1"/>
  <c r="P32" i="30"/>
  <c r="P32" i="34" s="1"/>
  <c r="T36" i="30"/>
  <c r="G14" i="35" s="1"/>
  <c r="J38" i="30"/>
  <c r="J38" i="34" s="1"/>
  <c r="AF43" i="30"/>
  <c r="M45" i="30"/>
  <c r="M45" i="34" s="1"/>
  <c r="R48" i="30"/>
  <c r="R48" i="34" s="1"/>
  <c r="L54" i="30"/>
  <c r="L54" i="34" s="1"/>
  <c r="Q57" i="30"/>
  <c r="Q57" i="34" s="1"/>
  <c r="Q63" i="30"/>
  <c r="Q63" i="34" s="1"/>
  <c r="P72" i="30"/>
  <c r="P72" i="34" s="1"/>
  <c r="T76" i="30"/>
  <c r="G30" i="35" s="1"/>
  <c r="J78" i="30"/>
  <c r="J78" i="34" s="1"/>
  <c r="O81" i="30"/>
  <c r="O81" i="34" s="1"/>
  <c r="I87" i="30"/>
  <c r="I87" i="34" s="1"/>
  <c r="S93" i="30"/>
  <c r="S93" i="34" s="1"/>
  <c r="E7" i="27"/>
  <c r="E25" i="27" s="1"/>
  <c r="I100" i="34"/>
  <c r="M101" i="30"/>
  <c r="M101" i="34" s="1"/>
  <c r="K105" i="30"/>
  <c r="Q107" i="30"/>
  <c r="Q107" i="34" s="1"/>
  <c r="G112" i="34"/>
  <c r="S113" i="30"/>
  <c r="S113" i="34" s="1"/>
  <c r="R113" i="30"/>
  <c r="R113" i="34" s="1"/>
  <c r="L117" i="30"/>
  <c r="O123" i="30"/>
  <c r="O123" i="34" s="1"/>
  <c r="D6" i="27"/>
  <c r="H141" i="34"/>
  <c r="R55" i="35"/>
  <c r="AE140" i="30"/>
  <c r="O57" i="35"/>
  <c r="AB143" i="30"/>
  <c r="J154" i="30"/>
  <c r="J154" i="34" s="1"/>
  <c r="I163" i="30"/>
  <c r="I163" i="34" s="1"/>
  <c r="P66" i="35"/>
  <c r="AC171" i="30"/>
  <c r="P65" i="35" s="1"/>
  <c r="Q202" i="34"/>
  <c r="Q190" i="30"/>
  <c r="Q190" i="34" s="1"/>
  <c r="N8" i="30"/>
  <c r="N8" i="34" s="1"/>
  <c r="N11" i="30"/>
  <c r="N11" i="34" s="1"/>
  <c r="R23" i="30"/>
  <c r="R23" i="34" s="1"/>
  <c r="Q32" i="30"/>
  <c r="Q32" i="34" s="1"/>
  <c r="K38" i="30"/>
  <c r="K38" i="34" s="1"/>
  <c r="G44" i="30"/>
  <c r="N45" i="30" s="1"/>
  <c r="N45" i="34" s="1"/>
  <c r="S48" i="30"/>
  <c r="S48" i="34" s="1"/>
  <c r="M54" i="30"/>
  <c r="M54" i="34" s="1"/>
  <c r="R57" i="30"/>
  <c r="R57" i="34" s="1"/>
  <c r="U61" i="30"/>
  <c r="H25" i="35" s="1"/>
  <c r="Q72" i="30"/>
  <c r="Q72" i="34" s="1"/>
  <c r="T85" i="30"/>
  <c r="G33" i="35" s="1"/>
  <c r="J87" i="30"/>
  <c r="J87" i="34" s="1"/>
  <c r="F7" i="27"/>
  <c r="F25" i="27" s="1"/>
  <c r="J100" i="34"/>
  <c r="N101" i="30"/>
  <c r="N101" i="34" s="1"/>
  <c r="R107" i="30"/>
  <c r="R107" i="34" s="1"/>
  <c r="V108" i="30"/>
  <c r="H140" i="30"/>
  <c r="H140" i="34" s="1"/>
  <c r="G144" i="30"/>
  <c r="S56" i="35"/>
  <c r="AF143" i="30"/>
  <c r="N154" i="30"/>
  <c r="N154" i="34" s="1"/>
  <c r="M163" i="30"/>
  <c r="M163" i="34" s="1"/>
  <c r="G187" i="34"/>
  <c r="S188" i="30"/>
  <c r="S188" i="34" s="1"/>
  <c r="R188" i="30"/>
  <c r="R188" i="34" s="1"/>
  <c r="Q188" i="30"/>
  <c r="Q188" i="34" s="1"/>
  <c r="P188" i="30"/>
  <c r="P188" i="34" s="1"/>
  <c r="O188" i="30"/>
  <c r="O188" i="34" s="1"/>
  <c r="N188" i="30"/>
  <c r="N188" i="34" s="1"/>
  <c r="M188" i="30"/>
  <c r="M188" i="34" s="1"/>
  <c r="L188" i="30"/>
  <c r="L188" i="34" s="1"/>
  <c r="K188" i="30"/>
  <c r="K188" i="34" s="1"/>
  <c r="J188" i="30"/>
  <c r="J188" i="34" s="1"/>
  <c r="I188" i="30"/>
  <c r="I188" i="34" s="1"/>
  <c r="H188" i="30"/>
  <c r="H188" i="34" s="1"/>
  <c r="G22" i="34"/>
  <c r="O8" i="30"/>
  <c r="O8" i="34" s="1"/>
  <c r="O11" i="30"/>
  <c r="O11" i="34" s="1"/>
  <c r="I17" i="30"/>
  <c r="I17" i="34" s="1"/>
  <c r="N20" i="30"/>
  <c r="N20" i="34" s="1"/>
  <c r="S23" i="30"/>
  <c r="S23" i="34" s="1"/>
  <c r="H26" i="30"/>
  <c r="H26" i="34" s="1"/>
  <c r="R32" i="30"/>
  <c r="R32" i="34" s="1"/>
  <c r="L38" i="30"/>
  <c r="L38" i="34" s="1"/>
  <c r="R40" i="30"/>
  <c r="H41" i="30"/>
  <c r="O45" i="30"/>
  <c r="O45" i="34" s="1"/>
  <c r="I51" i="30"/>
  <c r="I51" i="34" s="1"/>
  <c r="N54" i="30"/>
  <c r="N54" i="34" s="1"/>
  <c r="S57" i="30"/>
  <c r="S57" i="34" s="1"/>
  <c r="V61" i="30"/>
  <c r="I25" i="35" s="1"/>
  <c r="H66" i="30"/>
  <c r="H66" i="34" s="1"/>
  <c r="R72" i="30"/>
  <c r="R72" i="34" s="1"/>
  <c r="L78" i="30"/>
  <c r="L78" i="34" s="1"/>
  <c r="Q81" i="30"/>
  <c r="Q81" i="34" s="1"/>
  <c r="K87" i="30"/>
  <c r="K87" i="34" s="1"/>
  <c r="P90" i="30"/>
  <c r="P90" i="34" s="1"/>
  <c r="G7" i="27"/>
  <c r="G25" i="27" s="1"/>
  <c r="K100" i="34"/>
  <c r="O101" i="30"/>
  <c r="O101" i="34" s="1"/>
  <c r="I104" i="30"/>
  <c r="I104" i="34" s="1"/>
  <c r="S107" i="30"/>
  <c r="S107" i="34" s="1"/>
  <c r="I113" i="30"/>
  <c r="I113" i="34" s="1"/>
  <c r="G115" i="34"/>
  <c r="O116" i="30"/>
  <c r="O116" i="34" s="1"/>
  <c r="M116" i="30"/>
  <c r="M116" i="34" s="1"/>
  <c r="L116" i="30"/>
  <c r="L116" i="34" s="1"/>
  <c r="S135" i="30"/>
  <c r="S135" i="34" s="1"/>
  <c r="R135" i="30"/>
  <c r="R135" i="34" s="1"/>
  <c r="Q135" i="30"/>
  <c r="Q135" i="34" s="1"/>
  <c r="O135" i="30"/>
  <c r="O135" i="34" s="1"/>
  <c r="G134" i="34"/>
  <c r="K135" i="30"/>
  <c r="K135" i="34" s="1"/>
  <c r="J135" i="30"/>
  <c r="J135" i="34" s="1"/>
  <c r="Q136" i="34"/>
  <c r="AD136" i="30"/>
  <c r="Q52" i="35" s="1"/>
  <c r="F6" i="27"/>
  <c r="J141" i="34"/>
  <c r="G147" i="34"/>
  <c r="S148" i="30"/>
  <c r="S148" i="34" s="1"/>
  <c r="R148" i="30"/>
  <c r="R148" i="34" s="1"/>
  <c r="Q148" i="30"/>
  <c r="Q148" i="34" s="1"/>
  <c r="O148" i="30"/>
  <c r="O148" i="34" s="1"/>
  <c r="K148" i="30"/>
  <c r="K148" i="34" s="1"/>
  <c r="J148" i="30"/>
  <c r="J148" i="34" s="1"/>
  <c r="I148" i="30"/>
  <c r="I148" i="34" s="1"/>
  <c r="P154" i="30"/>
  <c r="P154" i="34" s="1"/>
  <c r="G156" i="34"/>
  <c r="R157" i="30"/>
  <c r="R157" i="34" s="1"/>
  <c r="Q157" i="30"/>
  <c r="Q157" i="34" s="1"/>
  <c r="P157" i="30"/>
  <c r="P157" i="34" s="1"/>
  <c r="N157" i="30"/>
  <c r="N157" i="34" s="1"/>
  <c r="J157" i="30"/>
  <c r="J157" i="34" s="1"/>
  <c r="I157" i="30"/>
  <c r="I157" i="34" s="1"/>
  <c r="H157" i="30"/>
  <c r="H157" i="34" s="1"/>
  <c r="O163" i="30"/>
  <c r="O163" i="34" s="1"/>
  <c r="J75" i="35"/>
  <c r="T199" i="30"/>
  <c r="G75" i="35" s="1"/>
  <c r="P8" i="30"/>
  <c r="P8" i="34" s="1"/>
  <c r="P11" i="30"/>
  <c r="P11" i="34" s="1"/>
  <c r="T15" i="30"/>
  <c r="G7" i="35" s="1"/>
  <c r="J17" i="30"/>
  <c r="J17" i="34" s="1"/>
  <c r="O20" i="30"/>
  <c r="O20" i="34" s="1"/>
  <c r="I26" i="30"/>
  <c r="I26" i="34" s="1"/>
  <c r="S32" i="30"/>
  <c r="S32" i="34" s="1"/>
  <c r="H35" i="30"/>
  <c r="H35" i="34" s="1"/>
  <c r="M38" i="30"/>
  <c r="M38" i="34" s="1"/>
  <c r="S40" i="30"/>
  <c r="I41" i="30"/>
  <c r="T49" i="30"/>
  <c r="G19" i="35" s="1"/>
  <c r="J51" i="30"/>
  <c r="J51" i="34" s="1"/>
  <c r="O54" i="30"/>
  <c r="O54" i="34" s="1"/>
  <c r="G61" i="30"/>
  <c r="W61" i="30"/>
  <c r="I66" i="30"/>
  <c r="I66" i="34" s="1"/>
  <c r="S72" i="30"/>
  <c r="S72" i="34" s="1"/>
  <c r="H75" i="30"/>
  <c r="H75" i="34" s="1"/>
  <c r="M78" i="30"/>
  <c r="M78" i="34" s="1"/>
  <c r="R81" i="30"/>
  <c r="R81" i="34" s="1"/>
  <c r="L87" i="30"/>
  <c r="L87" i="34" s="1"/>
  <c r="Q90" i="30"/>
  <c r="Q90" i="34" s="1"/>
  <c r="H7" i="27"/>
  <c r="H25" i="27" s="1"/>
  <c r="L100" i="34"/>
  <c r="J104" i="30"/>
  <c r="J104" i="34" s="1"/>
  <c r="J113" i="30"/>
  <c r="J113" i="34" s="1"/>
  <c r="H116" i="30"/>
  <c r="H116" i="34" s="1"/>
  <c r="J122" i="34"/>
  <c r="H135" i="30"/>
  <c r="H135" i="34" s="1"/>
  <c r="R136" i="34"/>
  <c r="AE136" i="30"/>
  <c r="R52" i="35" s="1"/>
  <c r="M143" i="34"/>
  <c r="M140" i="30"/>
  <c r="M140" i="34" s="1"/>
  <c r="H148" i="30"/>
  <c r="H148" i="34" s="1"/>
  <c r="Q154" i="30"/>
  <c r="Q154" i="34" s="1"/>
  <c r="K157" i="30"/>
  <c r="K157" i="34" s="1"/>
  <c r="P163" i="30"/>
  <c r="P163" i="34" s="1"/>
  <c r="F5" i="27"/>
  <c r="J4" i="34"/>
  <c r="Q8" i="30"/>
  <c r="Q8" i="34" s="1"/>
  <c r="Q11" i="30"/>
  <c r="Q11" i="34" s="1"/>
  <c r="P20" i="30"/>
  <c r="P20" i="34" s="1"/>
  <c r="T24" i="30"/>
  <c r="G10" i="35" s="1"/>
  <c r="Q45" i="30"/>
  <c r="Q45" i="34" s="1"/>
  <c r="P54" i="30"/>
  <c r="P54" i="34" s="1"/>
  <c r="X61" i="30"/>
  <c r="K25" i="35" s="1"/>
  <c r="T64" i="30"/>
  <c r="M87" i="30"/>
  <c r="M87" i="34" s="1"/>
  <c r="I7" i="27"/>
  <c r="I25" i="27" s="1"/>
  <c r="M100" i="34"/>
  <c r="Q101" i="30"/>
  <c r="Q101" i="34" s="1"/>
  <c r="U102" i="30"/>
  <c r="K123" i="30"/>
  <c r="K123" i="34" s="1"/>
  <c r="K122" i="34"/>
  <c r="G128" i="34"/>
  <c r="Q129" i="30"/>
  <c r="Q129" i="34" s="1"/>
  <c r="O129" i="30"/>
  <c r="O129" i="34" s="1"/>
  <c r="G122" i="30"/>
  <c r="N129" i="30"/>
  <c r="N129" i="34" s="1"/>
  <c r="M129" i="30"/>
  <c r="M129" i="34" s="1"/>
  <c r="K129" i="30"/>
  <c r="K129" i="34" s="1"/>
  <c r="N141" i="34"/>
  <c r="N143" i="34"/>
  <c r="N140" i="30"/>
  <c r="N140" i="34" s="1"/>
  <c r="R154" i="30"/>
  <c r="R154" i="34" s="1"/>
  <c r="P83" i="35"/>
  <c r="T221" i="30"/>
  <c r="G83" i="35" s="1"/>
  <c r="G5" i="27"/>
  <c r="K4" i="34"/>
  <c r="R8" i="30"/>
  <c r="R8" i="34" s="1"/>
  <c r="U9" i="30"/>
  <c r="R11" i="30"/>
  <c r="R11" i="34" s="1"/>
  <c r="T33" i="30"/>
  <c r="G13" i="35" s="1"/>
  <c r="U43" i="30"/>
  <c r="Y61" i="30"/>
  <c r="L25" i="35" s="1"/>
  <c r="T73" i="30"/>
  <c r="G29" i="35" s="1"/>
  <c r="N87" i="30"/>
  <c r="N87" i="34" s="1"/>
  <c r="J7" i="27"/>
  <c r="J25" i="27" s="1"/>
  <c r="N100" i="34"/>
  <c r="R101" i="30"/>
  <c r="R101" i="34" s="1"/>
  <c r="J108" i="30"/>
  <c r="K108" i="30" s="1"/>
  <c r="H124" i="34"/>
  <c r="H129" i="30"/>
  <c r="H129" i="34" s="1"/>
  <c r="H133" i="34"/>
  <c r="I133" i="30"/>
  <c r="J133" i="30" s="1"/>
  <c r="U133" i="30"/>
  <c r="J139" i="34"/>
  <c r="W139" i="30"/>
  <c r="J53" i="35" s="1"/>
  <c r="L6" i="27"/>
  <c r="P141" i="34"/>
  <c r="O140" i="30"/>
  <c r="O140" i="34" s="1"/>
  <c r="O143" i="34"/>
  <c r="K144" i="34"/>
  <c r="K141" i="30"/>
  <c r="M157" i="30"/>
  <c r="M157" i="34" s="1"/>
  <c r="J61" i="35"/>
  <c r="T161" i="30"/>
  <c r="G61" i="35" s="1"/>
  <c r="O194" i="34"/>
  <c r="O191" i="30"/>
  <c r="J204" i="30"/>
  <c r="J204" i="34" s="1"/>
  <c r="Q83" i="35"/>
  <c r="AD215" i="30"/>
  <c r="Q81" i="35" s="1"/>
  <c r="G37" i="34"/>
  <c r="H5" i="27"/>
  <c r="L4" i="34"/>
  <c r="S8" i="30"/>
  <c r="S8" i="34" s="1"/>
  <c r="V9" i="30"/>
  <c r="S11" i="30"/>
  <c r="S11" i="34" s="1"/>
  <c r="H14" i="30"/>
  <c r="H14" i="34" s="1"/>
  <c r="R20" i="30"/>
  <c r="R20" i="34" s="1"/>
  <c r="P38" i="30"/>
  <c r="P38" i="34" s="1"/>
  <c r="V43" i="30"/>
  <c r="S45" i="30"/>
  <c r="S45" i="34" s="1"/>
  <c r="H48" i="30"/>
  <c r="H48" i="34" s="1"/>
  <c r="R54" i="30"/>
  <c r="R54" i="34" s="1"/>
  <c r="Z61" i="30"/>
  <c r="M25" i="35" s="1"/>
  <c r="T82" i="30"/>
  <c r="G32" i="35" s="1"/>
  <c r="O87" i="30"/>
  <c r="O87" i="34" s="1"/>
  <c r="I93" i="30"/>
  <c r="I93" i="34" s="1"/>
  <c r="K7" i="27"/>
  <c r="K25" i="27" s="1"/>
  <c r="O100" i="34"/>
  <c r="S101" i="30"/>
  <c r="S101" i="34" s="1"/>
  <c r="M122" i="34"/>
  <c r="M123" i="30"/>
  <c r="M123" i="34" s="1"/>
  <c r="I124" i="30"/>
  <c r="I129" i="30"/>
  <c r="I129" i="34" s="1"/>
  <c r="K139" i="30"/>
  <c r="Q140" i="30"/>
  <c r="Q140" i="34" s="1"/>
  <c r="M6" i="27"/>
  <c r="Q141" i="34"/>
  <c r="H59" i="35"/>
  <c r="T155" i="30"/>
  <c r="G59" i="35" s="1"/>
  <c r="H62" i="35"/>
  <c r="T164" i="30"/>
  <c r="G62" i="35" s="1"/>
  <c r="P194" i="34"/>
  <c r="P191" i="30"/>
  <c r="Q78" i="35"/>
  <c r="T208" i="30"/>
  <c r="G78" i="35" s="1"/>
  <c r="I5" i="27"/>
  <c r="M4" i="34"/>
  <c r="G6" i="30"/>
  <c r="I48" i="30"/>
  <c r="I48" i="34" s="1"/>
  <c r="AA61" i="30"/>
  <c r="N25" i="35" s="1"/>
  <c r="P87" i="30"/>
  <c r="P87" i="34" s="1"/>
  <c r="T91" i="30"/>
  <c r="G35" i="35" s="1"/>
  <c r="L7" i="27"/>
  <c r="L25" i="27" s="1"/>
  <c r="P100" i="34"/>
  <c r="W117" i="30"/>
  <c r="J129" i="30"/>
  <c r="J129" i="34" s="1"/>
  <c r="Z136" i="30"/>
  <c r="M52" i="35" s="1"/>
  <c r="N6" i="27"/>
  <c r="R141" i="34"/>
  <c r="M144" i="34"/>
  <c r="M141" i="30"/>
  <c r="M145" i="30"/>
  <c r="M145" i="34" s="1"/>
  <c r="I56" i="35"/>
  <c r="V143" i="30"/>
  <c r="T146" i="30"/>
  <c r="S157" i="30"/>
  <c r="S157" i="34" s="1"/>
  <c r="G178" i="34"/>
  <c r="S179" i="30"/>
  <c r="S179" i="34" s="1"/>
  <c r="R179" i="30"/>
  <c r="R179" i="34" s="1"/>
  <c r="Q179" i="30"/>
  <c r="Q179" i="34" s="1"/>
  <c r="P179" i="30"/>
  <c r="P179" i="34" s="1"/>
  <c r="O179" i="30"/>
  <c r="O179" i="34" s="1"/>
  <c r="N179" i="30"/>
  <c r="N179" i="34" s="1"/>
  <c r="M179" i="30"/>
  <c r="M179" i="34" s="1"/>
  <c r="L179" i="30"/>
  <c r="L179" i="34" s="1"/>
  <c r="K179" i="30"/>
  <c r="K179" i="34" s="1"/>
  <c r="J179" i="30"/>
  <c r="J179" i="34" s="1"/>
  <c r="I179" i="30"/>
  <c r="I179" i="34" s="1"/>
  <c r="G162" i="34"/>
  <c r="N163" i="30"/>
  <c r="N163" i="34" s="1"/>
  <c r="L163" i="30"/>
  <c r="L163" i="34" s="1"/>
  <c r="K163" i="30"/>
  <c r="K163" i="34" s="1"/>
  <c r="J163" i="30"/>
  <c r="J163" i="34" s="1"/>
  <c r="H163" i="30"/>
  <c r="H163" i="34" s="1"/>
  <c r="S163" i="30"/>
  <c r="S163" i="34" s="1"/>
  <c r="R163" i="30"/>
  <c r="R163" i="34" s="1"/>
  <c r="X9" i="30"/>
  <c r="T12" i="30"/>
  <c r="J14" i="30"/>
  <c r="J14" i="34" s="1"/>
  <c r="I23" i="30"/>
  <c r="I23" i="34" s="1"/>
  <c r="N26" i="30"/>
  <c r="N26" i="34" s="1"/>
  <c r="H32" i="30"/>
  <c r="H32" i="34" s="1"/>
  <c r="R38" i="30"/>
  <c r="R38" i="34" s="1"/>
  <c r="H40" i="30"/>
  <c r="N41" i="30"/>
  <c r="X43" i="30"/>
  <c r="T46" i="30"/>
  <c r="J48" i="30"/>
  <c r="J48" i="34" s="1"/>
  <c r="I57" i="30"/>
  <c r="I57" i="34" s="1"/>
  <c r="AB61" i="30"/>
  <c r="O25" i="35" s="1"/>
  <c r="N66" i="30"/>
  <c r="N66" i="34" s="1"/>
  <c r="H72" i="30"/>
  <c r="H72" i="34" s="1"/>
  <c r="Q87" i="30"/>
  <c r="Q87" i="34" s="1"/>
  <c r="K93" i="30"/>
  <c r="K93" i="34" s="1"/>
  <c r="M7" i="27"/>
  <c r="M25" i="27" s="1"/>
  <c r="Q100" i="34"/>
  <c r="I102" i="30"/>
  <c r="I107" i="30"/>
  <c r="I107" i="34" s="1"/>
  <c r="U114" i="30"/>
  <c r="X117" i="30"/>
  <c r="K45" i="35" s="1"/>
  <c r="L129" i="30"/>
  <c r="L129" i="34" s="1"/>
  <c r="N144" i="34"/>
  <c r="N145" i="30"/>
  <c r="N145" i="34" s="1"/>
  <c r="G203" i="34"/>
  <c r="I204" i="30"/>
  <c r="I204" i="34" s="1"/>
  <c r="R204" i="30"/>
  <c r="R204" i="34" s="1"/>
  <c r="Q204" i="30"/>
  <c r="Q204" i="34" s="1"/>
  <c r="P204" i="30"/>
  <c r="P204" i="34" s="1"/>
  <c r="O204" i="30"/>
  <c r="O204" i="34" s="1"/>
  <c r="N204" i="30"/>
  <c r="N204" i="34" s="1"/>
  <c r="O3" i="30"/>
  <c r="O3" i="34" s="1"/>
  <c r="AE6" i="30"/>
  <c r="AD143" i="30"/>
  <c r="Y9" i="30"/>
  <c r="K14" i="30"/>
  <c r="K14" i="34" s="1"/>
  <c r="P17" i="30"/>
  <c r="P17" i="34" s="1"/>
  <c r="T21" i="30"/>
  <c r="G9" i="35" s="1"/>
  <c r="J23" i="30"/>
  <c r="J23" i="34" s="1"/>
  <c r="O26" i="30"/>
  <c r="O26" i="34" s="1"/>
  <c r="I32" i="30"/>
  <c r="I32" i="34" s="1"/>
  <c r="N35" i="30"/>
  <c r="N35" i="34" s="1"/>
  <c r="I40" i="30"/>
  <c r="O41" i="30"/>
  <c r="Y43" i="30"/>
  <c r="K48" i="30"/>
  <c r="K48" i="34" s="1"/>
  <c r="P51" i="30"/>
  <c r="P51" i="34" s="1"/>
  <c r="T55" i="30"/>
  <c r="G21" i="35" s="1"/>
  <c r="J57" i="30"/>
  <c r="J57" i="34" s="1"/>
  <c r="AC61" i="30"/>
  <c r="P25" i="35" s="1"/>
  <c r="O66" i="30"/>
  <c r="O66" i="34" s="1"/>
  <c r="I72" i="30"/>
  <c r="I72" i="34" s="1"/>
  <c r="S78" i="30"/>
  <c r="S78" i="34" s="1"/>
  <c r="H81" i="30"/>
  <c r="H81" i="34" s="1"/>
  <c r="R87" i="30"/>
  <c r="R87" i="34" s="1"/>
  <c r="L93" i="30"/>
  <c r="L93" i="34" s="1"/>
  <c r="N7" i="27"/>
  <c r="N25" i="27" s="1"/>
  <c r="R100" i="34"/>
  <c r="J102" i="30"/>
  <c r="P104" i="30"/>
  <c r="P104" i="34" s="1"/>
  <c r="J107" i="30"/>
  <c r="J107" i="34" s="1"/>
  <c r="H111" i="34"/>
  <c r="P113" i="30"/>
  <c r="P113" i="34" s="1"/>
  <c r="P129" i="30"/>
  <c r="P129" i="34" s="1"/>
  <c r="H136" i="34"/>
  <c r="U136" i="30"/>
  <c r="O144" i="34"/>
  <c r="O141" i="30"/>
  <c r="H57" i="35"/>
  <c r="T149" i="30"/>
  <c r="G57" i="35" s="1"/>
  <c r="T158" i="30"/>
  <c r="G60" i="35" s="1"/>
  <c r="T167" i="30"/>
  <c r="G63" i="35" s="1"/>
  <c r="L73" i="35"/>
  <c r="N57" i="35"/>
  <c r="AA143" i="30"/>
  <c r="O66" i="35"/>
  <c r="AB171" i="30"/>
  <c r="O65" i="35" s="1"/>
  <c r="Z9" i="30"/>
  <c r="L14" i="30"/>
  <c r="L14" i="34" s="1"/>
  <c r="Q17" i="30"/>
  <c r="Q17" i="34" s="1"/>
  <c r="K23" i="30"/>
  <c r="K23" i="34" s="1"/>
  <c r="P26" i="30"/>
  <c r="P26" i="34" s="1"/>
  <c r="T30" i="30"/>
  <c r="G12" i="35" s="1"/>
  <c r="J32" i="30"/>
  <c r="J32" i="34" s="1"/>
  <c r="O35" i="30"/>
  <c r="O35" i="34" s="1"/>
  <c r="T39" i="30"/>
  <c r="G15" i="35" s="1"/>
  <c r="J40" i="30"/>
  <c r="P41" i="30"/>
  <c r="Z43" i="30"/>
  <c r="L48" i="30"/>
  <c r="L48" i="34" s="1"/>
  <c r="Q51" i="30"/>
  <c r="Q51" i="34" s="1"/>
  <c r="K57" i="30"/>
  <c r="K57" i="34" s="1"/>
  <c r="AD61" i="30"/>
  <c r="P66" i="30"/>
  <c r="P66" i="34" s="1"/>
  <c r="T70" i="30"/>
  <c r="G28" i="35" s="1"/>
  <c r="J72" i="30"/>
  <c r="J72" i="34" s="1"/>
  <c r="O75" i="30"/>
  <c r="O75" i="34" s="1"/>
  <c r="I81" i="30"/>
  <c r="I81" i="34" s="1"/>
  <c r="N84" i="30"/>
  <c r="N84" i="34" s="1"/>
  <c r="S87" i="30"/>
  <c r="S87" i="34" s="1"/>
  <c r="H90" i="30"/>
  <c r="H90" i="34" s="1"/>
  <c r="M93" i="30"/>
  <c r="M93" i="34" s="1"/>
  <c r="O7" i="27"/>
  <c r="O25" i="27" s="1"/>
  <c r="S100" i="34"/>
  <c r="Q104" i="30"/>
  <c r="Q104" i="34" s="1"/>
  <c r="U105" i="30"/>
  <c r="K107" i="30"/>
  <c r="K107" i="34" s="1"/>
  <c r="I111" i="30"/>
  <c r="Q113" i="30"/>
  <c r="Q113" i="34" s="1"/>
  <c r="R116" i="30"/>
  <c r="R116" i="34" s="1"/>
  <c r="R129" i="30"/>
  <c r="R129" i="34" s="1"/>
  <c r="AC136" i="30"/>
  <c r="P52" i="35" s="1"/>
  <c r="U143" i="30"/>
  <c r="P145" i="30"/>
  <c r="P145" i="34" s="1"/>
  <c r="AF171" i="30"/>
  <c r="S65" i="35" s="1"/>
  <c r="N69" i="35"/>
  <c r="T183" i="30"/>
  <c r="G69" i="35" s="1"/>
  <c r="R191" i="34"/>
  <c r="M73" i="35"/>
  <c r="Z190" i="30"/>
  <c r="M72" i="35" s="1"/>
  <c r="M5" i="27"/>
  <c r="Q4" i="34"/>
  <c r="H8" i="30"/>
  <c r="H8" i="34" s="1"/>
  <c r="AA9" i="30"/>
  <c r="H11" i="30"/>
  <c r="H11" i="34" s="1"/>
  <c r="M14" i="30"/>
  <c r="M14" i="34" s="1"/>
  <c r="K32" i="30"/>
  <c r="K32" i="34" s="1"/>
  <c r="AA43" i="30"/>
  <c r="M48" i="30"/>
  <c r="M48" i="34" s="1"/>
  <c r="AE61" i="30"/>
  <c r="K72" i="30"/>
  <c r="K72" i="34" s="1"/>
  <c r="T79" i="30"/>
  <c r="G31" i="35" s="1"/>
  <c r="N93" i="30"/>
  <c r="N93" i="34" s="1"/>
  <c r="H101" i="30"/>
  <c r="H101" i="34" s="1"/>
  <c r="V105" i="30"/>
  <c r="I41" i="35" s="1"/>
  <c r="S129" i="30"/>
  <c r="S129" i="34" s="1"/>
  <c r="J136" i="34"/>
  <c r="W136" i="30"/>
  <c r="J52" i="35" s="1"/>
  <c r="W143" i="30"/>
  <c r="M56" i="35"/>
  <c r="Z143" i="30"/>
  <c r="G172" i="30"/>
  <c r="I68" i="35"/>
  <c r="V171" i="30"/>
  <c r="I65" i="35" s="1"/>
  <c r="S191" i="34"/>
  <c r="G196" i="34"/>
  <c r="G193" i="30"/>
  <c r="J41" i="34"/>
  <c r="I143" i="34"/>
  <c r="I140" i="30"/>
  <c r="I140" i="34" s="1"/>
  <c r="I8" i="30"/>
  <c r="I8" i="34" s="1"/>
  <c r="AB9" i="30"/>
  <c r="I11" i="30"/>
  <c r="I11" i="34" s="1"/>
  <c r="N14" i="30"/>
  <c r="N14" i="34" s="1"/>
  <c r="S17" i="30"/>
  <c r="S17" i="34" s="1"/>
  <c r="H20" i="30"/>
  <c r="H20" i="34" s="1"/>
  <c r="R26" i="30"/>
  <c r="R26" i="34" s="1"/>
  <c r="L32" i="30"/>
  <c r="L32" i="34" s="1"/>
  <c r="Q35" i="30"/>
  <c r="Q35" i="34" s="1"/>
  <c r="L40" i="30"/>
  <c r="R41" i="30"/>
  <c r="AB43" i="30"/>
  <c r="I45" i="30"/>
  <c r="I45" i="34" s="1"/>
  <c r="N48" i="30"/>
  <c r="N48" i="34" s="1"/>
  <c r="S51" i="30"/>
  <c r="S51" i="34" s="1"/>
  <c r="H54" i="30"/>
  <c r="H54" i="34" s="1"/>
  <c r="M57" i="30"/>
  <c r="M57" i="34" s="1"/>
  <c r="AF61" i="30"/>
  <c r="S25" i="35" s="1"/>
  <c r="M63" i="30"/>
  <c r="M63" i="34" s="1"/>
  <c r="R66" i="30"/>
  <c r="R66" i="34" s="1"/>
  <c r="L72" i="30"/>
  <c r="L72" i="34" s="1"/>
  <c r="Q75" i="30"/>
  <c r="Q75" i="34" s="1"/>
  <c r="K81" i="30"/>
  <c r="K81" i="34" s="1"/>
  <c r="P84" i="30"/>
  <c r="P84" i="34" s="1"/>
  <c r="T88" i="30"/>
  <c r="G34" i="35" s="1"/>
  <c r="J90" i="30"/>
  <c r="J90" i="34" s="1"/>
  <c r="O93" i="30"/>
  <c r="O93" i="34" s="1"/>
  <c r="H97" i="30"/>
  <c r="I101" i="30"/>
  <c r="I101" i="34" s="1"/>
  <c r="S104" i="30"/>
  <c r="S104" i="34" s="1"/>
  <c r="W105" i="30"/>
  <c r="J41" i="35" s="1"/>
  <c r="M107" i="30"/>
  <c r="M107" i="34" s="1"/>
  <c r="I114" i="30"/>
  <c r="H117" i="34"/>
  <c r="H120" i="34"/>
  <c r="J120" i="30"/>
  <c r="I120" i="30"/>
  <c r="H130" i="34"/>
  <c r="U130" i="30"/>
  <c r="U121" i="30" s="1"/>
  <c r="H47" i="35" s="1"/>
  <c r="K130" i="30"/>
  <c r="J130" i="30"/>
  <c r="G137" i="34"/>
  <c r="O138" i="30"/>
  <c r="O138" i="34" s="1"/>
  <c r="M138" i="30"/>
  <c r="M138" i="34" s="1"/>
  <c r="L138" i="30"/>
  <c r="L138" i="34" s="1"/>
  <c r="K138" i="30"/>
  <c r="K138" i="34" s="1"/>
  <c r="I138" i="30"/>
  <c r="I138" i="34" s="1"/>
  <c r="S138" i="30"/>
  <c r="S138" i="34" s="1"/>
  <c r="X143" i="30"/>
  <c r="L77" i="35"/>
  <c r="Y202" i="30"/>
  <c r="L76" i="35" s="1"/>
  <c r="O5" i="27"/>
  <c r="S4" i="34"/>
  <c r="J8" i="30"/>
  <c r="J8" i="34" s="1"/>
  <c r="AC9" i="30"/>
  <c r="J11" i="30"/>
  <c r="J11" i="34" s="1"/>
  <c r="O14" i="30"/>
  <c r="O14" i="34" s="1"/>
  <c r="I20" i="30"/>
  <c r="I20" i="34" s="1"/>
  <c r="M32" i="30"/>
  <c r="M32" i="34" s="1"/>
  <c r="AC43" i="30"/>
  <c r="J45" i="30"/>
  <c r="J45" i="34" s="1"/>
  <c r="O48" i="30"/>
  <c r="O48" i="34" s="1"/>
  <c r="N57" i="30"/>
  <c r="N57" i="34" s="1"/>
  <c r="G62" i="30"/>
  <c r="H63" i="30" s="1"/>
  <c r="H63" i="34" s="1"/>
  <c r="N63" i="30"/>
  <c r="N63" i="34" s="1"/>
  <c r="S66" i="30"/>
  <c r="S66" i="34" s="1"/>
  <c r="M72" i="30"/>
  <c r="M72" i="34" s="1"/>
  <c r="L81" i="30"/>
  <c r="L81" i="34" s="1"/>
  <c r="P93" i="30"/>
  <c r="P93" i="34" s="1"/>
  <c r="I97" i="30"/>
  <c r="J101" i="30"/>
  <c r="J101" i="34" s="1"/>
  <c r="N107" i="30"/>
  <c r="N107" i="34" s="1"/>
  <c r="H123" i="30"/>
  <c r="H123" i="34" s="1"/>
  <c r="L136" i="34"/>
  <c r="Y136" i="30"/>
  <c r="L52" i="35" s="1"/>
  <c r="G143" i="30"/>
  <c r="Y143" i="30"/>
  <c r="S144" i="34"/>
  <c r="S141" i="30"/>
  <c r="I193" i="34"/>
  <c r="I190" i="30"/>
  <c r="I190" i="34" s="1"/>
  <c r="M77" i="35"/>
  <c r="Z202" i="30"/>
  <c r="M76" i="35" s="1"/>
  <c r="L169" i="30"/>
  <c r="L169" i="34" s="1"/>
  <c r="O173" i="30"/>
  <c r="O173" i="34" s="1"/>
  <c r="S185" i="30"/>
  <c r="S185" i="34" s="1"/>
  <c r="N190" i="30"/>
  <c r="N190" i="34" s="1"/>
  <c r="AD190" i="30"/>
  <c r="Q72" i="35" s="1"/>
  <c r="AA193" i="30"/>
  <c r="T196" i="30"/>
  <c r="J198" i="30"/>
  <c r="J198" i="34" s="1"/>
  <c r="L204" i="30"/>
  <c r="L204" i="34" s="1"/>
  <c r="K217" i="30"/>
  <c r="K217" i="34" s="1"/>
  <c r="P220" i="30"/>
  <c r="P220" i="34" s="1"/>
  <c r="H166" i="30"/>
  <c r="H166" i="34" s="1"/>
  <c r="M169" i="30"/>
  <c r="M169" i="34" s="1"/>
  <c r="T177" i="30"/>
  <c r="G67" i="35" s="1"/>
  <c r="O190" i="30"/>
  <c r="O190" i="34" s="1"/>
  <c r="AB193" i="30"/>
  <c r="K198" i="30"/>
  <c r="K198" i="34" s="1"/>
  <c r="M204" i="30"/>
  <c r="M204" i="34" s="1"/>
  <c r="R207" i="30"/>
  <c r="R207" i="34" s="1"/>
  <c r="L217" i="30"/>
  <c r="L217" i="34" s="1"/>
  <c r="Q220" i="30"/>
  <c r="Q220" i="34" s="1"/>
  <c r="I166" i="30"/>
  <c r="I166" i="34" s="1"/>
  <c r="N169" i="30"/>
  <c r="N169" i="34" s="1"/>
  <c r="T186" i="30"/>
  <c r="G70" i="35" s="1"/>
  <c r="P190" i="30"/>
  <c r="P190" i="34" s="1"/>
  <c r="AF190" i="30"/>
  <c r="S72" i="35" s="1"/>
  <c r="AC193" i="30"/>
  <c r="L198" i="30"/>
  <c r="L198" i="34" s="1"/>
  <c r="M217" i="30"/>
  <c r="M217" i="34" s="1"/>
  <c r="R220" i="30"/>
  <c r="R220" i="34" s="1"/>
  <c r="I12" i="32"/>
  <c r="O169" i="30"/>
  <c r="O169" i="34" s="1"/>
  <c r="O217" i="30"/>
  <c r="O217" i="34" s="1"/>
  <c r="R68" i="32"/>
  <c r="P217" i="30"/>
  <c r="P217" i="34" s="1"/>
  <c r="P144" i="34"/>
  <c r="Q68" i="32"/>
  <c r="E6" i="27"/>
  <c r="I141" i="34"/>
  <c r="M166" i="30"/>
  <c r="M166" i="34" s="1"/>
  <c r="R169" i="30"/>
  <c r="R169" i="34" s="1"/>
  <c r="X171" i="30"/>
  <c r="K65" i="35" s="1"/>
  <c r="T174" i="30"/>
  <c r="J176" i="30"/>
  <c r="J176" i="34" s="1"/>
  <c r="I185" i="30"/>
  <c r="I185" i="34" s="1"/>
  <c r="G194" i="30"/>
  <c r="P198" i="30"/>
  <c r="P198" i="34" s="1"/>
  <c r="X202" i="30"/>
  <c r="K76" i="35" s="1"/>
  <c r="L210" i="30"/>
  <c r="L210" i="34" s="1"/>
  <c r="Q217" i="30"/>
  <c r="Q217" i="34" s="1"/>
  <c r="K223" i="30"/>
  <c r="K223" i="34" s="1"/>
  <c r="K176" i="30"/>
  <c r="K176" i="34" s="1"/>
  <c r="J185" i="30"/>
  <c r="J185" i="34" s="1"/>
  <c r="S204" i="30"/>
  <c r="S204" i="34" s="1"/>
  <c r="R217" i="30"/>
  <c r="R217" i="34" s="1"/>
  <c r="O166" i="30"/>
  <c r="O166" i="34" s="1"/>
  <c r="T170" i="30"/>
  <c r="G64" i="35" s="1"/>
  <c r="Z171" i="30"/>
  <c r="M65" i="35" s="1"/>
  <c r="L176" i="30"/>
  <c r="L176" i="34" s="1"/>
  <c r="K185" i="30"/>
  <c r="K185" i="34" s="1"/>
  <c r="V190" i="30"/>
  <c r="I72" i="35" s="1"/>
  <c r="L191" i="30"/>
  <c r="R198" i="30"/>
  <c r="R198" i="34" s="1"/>
  <c r="I207" i="30"/>
  <c r="I207" i="34" s="1"/>
  <c r="N210" i="30"/>
  <c r="N210" i="34" s="1"/>
  <c r="S213" i="30"/>
  <c r="S213" i="34" s="1"/>
  <c r="S217" i="30"/>
  <c r="S217" i="34" s="1"/>
  <c r="H220" i="30"/>
  <c r="H220" i="34" s="1"/>
  <c r="M223" i="30"/>
  <c r="M223" i="34" s="1"/>
  <c r="H132" i="30"/>
  <c r="H132" i="34" s="1"/>
  <c r="V136" i="30"/>
  <c r="I52" i="35" s="1"/>
  <c r="L141" i="34"/>
  <c r="P166" i="30"/>
  <c r="P166" i="34" s="1"/>
  <c r="AA171" i="30"/>
  <c r="N65" i="35" s="1"/>
  <c r="H173" i="30"/>
  <c r="H173" i="34" s="1"/>
  <c r="M176" i="30"/>
  <c r="M176" i="34" s="1"/>
  <c r="L185" i="30"/>
  <c r="L185" i="34" s="1"/>
  <c r="M191" i="30"/>
  <c r="S198" i="30"/>
  <c r="S198" i="34" s="1"/>
  <c r="H201" i="30"/>
  <c r="H201" i="34" s="1"/>
  <c r="AA202" i="30"/>
  <c r="N76" i="35" s="1"/>
  <c r="T205" i="30"/>
  <c r="J207" i="30"/>
  <c r="J207" i="34" s="1"/>
  <c r="O210" i="30"/>
  <c r="O210" i="34" s="1"/>
  <c r="T214" i="30"/>
  <c r="G80" i="35" s="1"/>
  <c r="Z215" i="30"/>
  <c r="M81" i="35" s="1"/>
  <c r="I220" i="30"/>
  <c r="I220" i="34" s="1"/>
  <c r="N223" i="30"/>
  <c r="N223" i="34" s="1"/>
  <c r="I127" i="30"/>
  <c r="I132" i="30"/>
  <c r="I132" i="34" s="1"/>
  <c r="H151" i="30"/>
  <c r="H151" i="34" s="1"/>
  <c r="Q166" i="30"/>
  <c r="Q166" i="34" s="1"/>
  <c r="I173" i="30"/>
  <c r="I173" i="34" s="1"/>
  <c r="N176" i="30"/>
  <c r="N176" i="34" s="1"/>
  <c r="M185" i="30"/>
  <c r="M185" i="34" s="1"/>
  <c r="H190" i="30"/>
  <c r="H190" i="34" s="1"/>
  <c r="N191" i="30"/>
  <c r="J6" i="27" s="1"/>
  <c r="U193" i="30"/>
  <c r="I201" i="30"/>
  <c r="I201" i="34" s="1"/>
  <c r="AB202" i="30"/>
  <c r="O76" i="35" s="1"/>
  <c r="K207" i="30"/>
  <c r="K207" i="34" s="1"/>
  <c r="P210" i="30"/>
  <c r="P210" i="34" s="1"/>
  <c r="AA215" i="30"/>
  <c r="N81" i="35" s="1"/>
  <c r="T218" i="30"/>
  <c r="J220" i="30"/>
  <c r="J220" i="34" s="1"/>
  <c r="O223" i="30"/>
  <c r="O223" i="34" s="1"/>
  <c r="O176" i="30"/>
  <c r="O176" i="34" s="1"/>
  <c r="N185" i="30"/>
  <c r="N185" i="34" s="1"/>
  <c r="K220" i="30"/>
  <c r="K220" i="34" s="1"/>
  <c r="P223" i="30"/>
  <c r="P223" i="34" s="1"/>
  <c r="G150" i="34"/>
  <c r="K132" i="30"/>
  <c r="K132" i="34" s="1"/>
  <c r="S166" i="30"/>
  <c r="S166" i="34" s="1"/>
  <c r="H169" i="30"/>
  <c r="H169" i="34" s="1"/>
  <c r="AD171" i="30"/>
  <c r="Q65" i="35" s="1"/>
  <c r="K173" i="30"/>
  <c r="K173" i="34" s="1"/>
  <c r="P176" i="30"/>
  <c r="P176" i="34" s="1"/>
  <c r="T180" i="30"/>
  <c r="G68" i="35" s="1"/>
  <c r="O185" i="30"/>
  <c r="O185" i="34" s="1"/>
  <c r="T189" i="30"/>
  <c r="G71" i="35" s="1"/>
  <c r="W193" i="30"/>
  <c r="K201" i="30"/>
  <c r="K201" i="34" s="1"/>
  <c r="AD202" i="30"/>
  <c r="Q76" i="35" s="1"/>
  <c r="H204" i="30"/>
  <c r="H204" i="34" s="1"/>
  <c r="M207" i="30"/>
  <c r="M207" i="34" s="1"/>
  <c r="R210" i="30"/>
  <c r="R210" i="34" s="1"/>
  <c r="AC215" i="30"/>
  <c r="P81" i="35" s="1"/>
  <c r="L220" i="30"/>
  <c r="L220" i="34" s="1"/>
  <c r="Q223" i="30"/>
  <c r="Q223" i="34" s="1"/>
  <c r="L173" i="30"/>
  <c r="L173" i="34" s="1"/>
  <c r="P185" i="30"/>
  <c r="P185" i="34" s="1"/>
  <c r="X193" i="30"/>
  <c r="AE202" i="30"/>
  <c r="R76" i="35" s="1"/>
  <c r="H217" i="30"/>
  <c r="H217" i="34" s="1"/>
  <c r="M220" i="30"/>
  <c r="M220" i="34" s="1"/>
  <c r="R223" i="30"/>
  <c r="R223" i="34" s="1"/>
  <c r="F54" i="32"/>
  <c r="J59" i="32"/>
  <c r="I59" i="32"/>
  <c r="H59" i="32"/>
  <c r="F22" i="32"/>
  <c r="J27" i="32"/>
  <c r="I27" i="32"/>
  <c r="H27" i="32"/>
  <c r="N81" i="32"/>
  <c r="O81" i="32" s="1"/>
  <c r="N49" i="32"/>
  <c r="N17" i="32"/>
  <c r="M31" i="32"/>
  <c r="O50" i="32"/>
  <c r="N63" i="32"/>
  <c r="M63" i="32"/>
  <c r="L63" i="32"/>
  <c r="N31" i="32"/>
  <c r="O31" i="32"/>
  <c r="I44" i="32"/>
  <c r="P19" i="32"/>
  <c r="J45" i="32"/>
  <c r="O82" i="32"/>
  <c r="N32" i="32"/>
  <c r="P51" i="32"/>
  <c r="M64" i="32"/>
  <c r="I28" i="32"/>
  <c r="L46" i="32"/>
  <c r="K46" i="32"/>
  <c r="F70" i="32"/>
  <c r="E74" i="32"/>
  <c r="Q83" i="32"/>
  <c r="P83" i="32"/>
  <c r="K14" i="32"/>
  <c r="Q20" i="32"/>
  <c r="R52" i="32"/>
  <c r="Q52" i="32"/>
  <c r="I60" i="32"/>
  <c r="J29" i="32"/>
  <c r="N79" i="32"/>
  <c r="M15" i="32"/>
  <c r="L15" i="32"/>
  <c r="J61" i="32"/>
  <c r="P34" i="32"/>
  <c r="O34" i="32"/>
  <c r="Q34" i="32" s="1"/>
  <c r="O66" i="32"/>
  <c r="H11" i="32"/>
  <c r="F6" i="32"/>
  <c r="N16" i="32"/>
  <c r="M16" i="32"/>
  <c r="E22" i="32"/>
  <c r="G26" i="32"/>
  <c r="I76" i="32"/>
  <c r="M80" i="32"/>
  <c r="P35" i="32"/>
  <c r="P67" i="32"/>
  <c r="N80" i="32"/>
  <c r="N78" i="32"/>
  <c r="O78" i="32"/>
  <c r="Q36" i="32"/>
  <c r="L47" i="32"/>
  <c r="M48" i="32"/>
  <c r="P78" i="32"/>
  <c r="J13" i="32"/>
  <c r="O18" i="32"/>
  <c r="R36" i="32"/>
  <c r="G42" i="32"/>
  <c r="H75" i="32"/>
  <c r="Q84" i="32"/>
  <c r="R84" i="32"/>
  <c r="G10" i="32"/>
  <c r="K62" i="32"/>
  <c r="N65" i="32"/>
  <c r="H10" i="32"/>
  <c r="H6" i="32" s="1"/>
  <c r="H43" i="32"/>
  <c r="O65" i="32"/>
  <c r="I43" i="32"/>
  <c r="G58" i="32"/>
  <c r="H58" i="32"/>
  <c r="H54" i="32" s="1"/>
  <c r="K30" i="32"/>
  <c r="L30" i="32" s="1"/>
  <c r="N33" i="32"/>
  <c r="O33" i="32" s="1"/>
  <c r="E38" i="32"/>
  <c r="J77" i="32"/>
  <c r="Q65" i="32" l="1"/>
  <c r="R34" i="32"/>
  <c r="N46" i="32"/>
  <c r="P46" i="32" s="1"/>
  <c r="J133" i="34"/>
  <c r="W133" i="30"/>
  <c r="J51" i="35" s="1"/>
  <c r="J27" i="27"/>
  <c r="K108" i="34"/>
  <c r="X108" i="30"/>
  <c r="K42" i="35" s="1"/>
  <c r="P65" i="32"/>
  <c r="P63" i="32"/>
  <c r="H40" i="34"/>
  <c r="H3" i="30"/>
  <c r="H3" i="34" s="1"/>
  <c r="G38" i="32"/>
  <c r="P31" i="32"/>
  <c r="Q31" i="32" s="1"/>
  <c r="J73" i="35"/>
  <c r="W190" i="30"/>
  <c r="J72" i="35" s="1"/>
  <c r="M191" i="34"/>
  <c r="M192" i="30"/>
  <c r="M192" i="34" s="1"/>
  <c r="O6" i="27"/>
  <c r="S141" i="34"/>
  <c r="S97" i="30"/>
  <c r="I114" i="34"/>
  <c r="V114" i="30"/>
  <c r="I44" i="35" s="1"/>
  <c r="W140" i="30"/>
  <c r="J55" i="35"/>
  <c r="M17" i="35"/>
  <c r="Z40" i="30"/>
  <c r="M16" i="35" s="1"/>
  <c r="Y190" i="30"/>
  <c r="L72" i="35" s="1"/>
  <c r="Q55" i="35"/>
  <c r="AD140" i="30"/>
  <c r="G18" i="35"/>
  <c r="T43" i="30"/>
  <c r="G56" i="35"/>
  <c r="T143" i="30"/>
  <c r="G61" i="34"/>
  <c r="G40" i="30"/>
  <c r="G40" i="34" s="1"/>
  <c r="D27" i="27"/>
  <c r="P54" i="35"/>
  <c r="O19" i="27"/>
  <c r="N17" i="35"/>
  <c r="AA40" i="30"/>
  <c r="N16" i="35" s="1"/>
  <c r="H55" i="35"/>
  <c r="U140" i="30"/>
  <c r="P41" i="34"/>
  <c r="P4" i="30"/>
  <c r="P42" i="30"/>
  <c r="P42" i="34" s="1"/>
  <c r="R4" i="35"/>
  <c r="H44" i="35"/>
  <c r="K17" i="35"/>
  <c r="X40" i="30"/>
  <c r="K16" i="35" s="1"/>
  <c r="I55" i="35"/>
  <c r="V140" i="30"/>
  <c r="H19" i="27"/>
  <c r="G19" i="27"/>
  <c r="S5" i="35"/>
  <c r="AF6" i="30"/>
  <c r="Q35" i="32"/>
  <c r="O16" i="32"/>
  <c r="M46" i="32"/>
  <c r="O63" i="32"/>
  <c r="R31" i="32"/>
  <c r="T31" i="32" s="1"/>
  <c r="K59" i="32"/>
  <c r="L191" i="34"/>
  <c r="L192" i="30"/>
  <c r="L192" i="34" s="1"/>
  <c r="L97" i="30"/>
  <c r="S68" i="32"/>
  <c r="L55" i="35"/>
  <c r="Y140" i="30"/>
  <c r="O5" i="35"/>
  <c r="AB6" i="30"/>
  <c r="J3" i="30"/>
  <c r="J3" i="34" s="1"/>
  <c r="J40" i="34"/>
  <c r="N41" i="34"/>
  <c r="N4" i="30"/>
  <c r="L117" i="34"/>
  <c r="Y117" i="30"/>
  <c r="L45" i="35" s="1"/>
  <c r="L17" i="35"/>
  <c r="Y40" i="30"/>
  <c r="L16" i="35" s="1"/>
  <c r="R65" i="32"/>
  <c r="M62" i="32"/>
  <c r="L62" i="32"/>
  <c r="T84" i="32"/>
  <c r="G6" i="32"/>
  <c r="H42" i="32"/>
  <c r="J76" i="32"/>
  <c r="N15" i="32"/>
  <c r="S52" i="32"/>
  <c r="O46" i="32"/>
  <c r="J44" i="32"/>
  <c r="O49" i="32"/>
  <c r="K27" i="32"/>
  <c r="L59" i="32"/>
  <c r="K73" i="35"/>
  <c r="X190" i="30"/>
  <c r="K72" i="35" s="1"/>
  <c r="G194" i="34"/>
  <c r="R195" i="30"/>
  <c r="R195" i="34" s="1"/>
  <c r="M195" i="30"/>
  <c r="M195" i="34" s="1"/>
  <c r="K195" i="30"/>
  <c r="K195" i="34" s="1"/>
  <c r="J195" i="30"/>
  <c r="J195" i="34" s="1"/>
  <c r="I195" i="30"/>
  <c r="I195" i="34" s="1"/>
  <c r="H195" i="30"/>
  <c r="H195" i="34" s="1"/>
  <c r="G191" i="30"/>
  <c r="S195" i="30"/>
  <c r="S195" i="34" s="1"/>
  <c r="G74" i="35"/>
  <c r="T193" i="30"/>
  <c r="G62" i="34"/>
  <c r="L63" i="30"/>
  <c r="L63" i="34" s="1"/>
  <c r="P63" i="30"/>
  <c r="P63" i="34" s="1"/>
  <c r="O63" i="30"/>
  <c r="O63" i="34" s="1"/>
  <c r="K55" i="35"/>
  <c r="X140" i="30"/>
  <c r="J102" i="34"/>
  <c r="J99" i="30"/>
  <c r="W102" i="30"/>
  <c r="O41" i="34"/>
  <c r="O4" i="30"/>
  <c r="I6" i="27"/>
  <c r="M141" i="34"/>
  <c r="H40" i="35"/>
  <c r="U99" i="30"/>
  <c r="I41" i="34"/>
  <c r="I4" i="30"/>
  <c r="F27" i="27"/>
  <c r="S84" i="32"/>
  <c r="I75" i="32"/>
  <c r="S36" i="32"/>
  <c r="J11" i="32"/>
  <c r="K61" i="32"/>
  <c r="O15" i="32"/>
  <c r="N64" i="32"/>
  <c r="K77" i="32"/>
  <c r="P50" i="32"/>
  <c r="P49" i="32"/>
  <c r="M59" i="32"/>
  <c r="N73" i="35"/>
  <c r="AA190" i="30"/>
  <c r="N72" i="35" s="1"/>
  <c r="N5" i="35"/>
  <c r="AA6" i="30"/>
  <c r="I3" i="30"/>
  <c r="I3" i="34" s="1"/>
  <c r="I40" i="34"/>
  <c r="I102" i="34"/>
  <c r="I99" i="30"/>
  <c r="V102" i="30"/>
  <c r="G6" i="34"/>
  <c r="G3" i="30"/>
  <c r="G3" i="34" s="1"/>
  <c r="X139" i="30"/>
  <c r="K139" i="34"/>
  <c r="L139" i="30"/>
  <c r="S40" i="34"/>
  <c r="S3" i="30"/>
  <c r="S3" i="34" s="1"/>
  <c r="S63" i="30"/>
  <c r="S63" i="34" s="1"/>
  <c r="Q4" i="35"/>
  <c r="S31" i="32"/>
  <c r="L27" i="27"/>
  <c r="I58" i="32"/>
  <c r="I54" i="32" s="1"/>
  <c r="G54" i="32"/>
  <c r="P18" i="32"/>
  <c r="Q67" i="32"/>
  <c r="I11" i="32"/>
  <c r="J60" i="32"/>
  <c r="J28" i="32"/>
  <c r="O64" i="32"/>
  <c r="P82" i="32"/>
  <c r="L27" i="32"/>
  <c r="I120" i="34"/>
  <c r="V120" i="30"/>
  <c r="K6" i="27"/>
  <c r="O141" i="34"/>
  <c r="H51" i="35"/>
  <c r="S55" i="35"/>
  <c r="AF140" i="30"/>
  <c r="K13" i="32"/>
  <c r="O80" i="32"/>
  <c r="F4" i="32"/>
  <c r="H6" i="27"/>
  <c r="G66" i="35"/>
  <c r="T171" i="30"/>
  <c r="G65" i="35" s="1"/>
  <c r="J120" i="34"/>
  <c r="W120" i="30"/>
  <c r="J46" i="35" s="1"/>
  <c r="G193" i="34"/>
  <c r="G190" i="30"/>
  <c r="G190" i="34" s="1"/>
  <c r="N27" i="27"/>
  <c r="I19" i="27"/>
  <c r="O195" i="30"/>
  <c r="O195" i="34" s="1"/>
  <c r="I133" i="34"/>
  <c r="V133" i="30"/>
  <c r="I51" i="35" s="1"/>
  <c r="C7" i="27"/>
  <c r="D25" i="27"/>
  <c r="I127" i="34"/>
  <c r="J127" i="30"/>
  <c r="V127" i="30"/>
  <c r="I42" i="32"/>
  <c r="I38" i="32" s="1"/>
  <c r="P80" i="32"/>
  <c r="L14" i="32"/>
  <c r="R83" i="32"/>
  <c r="L44" i="32"/>
  <c r="Q63" i="32"/>
  <c r="J114" i="30"/>
  <c r="P17" i="35"/>
  <c r="AC40" i="30"/>
  <c r="P16" i="35" s="1"/>
  <c r="K120" i="30"/>
  <c r="L120" i="30" s="1"/>
  <c r="H97" i="34"/>
  <c r="O17" i="35"/>
  <c r="AB40" i="30"/>
  <c r="O16" i="35" s="1"/>
  <c r="M19" i="27"/>
  <c r="I124" i="34"/>
  <c r="I121" i="30"/>
  <c r="I121" i="34" s="1"/>
  <c r="J124" i="30"/>
  <c r="V124" i="30"/>
  <c r="I17" i="35"/>
  <c r="V40" i="30"/>
  <c r="I16" i="35" s="1"/>
  <c r="O191" i="34"/>
  <c r="O192" i="30"/>
  <c r="O192" i="34" s="1"/>
  <c r="K133" i="30"/>
  <c r="G144" i="34"/>
  <c r="L145" i="30"/>
  <c r="L145" i="34" s="1"/>
  <c r="J145" i="30"/>
  <c r="J145" i="34" s="1"/>
  <c r="S145" i="30"/>
  <c r="S145" i="34" s="1"/>
  <c r="R145" i="30"/>
  <c r="R145" i="34" s="1"/>
  <c r="Q145" i="30"/>
  <c r="Q145" i="34" s="1"/>
  <c r="O145" i="30"/>
  <c r="O145" i="34" s="1"/>
  <c r="I145" i="30"/>
  <c r="I145" i="34" s="1"/>
  <c r="K145" i="30"/>
  <c r="K145" i="34" s="1"/>
  <c r="H145" i="30"/>
  <c r="H145" i="34" s="1"/>
  <c r="G141" i="30"/>
  <c r="O142" i="30" s="1"/>
  <c r="O142" i="34" s="1"/>
  <c r="R63" i="30"/>
  <c r="R63" i="34" s="1"/>
  <c r="K105" i="34"/>
  <c r="X105" i="30"/>
  <c r="K41" i="35" s="1"/>
  <c r="S17" i="35"/>
  <c r="AF40" i="30"/>
  <c r="S16" i="35" s="1"/>
  <c r="G143" i="34"/>
  <c r="G140" i="30"/>
  <c r="T36" i="32"/>
  <c r="Q51" i="32"/>
  <c r="K44" i="32"/>
  <c r="H73" i="35"/>
  <c r="U190" i="30"/>
  <c r="H72" i="35" s="1"/>
  <c r="O73" i="35"/>
  <c r="AB190" i="30"/>
  <c r="O72" i="35" s="1"/>
  <c r="R41" i="34"/>
  <c r="R4" i="30"/>
  <c r="I111" i="34"/>
  <c r="J111" i="30"/>
  <c r="V111" i="30"/>
  <c r="H52" i="35"/>
  <c r="T136" i="30"/>
  <c r="G52" i="35" s="1"/>
  <c r="G6" i="35"/>
  <c r="T9" i="30"/>
  <c r="G26" i="35"/>
  <c r="T61" i="30"/>
  <c r="G25" i="35" s="1"/>
  <c r="O97" i="30"/>
  <c r="J43" i="32"/>
  <c r="Q18" i="32"/>
  <c r="Q78" i="32"/>
  <c r="P66" i="32"/>
  <c r="O79" i="32"/>
  <c r="T20" i="32"/>
  <c r="U20" i="32" s="1"/>
  <c r="K29" i="32"/>
  <c r="K45" i="32"/>
  <c r="N191" i="34"/>
  <c r="N192" i="30"/>
  <c r="N192" i="34" s="1"/>
  <c r="G77" i="35"/>
  <c r="T202" i="30"/>
  <c r="G76" i="35" s="1"/>
  <c r="L40" i="34"/>
  <c r="L3" i="30"/>
  <c r="L3" i="34" s="1"/>
  <c r="K5" i="35"/>
  <c r="X6" i="30"/>
  <c r="P195" i="30"/>
  <c r="P195" i="34" s="1"/>
  <c r="M117" i="30"/>
  <c r="O55" i="35"/>
  <c r="AB140" i="30"/>
  <c r="N97" i="30"/>
  <c r="L13" i="32"/>
  <c r="G22" i="32"/>
  <c r="H26" i="32"/>
  <c r="Q66" i="32"/>
  <c r="R66" i="32" s="1"/>
  <c r="S66" i="32" s="1"/>
  <c r="P79" i="32"/>
  <c r="Q79" i="32" s="1"/>
  <c r="R20" i="32"/>
  <c r="E70" i="32"/>
  <c r="G74" i="32"/>
  <c r="G70" i="32" s="1"/>
  <c r="K127" i="30"/>
  <c r="AE190" i="30"/>
  <c r="R72" i="35" s="1"/>
  <c r="K63" i="30"/>
  <c r="K63" i="34" s="1"/>
  <c r="M5" i="35"/>
  <c r="Z6" i="30"/>
  <c r="J45" i="35"/>
  <c r="P191" i="34"/>
  <c r="P192" i="30"/>
  <c r="P192" i="34" s="1"/>
  <c r="P97" i="30"/>
  <c r="H17" i="35"/>
  <c r="U40" i="30"/>
  <c r="H16" i="35" s="1"/>
  <c r="H41" i="34"/>
  <c r="H4" i="30"/>
  <c r="M97" i="30"/>
  <c r="M27" i="27"/>
  <c r="P33" i="32"/>
  <c r="R33" i="32" s="1"/>
  <c r="Q33" i="32"/>
  <c r="K42" i="32"/>
  <c r="O32" i="32"/>
  <c r="P32" i="32" s="1"/>
  <c r="Q19" i="32"/>
  <c r="O17" i="32"/>
  <c r="L195" i="30"/>
  <c r="L195" i="34" s="1"/>
  <c r="E27" i="27"/>
  <c r="H41" i="35"/>
  <c r="Q25" i="35"/>
  <c r="AD40" i="30"/>
  <c r="Q16" i="35" s="1"/>
  <c r="I63" i="30"/>
  <c r="I63" i="34" s="1"/>
  <c r="L108" i="30"/>
  <c r="R40" i="34"/>
  <c r="R3" i="30"/>
  <c r="R3" i="34" s="1"/>
  <c r="I42" i="35"/>
  <c r="R54" i="35"/>
  <c r="G82" i="35"/>
  <c r="T215" i="30"/>
  <c r="G81" i="35" s="1"/>
  <c r="H50" i="35"/>
  <c r="M30" i="32"/>
  <c r="I10" i="32"/>
  <c r="I6" i="32" s="1"/>
  <c r="J42" i="32"/>
  <c r="N48" i="32"/>
  <c r="S20" i="32"/>
  <c r="R19" i="32"/>
  <c r="P5" i="35"/>
  <c r="AC6" i="30"/>
  <c r="J130" i="34"/>
  <c r="M130" i="30"/>
  <c r="W130" i="30"/>
  <c r="J50" i="35" s="1"/>
  <c r="L130" i="30"/>
  <c r="G172" i="34"/>
  <c r="J173" i="30"/>
  <c r="J173" i="34" s="1"/>
  <c r="S173" i="30"/>
  <c r="S173" i="34" s="1"/>
  <c r="R173" i="30"/>
  <c r="R173" i="34" s="1"/>
  <c r="Q173" i="30"/>
  <c r="Q173" i="34" s="1"/>
  <c r="P173" i="30"/>
  <c r="P173" i="34" s="1"/>
  <c r="N173" i="30"/>
  <c r="N173" i="34" s="1"/>
  <c r="M173" i="30"/>
  <c r="M173" i="34" s="1"/>
  <c r="L124" i="30"/>
  <c r="J63" i="30"/>
  <c r="J63" i="34" s="1"/>
  <c r="L5" i="35"/>
  <c r="Y6" i="30"/>
  <c r="G6" i="27"/>
  <c r="K141" i="34"/>
  <c r="K142" i="30"/>
  <c r="K142" i="34" s="1"/>
  <c r="K97" i="30"/>
  <c r="G122" i="34"/>
  <c r="I123" i="30"/>
  <c r="I123" i="34" s="1"/>
  <c r="S123" i="30"/>
  <c r="S123" i="34" s="1"/>
  <c r="N123" i="30"/>
  <c r="N123" i="34" s="1"/>
  <c r="Q123" i="30"/>
  <c r="Q123" i="34" s="1"/>
  <c r="P123" i="30"/>
  <c r="P123" i="34" s="1"/>
  <c r="L123" i="30"/>
  <c r="L123" i="34" s="1"/>
  <c r="R123" i="30"/>
  <c r="R123" i="34" s="1"/>
  <c r="J108" i="34"/>
  <c r="W108" i="30"/>
  <c r="J42" i="35" s="1"/>
  <c r="F19" i="27"/>
  <c r="J10" i="32"/>
  <c r="U84" i="32"/>
  <c r="R78" i="32"/>
  <c r="M47" i="32"/>
  <c r="J58" i="32"/>
  <c r="J54" i="32" s="1"/>
  <c r="R51" i="32"/>
  <c r="Q82" i="32"/>
  <c r="P81" i="32"/>
  <c r="N195" i="30"/>
  <c r="N195" i="34" s="1"/>
  <c r="P73" i="35"/>
  <c r="AC190" i="30"/>
  <c r="P72" i="35" s="1"/>
  <c r="I97" i="34"/>
  <c r="K130" i="34"/>
  <c r="X130" i="30"/>
  <c r="K50" i="35" s="1"/>
  <c r="M55" i="35"/>
  <c r="Z140" i="30"/>
  <c r="K102" i="30"/>
  <c r="L102" i="30" s="1"/>
  <c r="N55" i="35"/>
  <c r="AA140" i="30"/>
  <c r="I5" i="35"/>
  <c r="V6" i="30"/>
  <c r="M124" i="30"/>
  <c r="H5" i="35"/>
  <c r="U6" i="30"/>
  <c r="N117" i="30"/>
  <c r="H96" i="30"/>
  <c r="H96" i="34" s="1"/>
  <c r="L105" i="30"/>
  <c r="G44" i="34"/>
  <c r="H45" i="30"/>
  <c r="H45" i="34" s="1"/>
  <c r="L45" i="30"/>
  <c r="L45" i="34" s="1"/>
  <c r="R45" i="30"/>
  <c r="R45" i="34" s="1"/>
  <c r="P45" i="30"/>
  <c r="P45" i="34" s="1"/>
  <c r="G41" i="30"/>
  <c r="N42" i="30" s="1"/>
  <c r="N42" i="34" s="1"/>
  <c r="K45" i="30"/>
  <c r="K45" i="34" s="1"/>
  <c r="Q195" i="30"/>
  <c r="Q195" i="34" s="1"/>
  <c r="J12" i="32"/>
  <c r="R25" i="35"/>
  <c r="AE40" i="30"/>
  <c r="R16" i="35" s="1"/>
  <c r="K124" i="30"/>
  <c r="N124" i="30" s="1"/>
  <c r="J123" i="30"/>
  <c r="J123" i="34" s="1"/>
  <c r="J25" i="35"/>
  <c r="W40" i="30"/>
  <c r="U31" i="32" l="1"/>
  <c r="N124" i="34"/>
  <c r="AA124" i="30"/>
  <c r="L120" i="34"/>
  <c r="Y120" i="30"/>
  <c r="L46" i="35" s="1"/>
  <c r="S33" i="32"/>
  <c r="L102" i="34"/>
  <c r="Y102" i="30"/>
  <c r="N102" i="30"/>
  <c r="Q46" i="32"/>
  <c r="N47" i="32"/>
  <c r="G5" i="35"/>
  <c r="T6" i="30"/>
  <c r="T52" i="32"/>
  <c r="K5" i="27"/>
  <c r="O4" i="34"/>
  <c r="N62" i="32"/>
  <c r="K28" i="32"/>
  <c r="O4" i="35"/>
  <c r="AB3" i="30"/>
  <c r="L105" i="34"/>
  <c r="Y105" i="30"/>
  <c r="M105" i="30"/>
  <c r="N105" i="30"/>
  <c r="Y108" i="30"/>
  <c r="L42" i="35" s="1"/>
  <c r="L108" i="34"/>
  <c r="P97" i="34"/>
  <c r="P98" i="30"/>
  <c r="P98" i="34" s="1"/>
  <c r="R67" i="32"/>
  <c r="Y139" i="30"/>
  <c r="L53" i="35" s="1"/>
  <c r="L139" i="34"/>
  <c r="M139" i="30"/>
  <c r="J40" i="35"/>
  <c r="L5" i="27"/>
  <c r="P4" i="34"/>
  <c r="G55" i="35"/>
  <c r="T140" i="30"/>
  <c r="U36" i="32"/>
  <c r="W36" i="32" s="1"/>
  <c r="X36" i="32" s="1"/>
  <c r="I46" i="35"/>
  <c r="K97" i="34"/>
  <c r="K12" i="32"/>
  <c r="N117" i="34"/>
  <c r="AA117" i="30"/>
  <c r="N45" i="35" s="1"/>
  <c r="J6" i="32"/>
  <c r="E4" i="32"/>
  <c r="N97" i="34"/>
  <c r="S67" i="32"/>
  <c r="K53" i="35"/>
  <c r="L54" i="35"/>
  <c r="H54" i="35"/>
  <c r="G17" i="35"/>
  <c r="T40" i="30"/>
  <c r="G16" i="35" s="1"/>
  <c r="S142" i="30"/>
  <c r="S142" i="34" s="1"/>
  <c r="R18" i="32"/>
  <c r="H4" i="35"/>
  <c r="U3" i="30"/>
  <c r="L130" i="34"/>
  <c r="Y130" i="30"/>
  <c r="L50" i="35" s="1"/>
  <c r="O54" i="35"/>
  <c r="G140" i="34"/>
  <c r="G96" i="30"/>
  <c r="G96" i="34" s="1"/>
  <c r="U52" i="32"/>
  <c r="K54" i="35"/>
  <c r="V84" i="32"/>
  <c r="W84" i="32" s="1"/>
  <c r="G27" i="27"/>
  <c r="C27" i="27" s="1"/>
  <c r="C28" i="27" s="1"/>
  <c r="N130" i="30"/>
  <c r="I26" i="32"/>
  <c r="L42" i="32"/>
  <c r="L28" i="32"/>
  <c r="M28" i="32" s="1"/>
  <c r="K60" i="32"/>
  <c r="E5" i="27"/>
  <c r="I4" i="34"/>
  <c r="Q54" i="35"/>
  <c r="O27" i="27"/>
  <c r="K10" i="32"/>
  <c r="S63" i="32"/>
  <c r="M124" i="34"/>
  <c r="Z124" i="30"/>
  <c r="M117" i="34"/>
  <c r="Z117" i="30"/>
  <c r="P117" i="30"/>
  <c r="O117" i="30"/>
  <c r="M42" i="32"/>
  <c r="K133" i="34"/>
  <c r="X133" i="30"/>
  <c r="K120" i="34"/>
  <c r="X120" i="30"/>
  <c r="K46" i="35" s="1"/>
  <c r="S54" i="35"/>
  <c r="O102" i="30"/>
  <c r="R50" i="32"/>
  <c r="K11" i="32"/>
  <c r="I42" i="30"/>
  <c r="I42" i="34" s="1"/>
  <c r="S35" i="32"/>
  <c r="T68" i="32"/>
  <c r="U68" i="32" s="1"/>
  <c r="L97" i="34"/>
  <c r="R63" i="32"/>
  <c r="I4" i="35"/>
  <c r="V3" i="30"/>
  <c r="L4" i="35"/>
  <c r="Y3" i="30"/>
  <c r="O48" i="32"/>
  <c r="M4" i="35"/>
  <c r="Z3" i="30"/>
  <c r="H22" i="32"/>
  <c r="K43" i="32"/>
  <c r="L43" i="32" s="1"/>
  <c r="I43" i="35"/>
  <c r="O26" i="27"/>
  <c r="N26" i="27"/>
  <c r="M26" i="27"/>
  <c r="L26" i="27"/>
  <c r="K26" i="27"/>
  <c r="J26" i="27"/>
  <c r="I26" i="27"/>
  <c r="H26" i="27"/>
  <c r="G26" i="27"/>
  <c r="F26" i="27"/>
  <c r="C25" i="27"/>
  <c r="C26" i="27" s="1"/>
  <c r="E26" i="27"/>
  <c r="D26" i="27"/>
  <c r="N59" i="32"/>
  <c r="P102" i="30"/>
  <c r="M77" i="32"/>
  <c r="N77" i="32" s="1"/>
  <c r="S34" i="32"/>
  <c r="S78" i="32"/>
  <c r="T78" i="32" s="1"/>
  <c r="U78" i="32" s="1"/>
  <c r="Q80" i="32"/>
  <c r="J99" i="34"/>
  <c r="T66" i="32"/>
  <c r="U66" i="32" s="1"/>
  <c r="M130" i="34"/>
  <c r="Z130" i="30"/>
  <c r="M50" i="35" s="1"/>
  <c r="K38" i="32"/>
  <c r="M97" i="34"/>
  <c r="M98" i="30"/>
  <c r="M98" i="34" s="1"/>
  <c r="J111" i="34"/>
  <c r="W111" i="30"/>
  <c r="J43" i="35" s="1"/>
  <c r="K111" i="30"/>
  <c r="P15" i="32"/>
  <c r="I40" i="35"/>
  <c r="V99" i="30"/>
  <c r="M44" i="32"/>
  <c r="H39" i="35"/>
  <c r="U96" i="30"/>
  <c r="H38" i="35" s="1"/>
  <c r="E34" i="27"/>
  <c r="I54" i="35"/>
  <c r="T34" i="32"/>
  <c r="N54" i="35"/>
  <c r="Q17" i="32"/>
  <c r="V20" i="32"/>
  <c r="W20" i="32" s="1"/>
  <c r="X20" i="32" s="1"/>
  <c r="J38" i="32"/>
  <c r="K4" i="35"/>
  <c r="X3" i="30"/>
  <c r="O97" i="34"/>
  <c r="O98" i="30"/>
  <c r="O98" i="34" s="1"/>
  <c r="J114" i="34"/>
  <c r="W114" i="30"/>
  <c r="J44" i="35" s="1"/>
  <c r="H27" i="27"/>
  <c r="L61" i="32"/>
  <c r="I99" i="34"/>
  <c r="I96" i="30"/>
  <c r="I96" i="34" s="1"/>
  <c r="R32" i="32"/>
  <c r="K76" i="32"/>
  <c r="H38" i="32"/>
  <c r="L77" i="32"/>
  <c r="R35" i="32"/>
  <c r="S97" i="34"/>
  <c r="S98" i="30"/>
  <c r="S98" i="34" s="1"/>
  <c r="J16" i="35"/>
  <c r="W3" i="30"/>
  <c r="L124" i="34"/>
  <c r="Y124" i="30"/>
  <c r="P4" i="35"/>
  <c r="AC3" i="30"/>
  <c r="V36" i="32"/>
  <c r="D5" i="27"/>
  <c r="H4" i="34"/>
  <c r="Q102" i="30"/>
  <c r="L60" i="32"/>
  <c r="Q49" i="32"/>
  <c r="R49" i="32" s="1"/>
  <c r="S49" i="32" s="1"/>
  <c r="P64" i="32"/>
  <c r="G73" i="35"/>
  <c r="T190" i="30"/>
  <c r="G72" i="35" s="1"/>
  <c r="Q81" i="32"/>
  <c r="R81" i="32" s="1"/>
  <c r="S65" i="32"/>
  <c r="G41" i="34"/>
  <c r="L42" i="30"/>
  <c r="L42" i="34" s="1"/>
  <c r="G4" i="30"/>
  <c r="K42" i="30"/>
  <c r="K42" i="34" s="1"/>
  <c r="Q42" i="30"/>
  <c r="Q42" i="34" s="1"/>
  <c r="M42" i="30"/>
  <c r="M42" i="34" s="1"/>
  <c r="S42" i="30"/>
  <c r="S42" i="34" s="1"/>
  <c r="J42" i="30"/>
  <c r="J42" i="34" s="1"/>
  <c r="K102" i="34"/>
  <c r="K99" i="30"/>
  <c r="X102" i="30"/>
  <c r="M102" i="30"/>
  <c r="S19" i="32"/>
  <c r="H42" i="30"/>
  <c r="H42" i="34" s="1"/>
  <c r="K127" i="34"/>
  <c r="X127" i="30"/>
  <c r="K49" i="35" s="1"/>
  <c r="H74" i="32"/>
  <c r="R42" i="30"/>
  <c r="R42" i="34" s="1"/>
  <c r="S51" i="32"/>
  <c r="G141" i="34"/>
  <c r="I142" i="30"/>
  <c r="I142" i="34" s="1"/>
  <c r="L142" i="30"/>
  <c r="L142" i="34" s="1"/>
  <c r="J142" i="30"/>
  <c r="J142" i="34" s="1"/>
  <c r="H142" i="30"/>
  <c r="H142" i="34" s="1"/>
  <c r="G97" i="30"/>
  <c r="N98" i="30" s="1"/>
  <c r="N98" i="34" s="1"/>
  <c r="R142" i="30"/>
  <c r="R142" i="34" s="1"/>
  <c r="P142" i="30"/>
  <c r="P142" i="34" s="1"/>
  <c r="Q142" i="30"/>
  <c r="Q142" i="34" s="1"/>
  <c r="N142" i="30"/>
  <c r="N142" i="34" s="1"/>
  <c r="I48" i="35"/>
  <c r="V121" i="30"/>
  <c r="I47" i="35" s="1"/>
  <c r="N27" i="32"/>
  <c r="M27" i="32"/>
  <c r="Q50" i="32"/>
  <c r="M142" i="30"/>
  <c r="M142" i="34" s="1"/>
  <c r="J5" i="27"/>
  <c r="N4" i="34"/>
  <c r="N5" i="30"/>
  <c r="N5" i="34" s="1"/>
  <c r="J54" i="35"/>
  <c r="M54" i="35"/>
  <c r="M29" i="32"/>
  <c r="N5" i="27"/>
  <c r="R4" i="34"/>
  <c r="R5" i="30"/>
  <c r="R5" i="34" s="1"/>
  <c r="J124" i="34"/>
  <c r="W124" i="30"/>
  <c r="J121" i="30"/>
  <c r="J121" i="34" s="1"/>
  <c r="O124" i="30"/>
  <c r="I49" i="35"/>
  <c r="K27" i="27"/>
  <c r="AD3" i="30"/>
  <c r="J75" i="32"/>
  <c r="C6" i="27"/>
  <c r="K114" i="30"/>
  <c r="P16" i="32"/>
  <c r="S83" i="32"/>
  <c r="S4" i="35"/>
  <c r="AF3" i="30"/>
  <c r="R79" i="32"/>
  <c r="I74" i="32"/>
  <c r="I70" i="32" s="1"/>
  <c r="J127" i="34"/>
  <c r="W127" i="30"/>
  <c r="J49" i="35" s="1"/>
  <c r="M13" i="32"/>
  <c r="R82" i="32"/>
  <c r="S82" i="32" s="1"/>
  <c r="T82" i="32" s="1"/>
  <c r="N4" i="35"/>
  <c r="AA3" i="30"/>
  <c r="I27" i="27"/>
  <c r="M108" i="30"/>
  <c r="L114" i="30"/>
  <c r="K124" i="34"/>
  <c r="X124" i="30"/>
  <c r="K121" i="30"/>
  <c r="K121" i="34" s="1"/>
  <c r="P17" i="32"/>
  <c r="N30" i="32"/>
  <c r="O30" i="32" s="1"/>
  <c r="J74" i="32"/>
  <c r="J70" i="32" s="1"/>
  <c r="L29" i="32"/>
  <c r="M120" i="30"/>
  <c r="L45" i="32"/>
  <c r="L133" i="30"/>
  <c r="M14" i="32"/>
  <c r="L127" i="30"/>
  <c r="K58" i="32"/>
  <c r="O42" i="30"/>
  <c r="O42" i="34" s="1"/>
  <c r="G191" i="34"/>
  <c r="K192" i="30"/>
  <c r="K192" i="34" s="1"/>
  <c r="J192" i="30"/>
  <c r="J192" i="34" s="1"/>
  <c r="Q192" i="30"/>
  <c r="Q192" i="34" s="1"/>
  <c r="R192" i="30"/>
  <c r="R192" i="34" s="1"/>
  <c r="I192" i="30"/>
  <c r="I192" i="34" s="1"/>
  <c r="S192" i="30"/>
  <c r="S192" i="34" s="1"/>
  <c r="H192" i="30"/>
  <c r="H192" i="34" s="1"/>
  <c r="Q32" i="32"/>
  <c r="G4" i="32"/>
  <c r="F34" i="27" s="1"/>
  <c r="AE3" i="30"/>
  <c r="G28" i="27"/>
  <c r="F28" i="27"/>
  <c r="E28" i="27"/>
  <c r="D28" i="27"/>
  <c r="T19" i="32"/>
  <c r="M43" i="32" l="1"/>
  <c r="X84" i="32"/>
  <c r="D84" i="32" s="1"/>
  <c r="V66" i="32"/>
  <c r="W66" i="32" s="1"/>
  <c r="O77" i="32"/>
  <c r="K99" i="34"/>
  <c r="K96" i="30"/>
  <c r="K96" i="34" s="1"/>
  <c r="S32" i="32"/>
  <c r="N19" i="27"/>
  <c r="F33" i="27"/>
  <c r="F35" i="27" s="1"/>
  <c r="F36" i="27" s="1"/>
  <c r="F8" i="27" s="1"/>
  <c r="F9" i="27" s="1"/>
  <c r="J3" i="35"/>
  <c r="O117" i="34"/>
  <c r="AB117" i="30"/>
  <c r="O45" i="35" s="1"/>
  <c r="K6" i="32"/>
  <c r="Q15" i="32"/>
  <c r="S79" i="32"/>
  <c r="L12" i="32"/>
  <c r="M12" i="32" s="1"/>
  <c r="N102" i="34"/>
  <c r="AA102" i="30"/>
  <c r="M45" i="32"/>
  <c r="N45" i="32"/>
  <c r="L114" i="34"/>
  <c r="Y114" i="30"/>
  <c r="L44" i="35" s="1"/>
  <c r="S81" i="32"/>
  <c r="L11" i="32"/>
  <c r="P117" i="34"/>
  <c r="AC117" i="30"/>
  <c r="P45" i="35" s="1"/>
  <c r="O47" i="32"/>
  <c r="Q64" i="32"/>
  <c r="R102" i="30"/>
  <c r="T33" i="32"/>
  <c r="W33" i="32" s="1"/>
  <c r="V31" i="32"/>
  <c r="W31" i="32" s="1"/>
  <c r="I39" i="35"/>
  <c r="V96" i="30"/>
  <c r="I38" i="35" s="1"/>
  <c r="M38" i="32"/>
  <c r="I28" i="27"/>
  <c r="L127" i="34"/>
  <c r="Y127" i="30"/>
  <c r="M127" i="30"/>
  <c r="M120" i="34"/>
  <c r="Z120" i="30"/>
  <c r="M46" i="35" s="1"/>
  <c r="Q102" i="34"/>
  <c r="AD102" i="30"/>
  <c r="H33" i="27"/>
  <c r="H35" i="27" s="1"/>
  <c r="H36" i="27" s="1"/>
  <c r="H8" i="27" s="1"/>
  <c r="H9" i="27" s="1"/>
  <c r="L3" i="35"/>
  <c r="M45" i="35"/>
  <c r="M139" i="34"/>
  <c r="Z139" i="30"/>
  <c r="M53" i="35" s="1"/>
  <c r="N139" i="30"/>
  <c r="O44" i="32"/>
  <c r="L40" i="35"/>
  <c r="U33" i="32"/>
  <c r="V33" i="32" s="1"/>
  <c r="N33" i="27"/>
  <c r="R3" i="35"/>
  <c r="J28" i="27"/>
  <c r="M108" i="34"/>
  <c r="Z108" i="30"/>
  <c r="N120" i="30"/>
  <c r="O33" i="27"/>
  <c r="S3" i="35"/>
  <c r="P102" i="34"/>
  <c r="AC102" i="30"/>
  <c r="O102" i="34"/>
  <c r="AB102" i="30"/>
  <c r="D33" i="27"/>
  <c r="H3" i="35"/>
  <c r="P30" i="32"/>
  <c r="Q30" i="32" s="1"/>
  <c r="X31" i="32"/>
  <c r="D31" i="32" s="1"/>
  <c r="N76" i="32"/>
  <c r="L76" i="32"/>
  <c r="H28" i="27"/>
  <c r="O124" i="34"/>
  <c r="AB124" i="30"/>
  <c r="E33" i="27"/>
  <c r="E35" i="27" s="1"/>
  <c r="E36" i="27" s="1"/>
  <c r="E8" i="27" s="1"/>
  <c r="E9" i="27" s="1"/>
  <c r="E20" i="27" s="1"/>
  <c r="I3" i="35"/>
  <c r="L38" i="32"/>
  <c r="N42" i="32"/>
  <c r="D36" i="32"/>
  <c r="G4" i="35"/>
  <c r="T3" i="30"/>
  <c r="N48" i="35"/>
  <c r="K33" i="27"/>
  <c r="O3" i="35"/>
  <c r="K28" i="27"/>
  <c r="T83" i="32"/>
  <c r="M33" i="27"/>
  <c r="Q3" i="35"/>
  <c r="J19" i="27"/>
  <c r="G4" i="34"/>
  <c r="L5" i="30"/>
  <c r="L5" i="34" s="1"/>
  <c r="K5" i="30"/>
  <c r="K5" i="34" s="1"/>
  <c r="J5" i="30"/>
  <c r="J5" i="34" s="1"/>
  <c r="M5" i="30"/>
  <c r="M5" i="34" s="1"/>
  <c r="Q5" i="30"/>
  <c r="Q5" i="34" s="1"/>
  <c r="S5" i="30"/>
  <c r="S5" i="34" s="1"/>
  <c r="P48" i="32"/>
  <c r="M76" i="32"/>
  <c r="N108" i="30"/>
  <c r="J96" i="30"/>
  <c r="J96" i="34" s="1"/>
  <c r="T63" i="32"/>
  <c r="M61" i="32"/>
  <c r="N61" i="32" s="1"/>
  <c r="U67" i="32"/>
  <c r="V67" i="32" s="1"/>
  <c r="Q47" i="32"/>
  <c r="T51" i="32"/>
  <c r="L28" i="27"/>
  <c r="N14" i="32"/>
  <c r="R17" i="32"/>
  <c r="V78" i="32"/>
  <c r="L58" i="32"/>
  <c r="L54" i="32" s="1"/>
  <c r="O14" i="32"/>
  <c r="H5" i="30"/>
  <c r="H5" i="34" s="1"/>
  <c r="U19" i="32"/>
  <c r="G54" i="35"/>
  <c r="T67" i="32"/>
  <c r="P47" i="32"/>
  <c r="M28" i="27"/>
  <c r="L133" i="34"/>
  <c r="Y133" i="30"/>
  <c r="L51" i="35" s="1"/>
  <c r="M133" i="30"/>
  <c r="O133" i="30" s="1"/>
  <c r="H70" i="32"/>
  <c r="K111" i="34"/>
  <c r="X111" i="30"/>
  <c r="K43" i="35" s="1"/>
  <c r="I5" i="30"/>
  <c r="I5" i="34" s="1"/>
  <c r="I22" i="32"/>
  <c r="I4" i="32" s="1"/>
  <c r="H34" i="27" s="1"/>
  <c r="N105" i="34"/>
  <c r="AA105" i="30"/>
  <c r="N41" i="35" s="1"/>
  <c r="K74" i="32"/>
  <c r="K70" i="32" s="1"/>
  <c r="T35" i="32"/>
  <c r="U35" i="32" s="1"/>
  <c r="V35" i="32" s="1"/>
  <c r="V68" i="32"/>
  <c r="W68" i="32" s="1"/>
  <c r="X68" i="32" s="1"/>
  <c r="D68" i="32" s="1"/>
  <c r="N28" i="27"/>
  <c r="P124" i="30"/>
  <c r="Q124" i="30" s="1"/>
  <c r="G97" i="34"/>
  <c r="R98" i="30"/>
  <c r="R98" i="34" s="1"/>
  <c r="Q98" i="30"/>
  <c r="Q98" i="34" s="1"/>
  <c r="J98" i="30"/>
  <c r="J98" i="34" s="1"/>
  <c r="H98" i="30"/>
  <c r="H98" i="34" s="1"/>
  <c r="I98" i="30"/>
  <c r="I98" i="34" s="1"/>
  <c r="L10" i="32"/>
  <c r="S64" i="32"/>
  <c r="R64" i="32"/>
  <c r="D19" i="27"/>
  <c r="C5" i="27"/>
  <c r="N133" i="30"/>
  <c r="G33" i="27"/>
  <c r="K3" i="35"/>
  <c r="L111" i="30"/>
  <c r="W78" i="32"/>
  <c r="X78" i="32" s="1"/>
  <c r="D78" i="32" s="1"/>
  <c r="P5" i="30"/>
  <c r="P5" i="34" s="1"/>
  <c r="M105" i="34"/>
  <c r="Z105" i="30"/>
  <c r="M41" i="35" s="1"/>
  <c r="D20" i="32"/>
  <c r="S17" i="32"/>
  <c r="V52" i="32"/>
  <c r="O28" i="27"/>
  <c r="K48" i="35"/>
  <c r="X121" i="30"/>
  <c r="K47" i="35" s="1"/>
  <c r="N29" i="32"/>
  <c r="E19" i="27"/>
  <c r="O28" i="32"/>
  <c r="Q16" i="32"/>
  <c r="T17" i="32"/>
  <c r="J33" i="27"/>
  <c r="N3" i="35"/>
  <c r="J48" i="35"/>
  <c r="W121" i="30"/>
  <c r="J47" i="35" s="1"/>
  <c r="T49" i="32"/>
  <c r="L33" i="27"/>
  <c r="P3" i="35"/>
  <c r="L19" i="27"/>
  <c r="R46" i="32"/>
  <c r="U63" i="32"/>
  <c r="V63" i="32" s="1"/>
  <c r="K54" i="32"/>
  <c r="K114" i="34"/>
  <c r="X114" i="30"/>
  <c r="T50" i="32"/>
  <c r="S50" i="32"/>
  <c r="T65" i="32"/>
  <c r="U65" i="32" s="1"/>
  <c r="M114" i="30"/>
  <c r="O42" i="32"/>
  <c r="U34" i="32"/>
  <c r="V34" i="32" s="1"/>
  <c r="Q117" i="30"/>
  <c r="R117" i="30" s="1"/>
  <c r="W99" i="30"/>
  <c r="P44" i="32"/>
  <c r="Q44" i="32" s="1"/>
  <c r="O105" i="30"/>
  <c r="O5" i="30"/>
  <c r="O5" i="34" s="1"/>
  <c r="N44" i="32"/>
  <c r="K75" i="32"/>
  <c r="R80" i="32"/>
  <c r="M11" i="32"/>
  <c r="M102" i="34"/>
  <c r="Z102" i="30"/>
  <c r="O59" i="32"/>
  <c r="L121" i="30"/>
  <c r="L121" i="34" s="1"/>
  <c r="I33" i="27"/>
  <c r="M3" i="35"/>
  <c r="L98" i="30"/>
  <c r="L98" i="34" s="1"/>
  <c r="K51" i="35"/>
  <c r="J26" i="32"/>
  <c r="D34" i="27"/>
  <c r="S18" i="32"/>
  <c r="K98" i="30"/>
  <c r="K98" i="34" s="1"/>
  <c r="N28" i="32"/>
  <c r="L41" i="35"/>
  <c r="N13" i="32"/>
  <c r="U82" i="32"/>
  <c r="V82" i="32" s="1"/>
  <c r="W82" i="32" s="1"/>
  <c r="O27" i="32"/>
  <c r="K40" i="35"/>
  <c r="L48" i="35"/>
  <c r="Y121" i="30"/>
  <c r="L47" i="35" s="1"/>
  <c r="P14" i="32"/>
  <c r="R16" i="32"/>
  <c r="M48" i="35"/>
  <c r="M60" i="32"/>
  <c r="N130" i="34"/>
  <c r="AA130" i="30"/>
  <c r="O130" i="30"/>
  <c r="O62" i="32"/>
  <c r="K19" i="27"/>
  <c r="O120" i="30"/>
  <c r="R44" i="32" l="1"/>
  <c r="O133" i="34"/>
  <c r="AB133" i="30"/>
  <c r="O51" i="35" s="1"/>
  <c r="R117" i="34"/>
  <c r="AE117" i="30"/>
  <c r="R45" i="35" s="1"/>
  <c r="W63" i="32"/>
  <c r="X63" i="32" s="1"/>
  <c r="D63" i="32" s="1"/>
  <c r="Q124" i="34"/>
  <c r="AD124" i="30"/>
  <c r="R30" i="32"/>
  <c r="S30" i="32"/>
  <c r="W67" i="32"/>
  <c r="X67" i="32" s="1"/>
  <c r="D67" i="32" s="1"/>
  <c r="T18" i="32"/>
  <c r="D18" i="32" s="1"/>
  <c r="C33" i="27"/>
  <c r="G3" i="35"/>
  <c r="J22" i="32"/>
  <c r="K26" i="32"/>
  <c r="M40" i="35"/>
  <c r="L111" i="34"/>
  <c r="Y111" i="30"/>
  <c r="L99" i="30"/>
  <c r="U18" i="32"/>
  <c r="V18" i="32" s="1"/>
  <c r="W18" i="32" s="1"/>
  <c r="X18" i="32" s="1"/>
  <c r="P76" i="32"/>
  <c r="L49" i="35"/>
  <c r="O105" i="34"/>
  <c r="AB105" i="30"/>
  <c r="O41" i="35" s="1"/>
  <c r="U17" i="32"/>
  <c r="V17" i="32" s="1"/>
  <c r="W17" i="32" s="1"/>
  <c r="X17" i="32" s="1"/>
  <c r="D17" i="32" s="1"/>
  <c r="N108" i="34"/>
  <c r="AA108" i="30"/>
  <c r="N42" i="35" s="1"/>
  <c r="O76" i="32"/>
  <c r="M114" i="34"/>
  <c r="Z114" i="30"/>
  <c r="M44" i="35" s="1"/>
  <c r="N114" i="30"/>
  <c r="U49" i="32"/>
  <c r="V49" i="32" s="1"/>
  <c r="W49" i="32" s="1"/>
  <c r="X49" i="32" s="1"/>
  <c r="N12" i="32"/>
  <c r="P40" i="35"/>
  <c r="R15" i="32"/>
  <c r="N60" i="32"/>
  <c r="J39" i="35"/>
  <c r="W96" i="30"/>
  <c r="J38" i="35" s="1"/>
  <c r="K44" i="35"/>
  <c r="N133" i="34"/>
  <c r="AA133" i="30"/>
  <c r="N51" i="35" s="1"/>
  <c r="P124" i="34"/>
  <c r="AC124" i="30"/>
  <c r="V19" i="32"/>
  <c r="W19" i="32" s="1"/>
  <c r="X19" i="32" s="1"/>
  <c r="D19" i="32" s="1"/>
  <c r="L74" i="32"/>
  <c r="L70" i="32" s="1"/>
  <c r="S16" i="32"/>
  <c r="T16" i="32" s="1"/>
  <c r="Q40" i="35"/>
  <c r="V51" i="32"/>
  <c r="W51" i="32" s="1"/>
  <c r="X51" i="32" s="1"/>
  <c r="D51" i="32" s="1"/>
  <c r="R48" i="32"/>
  <c r="U83" i="32"/>
  <c r="O48" i="35"/>
  <c r="X66" i="32"/>
  <c r="D66" i="32" s="1"/>
  <c r="P105" i="30"/>
  <c r="T46" i="32"/>
  <c r="U46" i="32" s="1"/>
  <c r="V46" i="32" s="1"/>
  <c r="W46" i="32" s="1"/>
  <c r="X46" i="32" s="1"/>
  <c r="D46" i="32" s="1"/>
  <c r="O120" i="34"/>
  <c r="AB120" i="30"/>
  <c r="O46" i="35" s="1"/>
  <c r="X99" i="30"/>
  <c r="Q117" i="34"/>
  <c r="AD117" i="30"/>
  <c r="Q45" i="35" s="1"/>
  <c r="S117" i="30"/>
  <c r="V83" i="32"/>
  <c r="W83" i="32" s="1"/>
  <c r="N120" i="34"/>
  <c r="AA120" i="30"/>
  <c r="P120" i="30"/>
  <c r="P77" i="32"/>
  <c r="H20" i="27"/>
  <c r="H10" i="27"/>
  <c r="V65" i="32"/>
  <c r="W65" i="32" s="1"/>
  <c r="X65" i="32" s="1"/>
  <c r="D65" i="32" s="1"/>
  <c r="L26" i="32"/>
  <c r="L22" i="32" s="1"/>
  <c r="N139" i="34"/>
  <c r="AA139" i="30"/>
  <c r="X82" i="32"/>
  <c r="D82" i="32" s="1"/>
  <c r="O45" i="32"/>
  <c r="P45" i="32" s="1"/>
  <c r="T79" i="32"/>
  <c r="O13" i="32"/>
  <c r="P13" i="32" s="1"/>
  <c r="Q13" i="32" s="1"/>
  <c r="M58" i="32"/>
  <c r="M54" i="32" s="1"/>
  <c r="E10" i="27"/>
  <c r="R124" i="30"/>
  <c r="O61" i="32"/>
  <c r="Q61" i="32" s="1"/>
  <c r="R61" i="32" s="1"/>
  <c r="S61" i="32" s="1"/>
  <c r="M42" i="35"/>
  <c r="Q48" i="32"/>
  <c r="N50" i="35"/>
  <c r="U51" i="32"/>
  <c r="T81" i="32"/>
  <c r="U81" i="32" s="1"/>
  <c r="V81" i="32" s="1"/>
  <c r="W81" i="32" s="1"/>
  <c r="X81" i="32" s="1"/>
  <c r="D81" i="32" s="1"/>
  <c r="C19" i="27"/>
  <c r="R102" i="34"/>
  <c r="AE102" i="30"/>
  <c r="S102" i="30"/>
  <c r="N40" i="35"/>
  <c r="O29" i="32"/>
  <c r="P62" i="32"/>
  <c r="P27" i="32"/>
  <c r="P12" i="32"/>
  <c r="P61" i="32"/>
  <c r="P29" i="32"/>
  <c r="O12" i="32"/>
  <c r="V64" i="32"/>
  <c r="W64" i="32" s="1"/>
  <c r="T64" i="32"/>
  <c r="U64" i="32" s="1"/>
  <c r="N11" i="32"/>
  <c r="N75" i="32"/>
  <c r="O75" i="32" s="1"/>
  <c r="L75" i="32"/>
  <c r="M75" i="32"/>
  <c r="W35" i="32"/>
  <c r="X35" i="32" s="1"/>
  <c r="D35" i="32" s="1"/>
  <c r="P133" i="30"/>
  <c r="M127" i="34"/>
  <c r="Z127" i="30"/>
  <c r="M121" i="30"/>
  <c r="M121" i="34" s="1"/>
  <c r="T32" i="32"/>
  <c r="X33" i="32"/>
  <c r="D33" i="32" s="1"/>
  <c r="N43" i="32"/>
  <c r="P59" i="32"/>
  <c r="Q59" i="32" s="1"/>
  <c r="R59" i="32" s="1"/>
  <c r="S59" i="32" s="1"/>
  <c r="T59" i="32" s="1"/>
  <c r="U59" i="32" s="1"/>
  <c r="V59" i="32" s="1"/>
  <c r="W59" i="32" s="1"/>
  <c r="X59" i="32" s="1"/>
  <c r="D59" i="32" s="1"/>
  <c r="H4" i="32"/>
  <c r="L6" i="32"/>
  <c r="M10" i="32"/>
  <c r="N10" i="32" s="1"/>
  <c r="Q133" i="30"/>
  <c r="N127" i="30"/>
  <c r="R47" i="32"/>
  <c r="F20" i="27"/>
  <c r="F10" i="27"/>
  <c r="O139" i="30"/>
  <c r="U50" i="32"/>
  <c r="P42" i="32"/>
  <c r="S46" i="32"/>
  <c r="W52" i="32"/>
  <c r="X52" i="32" s="1"/>
  <c r="P28" i="32"/>
  <c r="T80" i="32"/>
  <c r="U80" i="32" s="1"/>
  <c r="V80" i="32" s="1"/>
  <c r="W80" i="32" s="1"/>
  <c r="X80" i="32" s="1"/>
  <c r="D80" i="32" s="1"/>
  <c r="M133" i="34"/>
  <c r="Z133" i="30"/>
  <c r="O108" i="30"/>
  <c r="O127" i="30"/>
  <c r="S80" i="32"/>
  <c r="O40" i="35"/>
  <c r="O130" i="34"/>
  <c r="AB130" i="30"/>
  <c r="O50" i="35" s="1"/>
  <c r="P130" i="30"/>
  <c r="Q130" i="30"/>
  <c r="R130" i="30"/>
  <c r="S130" i="30"/>
  <c r="W34" i="32"/>
  <c r="X34" i="32" s="1"/>
  <c r="D34" i="32" s="1"/>
  <c r="M111" i="30"/>
  <c r="S124" i="30"/>
  <c r="Q14" i="32"/>
  <c r="D35" i="27"/>
  <c r="D36" i="27" s="1"/>
  <c r="D8" i="27" s="1"/>
  <c r="D9" i="27" s="1"/>
  <c r="U16" i="32" l="1"/>
  <c r="V16" i="32" s="1"/>
  <c r="W16" i="32" s="1"/>
  <c r="X16" i="32" s="1"/>
  <c r="D16" i="32" s="1"/>
  <c r="U30" i="32"/>
  <c r="V30" i="32" s="1"/>
  <c r="W30" i="32" s="1"/>
  <c r="X30" i="32" s="1"/>
  <c r="D30" i="32" s="1"/>
  <c r="P75" i="32"/>
  <c r="R75" i="32" s="1"/>
  <c r="N6" i="32"/>
  <c r="P133" i="34"/>
  <c r="AC133" i="30"/>
  <c r="P51" i="35" s="1"/>
  <c r="U79" i="32"/>
  <c r="V79" i="32" s="1"/>
  <c r="W79" i="32" s="1"/>
  <c r="N114" i="34"/>
  <c r="AA114" i="30"/>
  <c r="N44" i="35" s="1"/>
  <c r="M26" i="32"/>
  <c r="O114" i="30"/>
  <c r="R124" i="34"/>
  <c r="AE124" i="30"/>
  <c r="P48" i="35"/>
  <c r="R40" i="35"/>
  <c r="D20" i="27"/>
  <c r="D10" i="27"/>
  <c r="R130" i="34"/>
  <c r="AE130" i="30"/>
  <c r="R50" i="35" s="1"/>
  <c r="O108" i="34"/>
  <c r="AB108" i="30"/>
  <c r="P108" i="30"/>
  <c r="M6" i="32"/>
  <c r="X64" i="32"/>
  <c r="Q27" i="32"/>
  <c r="Q76" i="32"/>
  <c r="R76" i="32" s="1"/>
  <c r="S76" i="32" s="1"/>
  <c r="T76" i="32" s="1"/>
  <c r="S48" i="32"/>
  <c r="X48" i="32" s="1"/>
  <c r="P120" i="34"/>
  <c r="AC120" i="30"/>
  <c r="P46" i="35" s="1"/>
  <c r="K22" i="32"/>
  <c r="K4" i="32" s="1"/>
  <c r="J34" i="27" s="1"/>
  <c r="J35" i="27" s="1"/>
  <c r="J36" i="27" s="1"/>
  <c r="J8" i="27" s="1"/>
  <c r="J9" i="27" s="1"/>
  <c r="Q130" i="34"/>
  <c r="AD130" i="30"/>
  <c r="Q50" i="35" s="1"/>
  <c r="O139" i="34"/>
  <c r="AB139" i="30"/>
  <c r="O53" i="35" s="1"/>
  <c r="D64" i="32"/>
  <c r="P139" i="30"/>
  <c r="Q139" i="30" s="1"/>
  <c r="N46" i="35"/>
  <c r="S44" i="32"/>
  <c r="T44" i="32" s="1"/>
  <c r="U44" i="32" s="1"/>
  <c r="V44" i="32" s="1"/>
  <c r="W44" i="32" s="1"/>
  <c r="X44" i="32" s="1"/>
  <c r="D44" i="32" s="1"/>
  <c r="P130" i="34"/>
  <c r="AC130" i="30"/>
  <c r="O10" i="32"/>
  <c r="Q10" i="32" s="1"/>
  <c r="F21" i="27"/>
  <c r="F22" i="27"/>
  <c r="E22" i="27"/>
  <c r="E21" i="27"/>
  <c r="M51" i="35"/>
  <c r="P10" i="32"/>
  <c r="O60" i="32"/>
  <c r="N53" i="35"/>
  <c r="U76" i="32"/>
  <c r="V76" i="32" s="1"/>
  <c r="W76" i="32" s="1"/>
  <c r="X76" i="32" s="1"/>
  <c r="D76" i="32" s="1"/>
  <c r="Q77" i="32"/>
  <c r="L99" i="34"/>
  <c r="L96" i="30"/>
  <c r="L96" i="34" s="1"/>
  <c r="J4" i="32"/>
  <c r="I34" i="27" s="1"/>
  <c r="I35" i="27" s="1"/>
  <c r="I36" i="27" s="1"/>
  <c r="I8" i="27" s="1"/>
  <c r="I9" i="27" s="1"/>
  <c r="T30" i="32"/>
  <c r="Q45" i="32"/>
  <c r="P43" i="32"/>
  <c r="P38" i="32" s="1"/>
  <c r="Q43" i="32"/>
  <c r="R43" i="32" s="1"/>
  <c r="S124" i="34"/>
  <c r="AF124" i="30"/>
  <c r="S48" i="35" s="1"/>
  <c r="O11" i="32"/>
  <c r="P105" i="34"/>
  <c r="AC105" i="30"/>
  <c r="L43" i="35"/>
  <c r="Y99" i="30"/>
  <c r="T48" i="32"/>
  <c r="U48" i="32" s="1"/>
  <c r="V48" i="32" s="1"/>
  <c r="W48" i="32" s="1"/>
  <c r="M49" i="35"/>
  <c r="Z121" i="30"/>
  <c r="M47" i="35" s="1"/>
  <c r="Q108" i="30"/>
  <c r="Q29" i="32"/>
  <c r="M111" i="34"/>
  <c r="Z111" i="30"/>
  <c r="N111" i="30"/>
  <c r="M99" i="30"/>
  <c r="L4" i="32"/>
  <c r="K34" i="27" s="1"/>
  <c r="K35" i="27" s="1"/>
  <c r="K36" i="27" s="1"/>
  <c r="K8" i="27" s="1"/>
  <c r="K9" i="27" s="1"/>
  <c r="R62" i="32"/>
  <c r="Q62" i="32"/>
  <c r="H21" i="27"/>
  <c r="H22" i="27"/>
  <c r="D49" i="32"/>
  <c r="U32" i="32"/>
  <c r="V32" i="32" s="1"/>
  <c r="W32" i="32" s="1"/>
  <c r="X32" i="32" s="1"/>
  <c r="D32" i="32" s="1"/>
  <c r="Q48" i="35"/>
  <c r="Q133" i="34"/>
  <c r="AD133" i="30"/>
  <c r="Q51" i="35" s="1"/>
  <c r="M74" i="32"/>
  <c r="M70" i="32" s="1"/>
  <c r="Q28" i="32"/>
  <c r="N127" i="34"/>
  <c r="AA127" i="30"/>
  <c r="N121" i="30"/>
  <c r="N121" i="34" s="1"/>
  <c r="N38" i="32"/>
  <c r="R13" i="32"/>
  <c r="T13" i="32" s="1"/>
  <c r="S13" i="32"/>
  <c r="Q105" i="30"/>
  <c r="R105" i="30"/>
  <c r="S47" i="32"/>
  <c r="T117" i="30"/>
  <c r="G45" i="35" s="1"/>
  <c r="G34" i="27"/>
  <c r="G35" i="27" s="1"/>
  <c r="G36" i="27" s="1"/>
  <c r="G8" i="27" s="1"/>
  <c r="G9" i="27" s="1"/>
  <c r="O58" i="32"/>
  <c r="O54" i="32" s="1"/>
  <c r="T61" i="32"/>
  <c r="U61" i="32" s="1"/>
  <c r="Q12" i="32"/>
  <c r="R133" i="30"/>
  <c r="V50" i="32"/>
  <c r="W50" i="32" s="1"/>
  <c r="X50" i="32"/>
  <c r="D50" i="32" s="1"/>
  <c r="S130" i="34"/>
  <c r="AF130" i="30"/>
  <c r="S15" i="32"/>
  <c r="T15" i="32" s="1"/>
  <c r="U15" i="32" s="1"/>
  <c r="V15" i="32" s="1"/>
  <c r="W15" i="32" s="1"/>
  <c r="X15" i="32" s="1"/>
  <c r="D15" i="32" s="1"/>
  <c r="D52" i="32"/>
  <c r="Q75" i="32"/>
  <c r="X83" i="32"/>
  <c r="O127" i="34"/>
  <c r="AB127" i="30"/>
  <c r="O121" i="30"/>
  <c r="O121" i="34" s="1"/>
  <c r="P127" i="30"/>
  <c r="Q120" i="30"/>
  <c r="R14" i="32"/>
  <c r="S14" i="32" s="1"/>
  <c r="T14" i="32" s="1"/>
  <c r="U14" i="32" s="1"/>
  <c r="V14" i="32" s="1"/>
  <c r="W14" i="32" s="1"/>
  <c r="X14" i="32" s="1"/>
  <c r="D14" i="32" s="1"/>
  <c r="P60" i="32"/>
  <c r="Q60" i="32" s="1"/>
  <c r="R60" i="32" s="1"/>
  <c r="S60" i="32" s="1"/>
  <c r="T60" i="32" s="1"/>
  <c r="U60" i="32" s="1"/>
  <c r="V60" i="32" s="1"/>
  <c r="W60" i="32" s="1"/>
  <c r="X60" i="32" s="1"/>
  <c r="D60" i="32" s="1"/>
  <c r="D83" i="32"/>
  <c r="K39" i="35"/>
  <c r="X96" i="30"/>
  <c r="K38" i="35" s="1"/>
  <c r="N58" i="32"/>
  <c r="Q42" i="32"/>
  <c r="R27" i="32"/>
  <c r="S102" i="34"/>
  <c r="AF102" i="30"/>
  <c r="S117" i="34"/>
  <c r="AF117" i="30"/>
  <c r="S45" i="35" s="1"/>
  <c r="O43" i="32"/>
  <c r="O38" i="32" s="1"/>
  <c r="R10" i="32" l="1"/>
  <c r="Q139" i="34"/>
  <c r="AD139" i="30"/>
  <c r="Q53" i="35" s="1"/>
  <c r="R139" i="30"/>
  <c r="U13" i="32"/>
  <c r="D79" i="32"/>
  <c r="S75" i="32"/>
  <c r="O42" i="35"/>
  <c r="L39" i="35"/>
  <c r="Y96" i="30"/>
  <c r="L38" i="35" s="1"/>
  <c r="X61" i="32"/>
  <c r="D61" i="32" s="1"/>
  <c r="V13" i="32"/>
  <c r="W13" i="32" s="1"/>
  <c r="X13" i="32" s="1"/>
  <c r="D13" i="32" s="1"/>
  <c r="M99" i="34"/>
  <c r="M96" i="30"/>
  <c r="M96" i="34" s="1"/>
  <c r="S43" i="32"/>
  <c r="T43" i="32" s="1"/>
  <c r="U43" i="32" s="1"/>
  <c r="V43" i="32" s="1"/>
  <c r="W43" i="32" s="1"/>
  <c r="X43" i="32" s="1"/>
  <c r="D43" i="32" s="1"/>
  <c r="D48" i="32"/>
  <c r="X79" i="32"/>
  <c r="S40" i="35"/>
  <c r="T102" i="30"/>
  <c r="V61" i="32"/>
  <c r="W61" i="32" s="1"/>
  <c r="N111" i="34"/>
  <c r="AA111" i="30"/>
  <c r="N99" i="30"/>
  <c r="P139" i="34"/>
  <c r="AC139" i="30"/>
  <c r="D22" i="27"/>
  <c r="J11" i="27"/>
  <c r="F11" i="27"/>
  <c r="E11" i="27"/>
  <c r="D21" i="27"/>
  <c r="D11" i="27"/>
  <c r="T75" i="32"/>
  <c r="R48" i="35"/>
  <c r="P41" i="35"/>
  <c r="Q120" i="34"/>
  <c r="AD120" i="30"/>
  <c r="Q46" i="35" s="1"/>
  <c r="R120" i="30"/>
  <c r="S50" i="35"/>
  <c r="G20" i="27"/>
  <c r="G10" i="27"/>
  <c r="R12" i="32"/>
  <c r="S12" i="32" s="1"/>
  <c r="T12" i="32" s="1"/>
  <c r="U12" i="32" s="1"/>
  <c r="V12" i="32" s="1"/>
  <c r="W12" i="32" s="1"/>
  <c r="X12" i="32" s="1"/>
  <c r="D12" i="32" s="1"/>
  <c r="S27" i="32"/>
  <c r="T27" i="32" s="1"/>
  <c r="U27" i="32" s="1"/>
  <c r="V27" i="32" s="1"/>
  <c r="W27" i="32" s="1"/>
  <c r="X27" i="32" s="1"/>
  <c r="D27" i="32" s="1"/>
  <c r="M43" i="35"/>
  <c r="Z99" i="30"/>
  <c r="Q38" i="32"/>
  <c r="S42" i="32"/>
  <c r="R42" i="32"/>
  <c r="O114" i="34"/>
  <c r="AB114" i="30"/>
  <c r="P114" i="30"/>
  <c r="P127" i="34"/>
  <c r="AC127" i="30"/>
  <c r="P121" i="30"/>
  <c r="P121" i="34" s="1"/>
  <c r="P11" i="32"/>
  <c r="O111" i="30"/>
  <c r="Q127" i="30"/>
  <c r="R29" i="32"/>
  <c r="R45" i="32"/>
  <c r="Q114" i="30"/>
  <c r="R114" i="30" s="1"/>
  <c r="N54" i="32"/>
  <c r="P58" i="32"/>
  <c r="O49" i="35"/>
  <c r="AB121" i="30"/>
  <c r="O47" i="35" s="1"/>
  <c r="R133" i="34"/>
  <c r="AE133" i="30"/>
  <c r="R51" i="35" s="1"/>
  <c r="S133" i="30"/>
  <c r="S62" i="32"/>
  <c r="Q108" i="34"/>
  <c r="AD108" i="30"/>
  <c r="Q42" i="35" s="1"/>
  <c r="R108" i="30"/>
  <c r="T47" i="32"/>
  <c r="U47" i="32" s="1"/>
  <c r="V47" i="32" s="1"/>
  <c r="W47" i="32" s="1"/>
  <c r="X47" i="32" s="1"/>
  <c r="D47" i="32" s="1"/>
  <c r="M22" i="32"/>
  <c r="M4" i="32" s="1"/>
  <c r="N26" i="32"/>
  <c r="R105" i="34"/>
  <c r="AE105" i="30"/>
  <c r="N49" i="35"/>
  <c r="AA121" i="30"/>
  <c r="N47" i="35" s="1"/>
  <c r="R77" i="32"/>
  <c r="O6" i="32"/>
  <c r="T124" i="30"/>
  <c r="U75" i="32"/>
  <c r="V75" i="32" s="1"/>
  <c r="W75" i="32" s="1"/>
  <c r="X75" i="32" s="1"/>
  <c r="I20" i="27"/>
  <c r="I10" i="27"/>
  <c r="P50" i="35"/>
  <c r="T130" i="30"/>
  <c r="G50" i="35" s="1"/>
  <c r="N74" i="32"/>
  <c r="Q105" i="34"/>
  <c r="AD105" i="30"/>
  <c r="S105" i="30"/>
  <c r="R28" i="32"/>
  <c r="J20" i="27"/>
  <c r="J10" i="27"/>
  <c r="K20" i="27"/>
  <c r="K10" i="27"/>
  <c r="P108" i="34"/>
  <c r="AC108" i="30"/>
  <c r="P42" i="35" s="1"/>
  <c r="R114" i="34" l="1"/>
  <c r="AE114" i="30"/>
  <c r="R44" i="35" s="1"/>
  <c r="S114" i="30"/>
  <c r="L34" i="27"/>
  <c r="L35" i="27" s="1"/>
  <c r="L36" i="27" s="1"/>
  <c r="L8" i="27" s="1"/>
  <c r="L9" i="27" s="1"/>
  <c r="S108" i="30"/>
  <c r="S133" i="34"/>
  <c r="AF133" i="30"/>
  <c r="S38" i="32"/>
  <c r="I11" i="27"/>
  <c r="K11" i="27"/>
  <c r="N22" i="32"/>
  <c r="O26" i="32"/>
  <c r="O22" i="32" s="1"/>
  <c r="Q11" i="32"/>
  <c r="R41" i="35"/>
  <c r="J17" i="27"/>
  <c r="J23" i="27"/>
  <c r="K21" i="27"/>
  <c r="K22" i="27"/>
  <c r="M39" i="35"/>
  <c r="Z96" i="30"/>
  <c r="M38" i="35" s="1"/>
  <c r="D75" i="32"/>
  <c r="P54" i="32"/>
  <c r="Q58" i="32"/>
  <c r="J21" i="27"/>
  <c r="J22" i="27"/>
  <c r="P49" i="35"/>
  <c r="AC121" i="30"/>
  <c r="P47" i="35" s="1"/>
  <c r="J24" i="27"/>
  <c r="J16" i="27" s="1"/>
  <c r="I24" i="27"/>
  <c r="I16" i="27" s="1"/>
  <c r="F24" i="27"/>
  <c r="F16" i="27" s="1"/>
  <c r="E24" i="27"/>
  <c r="E16" i="27" s="1"/>
  <c r="D24" i="27"/>
  <c r="D16" i="27" s="1"/>
  <c r="P53" i="35"/>
  <c r="R139" i="34"/>
  <c r="AE139" i="30"/>
  <c r="R53" i="35" s="1"/>
  <c r="S139" i="30"/>
  <c r="P114" i="34"/>
  <c r="AC114" i="30"/>
  <c r="P44" i="35" s="1"/>
  <c r="G21" i="27"/>
  <c r="G22" i="27"/>
  <c r="D23" i="27"/>
  <c r="D17" i="27"/>
  <c r="I21" i="27"/>
  <c r="I22" i="27"/>
  <c r="S28" i="32"/>
  <c r="T28" i="32" s="1"/>
  <c r="U28" i="32" s="1"/>
  <c r="V28" i="32" s="1"/>
  <c r="W28" i="32" s="1"/>
  <c r="X28" i="32"/>
  <c r="D28" i="32" s="1"/>
  <c r="G48" i="35"/>
  <c r="V45" i="32"/>
  <c r="W45" i="32" s="1"/>
  <c r="X45" i="32" s="1"/>
  <c r="D45" i="32" s="1"/>
  <c r="S45" i="32"/>
  <c r="T45" i="32" s="1"/>
  <c r="U45" i="32" s="1"/>
  <c r="O44" i="35"/>
  <c r="S105" i="34"/>
  <c r="AF105" i="30"/>
  <c r="S29" i="32"/>
  <c r="T29" i="32" s="1"/>
  <c r="U29" i="32" s="1"/>
  <c r="V29" i="32"/>
  <c r="W29" i="32" s="1"/>
  <c r="X29" i="32" s="1"/>
  <c r="D29" i="32" s="1"/>
  <c r="E23" i="27"/>
  <c r="E17" i="27"/>
  <c r="N99" i="34"/>
  <c r="N96" i="30"/>
  <c r="N96" i="34" s="1"/>
  <c r="S10" i="32"/>
  <c r="R108" i="34"/>
  <c r="AE108" i="30"/>
  <c r="R42" i="35" s="1"/>
  <c r="P6" i="32"/>
  <c r="N43" i="35"/>
  <c r="AA99" i="30"/>
  <c r="Q41" i="35"/>
  <c r="S77" i="32"/>
  <c r="T62" i="32"/>
  <c r="U62" i="32" s="1"/>
  <c r="V62" i="32" s="1"/>
  <c r="W62" i="32" s="1"/>
  <c r="X62" i="32" s="1"/>
  <c r="D62" i="32" s="1"/>
  <c r="Q127" i="34"/>
  <c r="AD127" i="30"/>
  <c r="Q121" i="30"/>
  <c r="Q121" i="34" s="1"/>
  <c r="R127" i="30"/>
  <c r="R120" i="34"/>
  <c r="AE120" i="30"/>
  <c r="S120" i="30"/>
  <c r="F23" i="27"/>
  <c r="F17" i="27"/>
  <c r="R38" i="32"/>
  <c r="G11" i="27"/>
  <c r="Q114" i="34"/>
  <c r="AD114" i="30"/>
  <c r="Q44" i="35" s="1"/>
  <c r="N70" i="32"/>
  <c r="O74" i="32"/>
  <c r="O111" i="34"/>
  <c r="AB111" i="30"/>
  <c r="O99" i="30"/>
  <c r="P111" i="30"/>
  <c r="T42" i="32"/>
  <c r="H11" i="27"/>
  <c r="G40" i="35"/>
  <c r="O99" i="34" l="1"/>
  <c r="O96" i="30"/>
  <c r="O96" i="34" s="1"/>
  <c r="I17" i="27"/>
  <c r="I23" i="27"/>
  <c r="T10" i="32"/>
  <c r="K24" i="27"/>
  <c r="K16" i="27" s="1"/>
  <c r="S51" i="35"/>
  <c r="AF121" i="30"/>
  <c r="S47" i="35" s="1"/>
  <c r="O43" i="35"/>
  <c r="AB99" i="30"/>
  <c r="S108" i="34"/>
  <c r="AF108" i="30"/>
  <c r="S139" i="34"/>
  <c r="AF139" i="30"/>
  <c r="T77" i="32"/>
  <c r="U77" i="32" s="1"/>
  <c r="V77" i="32"/>
  <c r="W77" i="32" s="1"/>
  <c r="X77" i="32" s="1"/>
  <c r="D77" i="32" s="1"/>
  <c r="G23" i="27"/>
  <c r="G17" i="27"/>
  <c r="R11" i="32"/>
  <c r="Q6" i="32"/>
  <c r="Q54" i="32"/>
  <c r="R58" i="32"/>
  <c r="Q49" i="35"/>
  <c r="AD121" i="30"/>
  <c r="Q47" i="35" s="1"/>
  <c r="P26" i="32"/>
  <c r="L20" i="27"/>
  <c r="L10" i="27"/>
  <c r="R127" i="34"/>
  <c r="AE127" i="30"/>
  <c r="R121" i="30"/>
  <c r="R121" i="34" s="1"/>
  <c r="S127" i="30"/>
  <c r="O70" i="32"/>
  <c r="O4" i="32" s="1"/>
  <c r="N34" i="27" s="1"/>
  <c r="N35" i="27" s="1"/>
  <c r="N36" i="27" s="1"/>
  <c r="N8" i="27" s="1"/>
  <c r="N9" i="27" s="1"/>
  <c r="P74" i="32"/>
  <c r="H23" i="27"/>
  <c r="H17" i="27"/>
  <c r="N39" i="35"/>
  <c r="AA96" i="30"/>
  <c r="N38" i="35" s="1"/>
  <c r="S114" i="34"/>
  <c r="AF114" i="30"/>
  <c r="T38" i="32"/>
  <c r="U42" i="32"/>
  <c r="G24" i="27"/>
  <c r="G16" i="27" s="1"/>
  <c r="N4" i="32"/>
  <c r="M34" i="27" s="1"/>
  <c r="M35" i="27" s="1"/>
  <c r="M36" i="27" s="1"/>
  <c r="M8" i="27" s="1"/>
  <c r="M9" i="27" s="1"/>
  <c r="AC111" i="30"/>
  <c r="P111" i="34"/>
  <c r="P99" i="30"/>
  <c r="S120" i="34"/>
  <c r="AF120" i="30"/>
  <c r="S46" i="35" s="1"/>
  <c r="S41" i="35"/>
  <c r="H24" i="27"/>
  <c r="H16" i="27" s="1"/>
  <c r="Q111" i="30"/>
  <c r="R46" i="35"/>
  <c r="T133" i="30"/>
  <c r="G51" i="35" s="1"/>
  <c r="K17" i="27"/>
  <c r="K23" i="27"/>
  <c r="T105" i="30"/>
  <c r="N20" i="27" l="1"/>
  <c r="N10" i="27"/>
  <c r="P99" i="34"/>
  <c r="P96" i="30"/>
  <c r="P96" i="34" s="1"/>
  <c r="S127" i="34"/>
  <c r="AF127" i="30"/>
  <c r="S49" i="35" s="1"/>
  <c r="S121" i="30"/>
  <c r="S121" i="34" s="1"/>
  <c r="R54" i="32"/>
  <c r="S58" i="32"/>
  <c r="P43" i="35"/>
  <c r="AC99" i="30"/>
  <c r="R49" i="35"/>
  <c r="AE121" i="30"/>
  <c r="R47" i="35" s="1"/>
  <c r="T127" i="30"/>
  <c r="O39" i="35"/>
  <c r="AB96" i="30"/>
  <c r="O38" i="35" s="1"/>
  <c r="M20" i="27"/>
  <c r="M10" i="27"/>
  <c r="L21" i="27"/>
  <c r="L22" i="27"/>
  <c r="N11" i="27"/>
  <c r="M11" i="27"/>
  <c r="L11" i="27"/>
  <c r="S11" i="32"/>
  <c r="R6" i="32"/>
  <c r="U10" i="32"/>
  <c r="G41" i="35"/>
  <c r="U38" i="32"/>
  <c r="V42" i="32"/>
  <c r="P22" i="32"/>
  <c r="P4" i="32" s="1"/>
  <c r="O34" i="27" s="1"/>
  <c r="O35" i="27" s="1"/>
  <c r="O36" i="27" s="1"/>
  <c r="O8" i="27" s="1"/>
  <c r="O9" i="27" s="1"/>
  <c r="Q26" i="32"/>
  <c r="Q111" i="34"/>
  <c r="AD111" i="30"/>
  <c r="R111" i="30"/>
  <c r="Q99" i="30"/>
  <c r="S53" i="35"/>
  <c r="T139" i="30"/>
  <c r="G53" i="35" s="1"/>
  <c r="P70" i="32"/>
  <c r="Q74" i="32"/>
  <c r="T120" i="30"/>
  <c r="G46" i="35" s="1"/>
  <c r="S42" i="35"/>
  <c r="T108" i="30"/>
  <c r="G42" i="35" s="1"/>
  <c r="S44" i="35"/>
  <c r="T114" i="30"/>
  <c r="G44" i="35" s="1"/>
  <c r="T11" i="32" l="1"/>
  <c r="S6" i="32"/>
  <c r="S54" i="32"/>
  <c r="T58" i="32"/>
  <c r="Q22" i="32"/>
  <c r="R26" i="32"/>
  <c r="N23" i="27"/>
  <c r="N17" i="27"/>
  <c r="C11" i="27"/>
  <c r="C23" i="27" s="1"/>
  <c r="O20" i="27"/>
  <c r="C20" i="27" s="1"/>
  <c r="O10" i="27"/>
  <c r="M24" i="27"/>
  <c r="M16" i="27" s="1"/>
  <c r="L24" i="27"/>
  <c r="L16" i="27" s="1"/>
  <c r="G49" i="35"/>
  <c r="T121" i="30"/>
  <c r="G47" i="35" s="1"/>
  <c r="P39" i="35"/>
  <c r="AC96" i="30"/>
  <c r="P38" i="35" s="1"/>
  <c r="V38" i="32"/>
  <c r="W42" i="32"/>
  <c r="M23" i="27"/>
  <c r="M17" i="27"/>
  <c r="L23" i="27"/>
  <c r="L17" i="27"/>
  <c r="M21" i="27"/>
  <c r="M22" i="27"/>
  <c r="N24" i="27" s="1"/>
  <c r="R111" i="34"/>
  <c r="AE111" i="30"/>
  <c r="S111" i="30"/>
  <c r="R99" i="30"/>
  <c r="N21" i="27"/>
  <c r="N22" i="27"/>
  <c r="Q99" i="34"/>
  <c r="Q96" i="30"/>
  <c r="Q96" i="34" s="1"/>
  <c r="Q70" i="32"/>
  <c r="R74" i="32"/>
  <c r="Q43" i="35"/>
  <c r="AD99" i="30"/>
  <c r="V10" i="32"/>
  <c r="N16" i="27" l="1"/>
  <c r="C24" i="27"/>
  <c r="C13" i="26" s="1"/>
  <c r="R43" i="35"/>
  <c r="AE99" i="30"/>
  <c r="O21" i="27"/>
  <c r="O22" i="27"/>
  <c r="C10" i="27"/>
  <c r="C21" i="27" s="1"/>
  <c r="O11" i="27"/>
  <c r="C14" i="26"/>
  <c r="R22" i="32"/>
  <c r="S26" i="32"/>
  <c r="Q4" i="32"/>
  <c r="T54" i="32"/>
  <c r="U58" i="32"/>
  <c r="W10" i="32"/>
  <c r="Q39" i="35"/>
  <c r="AD96" i="30"/>
  <c r="Q38" i="35" s="1"/>
  <c r="W38" i="32"/>
  <c r="X42" i="32"/>
  <c r="U11" i="32"/>
  <c r="T6" i="32"/>
  <c r="S111" i="34"/>
  <c r="AF111" i="30"/>
  <c r="S99" i="30"/>
  <c r="R70" i="32"/>
  <c r="S74" i="32"/>
  <c r="R99" i="34"/>
  <c r="R96" i="30"/>
  <c r="R96" i="34" s="1"/>
  <c r="S43" i="35" l="1"/>
  <c r="T111" i="30"/>
  <c r="AF99" i="30"/>
  <c r="V11" i="32"/>
  <c r="U6" i="32"/>
  <c r="R4" i="32"/>
  <c r="O23" i="27"/>
  <c r="O17" i="27"/>
  <c r="S22" i="32"/>
  <c r="S4" i="32" s="1"/>
  <c r="T26" i="32"/>
  <c r="C22" i="27"/>
  <c r="C12" i="26" s="1"/>
  <c r="O24" i="27"/>
  <c r="O16" i="27" s="1"/>
  <c r="X10" i="32"/>
  <c r="S99" i="34"/>
  <c r="S96" i="30"/>
  <c r="S96" i="34" s="1"/>
  <c r="X38" i="32"/>
  <c r="D38" i="32" s="1"/>
  <c r="D42" i="32"/>
  <c r="R39" i="35"/>
  <c r="AE96" i="30"/>
  <c r="R38" i="35" s="1"/>
  <c r="S70" i="32"/>
  <c r="T74" i="32"/>
  <c r="U54" i="32"/>
  <c r="V58" i="32"/>
  <c r="D10" i="32" l="1"/>
  <c r="T22" i="32"/>
  <c r="U26" i="32"/>
  <c r="T70" i="32"/>
  <c r="U74" i="32"/>
  <c r="S39" i="35"/>
  <c r="AF96" i="30"/>
  <c r="S38" i="35" s="1"/>
  <c r="J15" i="26"/>
  <c r="C15" i="26"/>
  <c r="K15" i="26"/>
  <c r="I15" i="26"/>
  <c r="L15" i="26" s="1"/>
  <c r="G43" i="35"/>
  <c r="T99" i="30"/>
  <c r="V54" i="32"/>
  <c r="W58" i="32"/>
  <c r="K16" i="26"/>
  <c r="J16" i="26"/>
  <c r="C16" i="26"/>
  <c r="I16" i="26"/>
  <c r="L16" i="26" s="1"/>
  <c r="W11" i="32"/>
  <c r="V6" i="32"/>
  <c r="X11" i="32" l="1"/>
  <c r="W6" i="32"/>
  <c r="G39" i="35"/>
  <c r="T96" i="30"/>
  <c r="C20" i="26"/>
  <c r="C19" i="26"/>
  <c r="U22" i="32"/>
  <c r="V26" i="32"/>
  <c r="T4" i="32"/>
  <c r="W54" i="32"/>
  <c r="X58" i="32"/>
  <c r="U70" i="32"/>
  <c r="V74" i="32"/>
  <c r="G38" i="35" l="1"/>
  <c r="C18" i="26"/>
  <c r="C17" i="26"/>
  <c r="V70" i="32"/>
  <c r="W74" i="32"/>
  <c r="V22" i="32"/>
  <c r="V4" i="32" s="1"/>
  <c r="W26" i="32"/>
  <c r="X54" i="32"/>
  <c r="D54" i="32" s="1"/>
  <c r="D58" i="32"/>
  <c r="U4" i="32"/>
  <c r="D11" i="32"/>
  <c r="X6" i="32"/>
  <c r="W70" i="32" l="1"/>
  <c r="X74" i="32"/>
  <c r="W22" i="32"/>
  <c r="W4" i="32" s="1"/>
  <c r="X26" i="32"/>
  <c r="D6" i="32"/>
  <c r="X22" i="32" l="1"/>
  <c r="D26" i="32"/>
  <c r="X70" i="32"/>
  <c r="D70" i="32" s="1"/>
  <c r="D74" i="32"/>
  <c r="D22" i="32" l="1"/>
  <c r="X4" i="32"/>
  <c r="D4" i="32" s="1"/>
  <c r="C34" i="27" s="1"/>
  <c r="C35" i="27" s="1"/>
  <c r="C36" i="27" s="1"/>
  <c r="C8" i="27" s="1"/>
  <c r="C9"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undefined</author>
  </authors>
  <commentList>
    <comment ref="D3" authorId="0" shapeId="0" xr:uid="{00000000-0006-0000-0200-000001000000}">
      <text>
        <r>
          <rPr>
            <sz val="12"/>
            <rFont val="宋体"/>
            <family val="3"/>
            <charset val="134"/>
          </rPr>
          <t>手工填写</t>
        </r>
      </text>
    </comment>
    <comment ref="D4" authorId="0" shapeId="0" xr:uid="{00000000-0006-0000-0200-000002000000}">
      <text>
        <r>
          <rPr>
            <sz val="12"/>
            <rFont val="宋体"/>
            <family val="3"/>
            <charset val="134"/>
          </rPr>
          <t>手工填写</t>
        </r>
      </text>
    </comment>
    <comment ref="D5" authorId="0" shapeId="0" xr:uid="{00000000-0006-0000-0200-000003000000}">
      <text>
        <r>
          <rPr>
            <sz val="12"/>
            <rFont val="宋体"/>
            <family val="3"/>
            <charset val="134"/>
          </rPr>
          <t>自动计算</t>
        </r>
      </text>
    </comment>
    <comment ref="D6" authorId="0" shapeId="0" xr:uid="{00000000-0006-0000-0200-000004000000}">
      <text>
        <r>
          <rPr>
            <sz val="12"/>
            <rFont val="宋体"/>
            <family val="3"/>
            <charset val="134"/>
          </rPr>
          <t>手工填写</t>
        </r>
      </text>
    </comment>
    <comment ref="D7" authorId="0" shapeId="0" xr:uid="{00000000-0006-0000-0200-000005000000}">
      <text>
        <r>
          <rPr>
            <sz val="12"/>
            <rFont val="宋体"/>
            <family val="3"/>
            <charset val="134"/>
          </rPr>
          <t>手工填写</t>
        </r>
      </text>
    </comment>
    <comment ref="D8" authorId="0" shapeId="0" xr:uid="{00000000-0006-0000-0200-000006000000}">
      <text>
        <r>
          <rPr>
            <sz val="12"/>
            <rFont val="宋体"/>
            <family val="3"/>
            <charset val="134"/>
          </rPr>
          <t>自动计算</t>
        </r>
      </text>
    </comment>
    <comment ref="D9" authorId="0" shapeId="0" xr:uid="{00000000-0006-0000-0200-000007000000}">
      <text>
        <r>
          <rPr>
            <sz val="12"/>
            <rFont val="宋体"/>
            <family val="3"/>
            <charset val="134"/>
          </rPr>
          <t>手工填写</t>
        </r>
      </text>
    </comment>
    <comment ref="D10" authorId="0" shapeId="0" xr:uid="{00000000-0006-0000-0200-000008000000}">
      <text>
        <r>
          <rPr>
            <sz val="12"/>
            <rFont val="宋体"/>
            <family val="3"/>
            <charset val="134"/>
          </rPr>
          <t>手工填写</t>
        </r>
      </text>
    </comment>
    <comment ref="D11" authorId="0" shapeId="0" xr:uid="{00000000-0006-0000-0200-000009000000}">
      <text>
        <r>
          <rPr>
            <sz val="12"/>
            <rFont val="宋体"/>
            <family val="3"/>
            <charset val="134"/>
          </rPr>
          <t>自动计算</t>
        </r>
      </text>
    </comment>
    <comment ref="D12" authorId="0" shapeId="0" xr:uid="{00000000-0006-0000-0200-00000A000000}">
      <text>
        <r>
          <rPr>
            <sz val="12"/>
            <rFont val="宋体"/>
            <family val="3"/>
            <charset val="134"/>
          </rPr>
          <t>手工填写</t>
        </r>
      </text>
    </comment>
    <comment ref="D13" authorId="0" shapeId="0" xr:uid="{00000000-0006-0000-0200-00000B000000}">
      <text>
        <r>
          <rPr>
            <sz val="12"/>
            <rFont val="宋体"/>
            <family val="3"/>
            <charset val="134"/>
          </rPr>
          <t>手工填写</t>
        </r>
      </text>
    </comment>
    <comment ref="D14" authorId="0" shapeId="0" xr:uid="{00000000-0006-0000-0200-00000C000000}">
      <text>
        <r>
          <rPr>
            <sz val="12"/>
            <rFont val="宋体"/>
            <family val="3"/>
            <charset val="134"/>
          </rPr>
          <t>自动计算</t>
        </r>
      </text>
    </comment>
    <comment ref="D15" authorId="0" shapeId="0" xr:uid="{00000000-0006-0000-0200-00000D000000}">
      <text>
        <r>
          <rPr>
            <sz val="12"/>
            <rFont val="宋体"/>
            <family val="3"/>
            <charset val="134"/>
          </rPr>
          <t>手工填写</t>
        </r>
      </text>
    </comment>
    <comment ref="D16" authorId="0" shapeId="0" xr:uid="{00000000-0006-0000-0200-00000E000000}">
      <text>
        <r>
          <rPr>
            <sz val="12"/>
            <rFont val="宋体"/>
            <family val="3"/>
            <charset val="134"/>
          </rPr>
          <t>手工填写</t>
        </r>
      </text>
    </comment>
    <comment ref="D17" authorId="0" shapeId="0" xr:uid="{00000000-0006-0000-0200-00000F000000}">
      <text>
        <r>
          <rPr>
            <sz val="12"/>
            <rFont val="宋体"/>
            <family val="3"/>
            <charset val="134"/>
          </rPr>
          <t>自动计算</t>
        </r>
      </text>
    </comment>
    <comment ref="D18" authorId="0" shapeId="0" xr:uid="{00000000-0006-0000-0200-000010000000}">
      <text>
        <r>
          <rPr>
            <sz val="12"/>
            <rFont val="宋体"/>
            <family val="3"/>
            <charset val="134"/>
          </rPr>
          <t>手工填写</t>
        </r>
      </text>
    </comment>
    <comment ref="D19" authorId="0" shapeId="0" xr:uid="{00000000-0006-0000-0200-000011000000}">
      <text>
        <r>
          <rPr>
            <sz val="12"/>
            <rFont val="宋体"/>
            <family val="3"/>
            <charset val="134"/>
          </rPr>
          <t>手工填写</t>
        </r>
      </text>
    </comment>
    <comment ref="D20" authorId="0" shapeId="0" xr:uid="{00000000-0006-0000-0200-000012000000}">
      <text>
        <r>
          <rPr>
            <sz val="12"/>
            <rFont val="宋体"/>
            <family val="3"/>
            <charset val="134"/>
          </rPr>
          <t>自动计算</t>
        </r>
      </text>
    </comment>
    <comment ref="D21" authorId="0" shapeId="0" xr:uid="{00000000-0006-0000-0200-000013000000}">
      <text>
        <r>
          <rPr>
            <sz val="12"/>
            <rFont val="宋体"/>
            <family val="3"/>
            <charset val="134"/>
          </rPr>
          <t>手工填写</t>
        </r>
      </text>
    </comment>
    <comment ref="D22" authorId="0" shapeId="0" xr:uid="{00000000-0006-0000-0200-000014000000}">
      <text>
        <r>
          <rPr>
            <sz val="12"/>
            <rFont val="宋体"/>
            <family val="3"/>
            <charset val="134"/>
          </rPr>
          <t>手工填写</t>
        </r>
      </text>
    </comment>
    <comment ref="D23" authorId="0" shapeId="0" xr:uid="{00000000-0006-0000-0200-000015000000}">
      <text>
        <r>
          <rPr>
            <sz val="12"/>
            <rFont val="宋体"/>
            <family val="3"/>
            <charset val="134"/>
          </rPr>
          <t>自动计算</t>
        </r>
      </text>
    </comment>
    <comment ref="D24" authorId="0" shapeId="0" xr:uid="{00000000-0006-0000-0200-000016000000}">
      <text>
        <r>
          <rPr>
            <sz val="12"/>
            <rFont val="宋体"/>
            <family val="3"/>
            <charset val="134"/>
          </rPr>
          <t>手工填写</t>
        </r>
      </text>
    </comment>
    <comment ref="D25" authorId="0" shapeId="0" xr:uid="{00000000-0006-0000-0200-000017000000}">
      <text>
        <r>
          <rPr>
            <sz val="12"/>
            <rFont val="宋体"/>
            <family val="3"/>
            <charset val="134"/>
          </rPr>
          <t>手工填写</t>
        </r>
      </text>
    </comment>
    <comment ref="D26" authorId="0" shapeId="0" xr:uid="{00000000-0006-0000-0200-000018000000}">
      <text>
        <r>
          <rPr>
            <sz val="12"/>
            <rFont val="宋体"/>
            <family val="3"/>
            <charset val="134"/>
          </rPr>
          <t>自动计算</t>
        </r>
      </text>
    </comment>
    <comment ref="D27" authorId="0" shapeId="0" xr:uid="{00000000-0006-0000-0200-000019000000}">
      <text>
        <r>
          <rPr>
            <sz val="12"/>
            <rFont val="宋体"/>
            <family val="3"/>
            <charset val="134"/>
          </rPr>
          <t>手工填写</t>
        </r>
      </text>
    </comment>
    <comment ref="D28" authorId="0" shapeId="0" xr:uid="{00000000-0006-0000-0200-00001A000000}">
      <text>
        <r>
          <rPr>
            <sz val="12"/>
            <rFont val="宋体"/>
            <family val="3"/>
            <charset val="134"/>
          </rPr>
          <t>手工填写</t>
        </r>
      </text>
    </comment>
    <comment ref="D29" authorId="0" shapeId="0" xr:uid="{00000000-0006-0000-0200-00001B000000}">
      <text>
        <r>
          <rPr>
            <sz val="12"/>
            <rFont val="宋体"/>
            <family val="3"/>
            <charset val="134"/>
          </rPr>
          <t>自动计算</t>
        </r>
      </text>
    </comment>
    <comment ref="D30" authorId="0" shapeId="0" xr:uid="{00000000-0006-0000-0200-00001C000000}">
      <text>
        <r>
          <rPr>
            <sz val="12"/>
            <rFont val="宋体"/>
            <family val="3"/>
            <charset val="134"/>
          </rPr>
          <t>手工填写</t>
        </r>
      </text>
    </comment>
    <comment ref="D31" authorId="0" shapeId="0" xr:uid="{00000000-0006-0000-0200-00001D000000}">
      <text>
        <r>
          <rPr>
            <sz val="12"/>
            <rFont val="宋体"/>
            <family val="3"/>
            <charset val="134"/>
          </rPr>
          <t>手工填写</t>
        </r>
      </text>
    </comment>
    <comment ref="D32" authorId="0" shapeId="0" xr:uid="{00000000-0006-0000-0200-00001E000000}">
      <text>
        <r>
          <rPr>
            <sz val="12"/>
            <rFont val="宋体"/>
            <family val="3"/>
            <charset val="134"/>
          </rPr>
          <t>自动计算</t>
        </r>
      </text>
    </comment>
    <comment ref="D33" authorId="0" shapeId="0" xr:uid="{00000000-0006-0000-0200-00001F000000}">
      <text>
        <r>
          <rPr>
            <sz val="12"/>
            <rFont val="宋体"/>
            <family val="3"/>
            <charset val="134"/>
          </rPr>
          <t>手工填写</t>
        </r>
      </text>
    </comment>
    <comment ref="D34" authorId="0" shapeId="0" xr:uid="{00000000-0006-0000-0200-000020000000}">
      <text>
        <r>
          <rPr>
            <sz val="12"/>
            <rFont val="宋体"/>
            <family val="3"/>
            <charset val="134"/>
          </rPr>
          <t>手工填写</t>
        </r>
      </text>
    </comment>
    <comment ref="D35" authorId="0" shapeId="0" xr:uid="{00000000-0006-0000-0200-000021000000}">
      <text>
        <r>
          <rPr>
            <sz val="12"/>
            <rFont val="宋体"/>
            <family val="3"/>
            <charset val="134"/>
          </rPr>
          <t>自动计算</t>
        </r>
      </text>
    </comment>
    <comment ref="D36" authorId="0" shapeId="0" xr:uid="{00000000-0006-0000-0200-000022000000}">
      <text>
        <r>
          <rPr>
            <sz val="12"/>
            <rFont val="宋体"/>
            <family val="3"/>
            <charset val="134"/>
          </rPr>
          <t>手工填写</t>
        </r>
      </text>
    </comment>
    <comment ref="D37" authorId="0" shapeId="0" xr:uid="{00000000-0006-0000-0200-000023000000}">
      <text>
        <r>
          <rPr>
            <sz val="12"/>
            <rFont val="宋体"/>
            <family val="3"/>
            <charset val="134"/>
          </rPr>
          <t>手工填写</t>
        </r>
      </text>
    </comment>
    <comment ref="D38" authorId="0" shapeId="0" xr:uid="{00000000-0006-0000-0200-000024000000}">
      <text>
        <r>
          <rPr>
            <sz val="12"/>
            <rFont val="宋体"/>
            <family val="3"/>
            <charset val="134"/>
          </rPr>
          <t>自动计算</t>
        </r>
      </text>
    </comment>
    <comment ref="D40" authorId="0" shapeId="0" xr:uid="{00000000-0006-0000-0200-000025000000}">
      <text>
        <r>
          <rPr>
            <sz val="12"/>
            <rFont val="宋体"/>
            <family val="3"/>
            <charset val="134"/>
          </rPr>
          <t>手工填写</t>
        </r>
      </text>
    </comment>
    <comment ref="D41" authorId="0" shapeId="0" xr:uid="{00000000-0006-0000-0200-000026000000}">
      <text>
        <r>
          <rPr>
            <sz val="12"/>
            <rFont val="宋体"/>
            <family val="3"/>
            <charset val="134"/>
          </rPr>
          <t>手工填写</t>
        </r>
      </text>
    </comment>
    <comment ref="D42" authorId="0" shapeId="0" xr:uid="{00000000-0006-0000-0200-000027000000}">
      <text>
        <r>
          <rPr>
            <sz val="12"/>
            <rFont val="宋体"/>
            <family val="3"/>
            <charset val="134"/>
          </rPr>
          <t>自动计算</t>
        </r>
      </text>
    </comment>
    <comment ref="D43" authorId="0" shapeId="0" xr:uid="{00000000-0006-0000-0200-000028000000}">
      <text>
        <r>
          <rPr>
            <sz val="12"/>
            <rFont val="宋体"/>
            <family val="3"/>
            <charset val="134"/>
          </rPr>
          <t>手工填写</t>
        </r>
      </text>
    </comment>
    <comment ref="D44" authorId="0" shapeId="0" xr:uid="{00000000-0006-0000-0200-000029000000}">
      <text>
        <r>
          <rPr>
            <sz val="12"/>
            <rFont val="宋体"/>
            <family val="3"/>
            <charset val="134"/>
          </rPr>
          <t>手工填写</t>
        </r>
      </text>
    </comment>
    <comment ref="D45" authorId="0" shapeId="0" xr:uid="{00000000-0006-0000-0200-00002A000000}">
      <text>
        <r>
          <rPr>
            <sz val="12"/>
            <rFont val="宋体"/>
            <family val="3"/>
            <charset val="134"/>
          </rPr>
          <t>自动计算</t>
        </r>
      </text>
    </comment>
    <comment ref="D46" authorId="0" shapeId="0" xr:uid="{00000000-0006-0000-0200-00002B000000}">
      <text>
        <r>
          <rPr>
            <sz val="12"/>
            <rFont val="宋体"/>
            <family val="3"/>
            <charset val="134"/>
          </rPr>
          <t>手工填写</t>
        </r>
      </text>
    </comment>
    <comment ref="D47" authorId="0" shapeId="0" xr:uid="{00000000-0006-0000-0200-00002C000000}">
      <text>
        <r>
          <rPr>
            <sz val="12"/>
            <rFont val="宋体"/>
            <family val="3"/>
            <charset val="134"/>
          </rPr>
          <t>手工填写</t>
        </r>
      </text>
    </comment>
    <comment ref="D48" authorId="0" shapeId="0" xr:uid="{00000000-0006-0000-0200-00002D000000}">
      <text>
        <r>
          <rPr>
            <sz val="12"/>
            <rFont val="宋体"/>
            <family val="3"/>
            <charset val="134"/>
          </rPr>
          <t>自动计算</t>
        </r>
      </text>
    </comment>
    <comment ref="D49" authorId="0" shapeId="0" xr:uid="{00000000-0006-0000-0200-00002E000000}">
      <text>
        <r>
          <rPr>
            <sz val="12"/>
            <rFont val="宋体"/>
            <family val="3"/>
            <charset val="134"/>
          </rPr>
          <t>手工填写</t>
        </r>
      </text>
    </comment>
    <comment ref="D50" authorId="0" shapeId="0" xr:uid="{00000000-0006-0000-0200-00002F000000}">
      <text>
        <r>
          <rPr>
            <sz val="12"/>
            <rFont val="宋体"/>
            <family val="3"/>
            <charset val="134"/>
          </rPr>
          <t>手工填写</t>
        </r>
      </text>
    </comment>
    <comment ref="D51" authorId="0" shapeId="0" xr:uid="{00000000-0006-0000-0200-000030000000}">
      <text>
        <r>
          <rPr>
            <sz val="12"/>
            <rFont val="宋体"/>
            <family val="3"/>
            <charset val="134"/>
          </rPr>
          <t>自动计算</t>
        </r>
      </text>
    </comment>
    <comment ref="D52" authorId="0" shapeId="0" xr:uid="{00000000-0006-0000-0200-000031000000}">
      <text>
        <r>
          <rPr>
            <sz val="12"/>
            <rFont val="宋体"/>
            <family val="3"/>
            <charset val="134"/>
          </rPr>
          <t>手工填写</t>
        </r>
      </text>
    </comment>
    <comment ref="D53" authorId="0" shapeId="0" xr:uid="{00000000-0006-0000-0200-000032000000}">
      <text>
        <r>
          <rPr>
            <sz val="12"/>
            <rFont val="宋体"/>
            <family val="3"/>
            <charset val="134"/>
          </rPr>
          <t>手工填写</t>
        </r>
      </text>
    </comment>
    <comment ref="D54" authorId="0" shapeId="0" xr:uid="{00000000-0006-0000-0200-000033000000}">
      <text>
        <r>
          <rPr>
            <sz val="12"/>
            <rFont val="宋体"/>
            <family val="3"/>
            <charset val="134"/>
          </rPr>
          <t>自动计算</t>
        </r>
      </text>
    </comment>
    <comment ref="D55" authorId="0" shapeId="0" xr:uid="{00000000-0006-0000-0200-000034000000}">
      <text>
        <r>
          <rPr>
            <sz val="12"/>
            <rFont val="宋体"/>
            <family val="3"/>
            <charset val="134"/>
          </rPr>
          <t>手工填写</t>
        </r>
      </text>
    </comment>
    <comment ref="D56" authorId="0" shapeId="0" xr:uid="{00000000-0006-0000-0200-000035000000}">
      <text>
        <r>
          <rPr>
            <sz val="12"/>
            <rFont val="宋体"/>
            <family val="3"/>
            <charset val="134"/>
          </rPr>
          <t>手工填写</t>
        </r>
      </text>
    </comment>
    <comment ref="D57" authorId="0" shapeId="0" xr:uid="{00000000-0006-0000-0200-000036000000}">
      <text>
        <r>
          <rPr>
            <sz val="12"/>
            <rFont val="宋体"/>
            <family val="3"/>
            <charset val="134"/>
          </rPr>
          <t>自动计算</t>
        </r>
      </text>
    </comment>
    <comment ref="D61" authorId="0" shapeId="0" xr:uid="{00000000-0006-0000-0200-000037000000}">
      <text>
        <r>
          <rPr>
            <sz val="12"/>
            <rFont val="宋体"/>
            <family val="3"/>
            <charset val="134"/>
          </rPr>
          <t>手工填写</t>
        </r>
      </text>
    </comment>
    <comment ref="D62" authorId="0" shapeId="0" xr:uid="{00000000-0006-0000-0200-000038000000}">
      <text>
        <r>
          <rPr>
            <sz val="12"/>
            <rFont val="宋体"/>
            <family val="3"/>
            <charset val="134"/>
          </rPr>
          <t>手工填写</t>
        </r>
      </text>
    </comment>
    <comment ref="D63" authorId="0" shapeId="0" xr:uid="{00000000-0006-0000-0200-000039000000}">
      <text>
        <r>
          <rPr>
            <sz val="12"/>
            <rFont val="宋体"/>
            <family val="3"/>
            <charset val="134"/>
          </rPr>
          <t>自动计算</t>
        </r>
      </text>
    </comment>
    <comment ref="D64" authorId="0" shapeId="0" xr:uid="{00000000-0006-0000-0200-00003A000000}">
      <text>
        <r>
          <rPr>
            <sz val="12"/>
            <rFont val="宋体"/>
            <family val="3"/>
            <charset val="134"/>
          </rPr>
          <t>手工填写</t>
        </r>
      </text>
    </comment>
    <comment ref="D65" authorId="0" shapeId="0" xr:uid="{00000000-0006-0000-0200-00003B000000}">
      <text>
        <r>
          <rPr>
            <sz val="12"/>
            <rFont val="宋体"/>
            <family val="3"/>
            <charset val="134"/>
          </rPr>
          <t>手工填写</t>
        </r>
      </text>
    </comment>
    <comment ref="D66" authorId="0" shapeId="0" xr:uid="{00000000-0006-0000-0200-00003C000000}">
      <text>
        <r>
          <rPr>
            <sz val="12"/>
            <rFont val="宋体"/>
            <family val="3"/>
            <charset val="134"/>
          </rPr>
          <t>自动计算</t>
        </r>
      </text>
    </comment>
    <comment ref="D67" authorId="0" shapeId="0" xr:uid="{00000000-0006-0000-0200-00003D000000}">
      <text>
        <r>
          <rPr>
            <sz val="12"/>
            <rFont val="宋体"/>
            <family val="3"/>
            <charset val="134"/>
          </rPr>
          <t>手工填写</t>
        </r>
      </text>
    </comment>
    <comment ref="D68" authorId="0" shapeId="0" xr:uid="{00000000-0006-0000-0200-00003E000000}">
      <text>
        <r>
          <rPr>
            <sz val="12"/>
            <rFont val="宋体"/>
            <family val="3"/>
            <charset val="134"/>
          </rPr>
          <t>手工填写</t>
        </r>
      </text>
    </comment>
    <comment ref="D69" authorId="0" shapeId="0" xr:uid="{00000000-0006-0000-0200-00003F000000}">
      <text>
        <r>
          <rPr>
            <sz val="12"/>
            <rFont val="宋体"/>
            <family val="3"/>
            <charset val="134"/>
          </rPr>
          <t>自动计算</t>
        </r>
      </text>
    </comment>
    <comment ref="D70" authorId="0" shapeId="0" xr:uid="{00000000-0006-0000-0200-000040000000}">
      <text>
        <r>
          <rPr>
            <sz val="12"/>
            <rFont val="宋体"/>
            <family val="3"/>
            <charset val="134"/>
          </rPr>
          <t>手工填写</t>
        </r>
      </text>
    </comment>
    <comment ref="D71" authorId="0" shapeId="0" xr:uid="{00000000-0006-0000-0200-000041000000}">
      <text>
        <r>
          <rPr>
            <sz val="12"/>
            <rFont val="宋体"/>
            <family val="3"/>
            <charset val="134"/>
          </rPr>
          <t>手工填写</t>
        </r>
      </text>
    </comment>
    <comment ref="D72" authorId="0" shapeId="0" xr:uid="{00000000-0006-0000-0200-000042000000}">
      <text>
        <r>
          <rPr>
            <sz val="12"/>
            <rFont val="宋体"/>
            <family val="3"/>
            <charset val="134"/>
          </rPr>
          <t>自动计算</t>
        </r>
      </text>
    </comment>
    <comment ref="D73" authorId="0" shapeId="0" xr:uid="{00000000-0006-0000-0200-000043000000}">
      <text>
        <r>
          <rPr>
            <sz val="12"/>
            <rFont val="宋体"/>
            <family val="3"/>
            <charset val="134"/>
          </rPr>
          <t>手工填写</t>
        </r>
      </text>
    </comment>
    <comment ref="D74" authorId="0" shapeId="0" xr:uid="{00000000-0006-0000-0200-000044000000}">
      <text>
        <r>
          <rPr>
            <sz val="12"/>
            <rFont val="宋体"/>
            <family val="3"/>
            <charset val="134"/>
          </rPr>
          <t>手工填写</t>
        </r>
      </text>
    </comment>
    <comment ref="D75" authorId="0" shapeId="0" xr:uid="{00000000-0006-0000-0200-000045000000}">
      <text>
        <r>
          <rPr>
            <sz val="12"/>
            <rFont val="宋体"/>
            <family val="3"/>
            <charset val="134"/>
          </rPr>
          <t>自动计算</t>
        </r>
      </text>
    </comment>
    <comment ref="D76" authorId="0" shapeId="0" xr:uid="{00000000-0006-0000-0200-000046000000}">
      <text>
        <r>
          <rPr>
            <sz val="12"/>
            <rFont val="宋体"/>
            <family val="3"/>
            <charset val="134"/>
          </rPr>
          <t>手工填写</t>
        </r>
      </text>
    </comment>
    <comment ref="D77" authorId="0" shapeId="0" xr:uid="{00000000-0006-0000-0200-000047000000}">
      <text>
        <r>
          <rPr>
            <sz val="12"/>
            <rFont val="宋体"/>
            <family val="3"/>
            <charset val="134"/>
          </rPr>
          <t>手工填写</t>
        </r>
      </text>
    </comment>
    <comment ref="D78" authorId="0" shapeId="0" xr:uid="{00000000-0006-0000-0200-000048000000}">
      <text>
        <r>
          <rPr>
            <sz val="12"/>
            <rFont val="宋体"/>
            <family val="3"/>
            <charset val="134"/>
          </rPr>
          <t>自动计算</t>
        </r>
      </text>
    </comment>
    <comment ref="D79" authorId="0" shapeId="0" xr:uid="{00000000-0006-0000-0200-000049000000}">
      <text>
        <r>
          <rPr>
            <sz val="12"/>
            <rFont val="宋体"/>
            <family val="3"/>
            <charset val="134"/>
          </rPr>
          <t>手工填写</t>
        </r>
      </text>
    </comment>
    <comment ref="D80" authorId="0" shapeId="0" xr:uid="{00000000-0006-0000-0200-00004A000000}">
      <text>
        <r>
          <rPr>
            <sz val="12"/>
            <rFont val="宋体"/>
            <family val="3"/>
            <charset val="134"/>
          </rPr>
          <t>手工填写</t>
        </r>
      </text>
    </comment>
    <comment ref="D81" authorId="0" shapeId="0" xr:uid="{00000000-0006-0000-0200-00004B000000}">
      <text>
        <r>
          <rPr>
            <sz val="12"/>
            <rFont val="宋体"/>
            <family val="3"/>
            <charset val="134"/>
          </rPr>
          <t>自动计算</t>
        </r>
      </text>
    </comment>
    <comment ref="D82" authorId="0" shapeId="0" xr:uid="{00000000-0006-0000-0200-00004C000000}">
      <text>
        <r>
          <rPr>
            <sz val="12"/>
            <rFont val="宋体"/>
            <family val="3"/>
            <charset val="134"/>
          </rPr>
          <t>手工填写</t>
        </r>
      </text>
    </comment>
    <comment ref="D83" authorId="0" shapeId="0" xr:uid="{00000000-0006-0000-0200-00004D000000}">
      <text>
        <r>
          <rPr>
            <sz val="12"/>
            <rFont val="宋体"/>
            <family val="3"/>
            <charset val="134"/>
          </rPr>
          <t>手工填写</t>
        </r>
      </text>
    </comment>
    <comment ref="D84" authorId="0" shapeId="0" xr:uid="{00000000-0006-0000-0200-00004E000000}">
      <text>
        <r>
          <rPr>
            <sz val="12"/>
            <rFont val="宋体"/>
            <family val="3"/>
            <charset val="134"/>
          </rPr>
          <t>自动计算</t>
        </r>
      </text>
    </comment>
    <comment ref="D85" authorId="0" shapeId="0" xr:uid="{00000000-0006-0000-0200-00004F000000}">
      <text>
        <r>
          <rPr>
            <sz val="12"/>
            <rFont val="宋体"/>
            <family val="3"/>
            <charset val="134"/>
          </rPr>
          <t>手工填写</t>
        </r>
      </text>
    </comment>
    <comment ref="D86" authorId="0" shapeId="0" xr:uid="{00000000-0006-0000-0200-000050000000}">
      <text>
        <r>
          <rPr>
            <sz val="12"/>
            <rFont val="宋体"/>
            <family val="3"/>
            <charset val="134"/>
          </rPr>
          <t>手工填写</t>
        </r>
      </text>
    </comment>
    <comment ref="D87" authorId="0" shapeId="0" xr:uid="{00000000-0006-0000-0200-000051000000}">
      <text>
        <r>
          <rPr>
            <sz val="12"/>
            <rFont val="宋体"/>
            <family val="3"/>
            <charset val="134"/>
          </rPr>
          <t>自动计算</t>
        </r>
      </text>
    </comment>
    <comment ref="D88" authorId="0" shapeId="0" xr:uid="{00000000-0006-0000-0200-000052000000}">
      <text>
        <r>
          <rPr>
            <sz val="12"/>
            <rFont val="宋体"/>
            <family val="3"/>
            <charset val="134"/>
          </rPr>
          <t>手工填写</t>
        </r>
      </text>
    </comment>
    <comment ref="D89" authorId="0" shapeId="0" xr:uid="{00000000-0006-0000-0200-000053000000}">
      <text>
        <r>
          <rPr>
            <sz val="12"/>
            <rFont val="宋体"/>
            <family val="3"/>
            <charset val="134"/>
          </rPr>
          <t>手工填写</t>
        </r>
      </text>
    </comment>
    <comment ref="D90" authorId="0" shapeId="0" xr:uid="{00000000-0006-0000-0200-000054000000}">
      <text>
        <r>
          <rPr>
            <sz val="12"/>
            <rFont val="宋体"/>
            <family val="3"/>
            <charset val="134"/>
          </rPr>
          <t>自动计算</t>
        </r>
      </text>
    </comment>
    <comment ref="D91" authorId="0" shapeId="0" xr:uid="{00000000-0006-0000-0200-000055000000}">
      <text>
        <r>
          <rPr>
            <sz val="12"/>
            <rFont val="宋体"/>
            <family val="3"/>
            <charset val="134"/>
          </rPr>
          <t>手工填写</t>
        </r>
      </text>
    </comment>
    <comment ref="D92" authorId="0" shapeId="0" xr:uid="{00000000-0006-0000-0200-000056000000}">
      <text>
        <r>
          <rPr>
            <sz val="12"/>
            <rFont val="宋体"/>
            <family val="3"/>
            <charset val="134"/>
          </rPr>
          <t>手工填写</t>
        </r>
      </text>
    </comment>
    <comment ref="D93" authorId="0" shapeId="0" xr:uid="{00000000-0006-0000-0200-000057000000}">
      <text>
        <r>
          <rPr>
            <sz val="12"/>
            <rFont val="宋体"/>
            <family val="3"/>
            <charset val="134"/>
          </rPr>
          <t>自动计算</t>
        </r>
      </text>
    </comment>
    <comment ref="D96" authorId="0" shapeId="0" xr:uid="{00000000-0006-0000-0200-000058000000}">
      <text>
        <r>
          <rPr>
            <sz val="12"/>
            <rFont val="宋体"/>
            <family val="3"/>
            <charset val="134"/>
          </rPr>
          <t>手工填写</t>
        </r>
      </text>
    </comment>
    <comment ref="D97" authorId="0" shapeId="0" xr:uid="{00000000-0006-0000-0200-000059000000}">
      <text>
        <r>
          <rPr>
            <sz val="12"/>
            <rFont val="宋体"/>
            <family val="3"/>
            <charset val="134"/>
          </rPr>
          <t>手工填写</t>
        </r>
      </text>
    </comment>
    <comment ref="D98" authorId="0" shapeId="0" xr:uid="{00000000-0006-0000-0200-00005A000000}">
      <text>
        <r>
          <rPr>
            <sz val="12"/>
            <rFont val="宋体"/>
            <family val="3"/>
            <charset val="134"/>
          </rPr>
          <t>自动计算</t>
        </r>
      </text>
    </comment>
    <comment ref="D99" authorId="0" shapeId="0" xr:uid="{00000000-0006-0000-0200-00005B000000}">
      <text>
        <r>
          <rPr>
            <sz val="12"/>
            <rFont val="宋体"/>
            <family val="3"/>
            <charset val="134"/>
          </rPr>
          <t>手工填写</t>
        </r>
      </text>
    </comment>
    <comment ref="D100" authorId="0" shapeId="0" xr:uid="{00000000-0006-0000-0200-00005C000000}">
      <text>
        <r>
          <rPr>
            <sz val="12"/>
            <rFont val="宋体"/>
            <family val="3"/>
            <charset val="134"/>
          </rPr>
          <t>手工填写</t>
        </r>
      </text>
    </comment>
    <comment ref="D101" authorId="0" shapeId="0" xr:uid="{00000000-0006-0000-0200-00005D000000}">
      <text>
        <r>
          <rPr>
            <sz val="12"/>
            <rFont val="宋体"/>
            <family val="3"/>
            <charset val="134"/>
          </rPr>
          <t>自动计算</t>
        </r>
      </text>
    </comment>
    <comment ref="D102" authorId="0" shapeId="0" xr:uid="{00000000-0006-0000-0200-00005E000000}">
      <text>
        <r>
          <rPr>
            <sz val="12"/>
            <rFont val="宋体"/>
            <family val="3"/>
            <charset val="134"/>
          </rPr>
          <t>手工填写</t>
        </r>
      </text>
    </comment>
    <comment ref="D103" authorId="0" shapeId="0" xr:uid="{00000000-0006-0000-0200-00005F000000}">
      <text>
        <r>
          <rPr>
            <sz val="12"/>
            <rFont val="宋体"/>
            <family val="3"/>
            <charset val="134"/>
          </rPr>
          <t>手工填写</t>
        </r>
      </text>
    </comment>
    <comment ref="D104" authorId="0" shapeId="0" xr:uid="{00000000-0006-0000-0200-000060000000}">
      <text>
        <r>
          <rPr>
            <sz val="12"/>
            <rFont val="宋体"/>
            <family val="3"/>
            <charset val="134"/>
          </rPr>
          <t>自动计算</t>
        </r>
      </text>
    </comment>
    <comment ref="D105" authorId="0" shapeId="0" xr:uid="{00000000-0006-0000-0200-000061000000}">
      <text>
        <r>
          <rPr>
            <sz val="12"/>
            <rFont val="宋体"/>
            <family val="3"/>
            <charset val="134"/>
          </rPr>
          <t>手工填写</t>
        </r>
      </text>
    </comment>
    <comment ref="D106" authorId="0" shapeId="0" xr:uid="{00000000-0006-0000-0200-000062000000}">
      <text>
        <r>
          <rPr>
            <sz val="12"/>
            <rFont val="宋体"/>
            <family val="3"/>
            <charset val="134"/>
          </rPr>
          <t>手工填写</t>
        </r>
      </text>
    </comment>
    <comment ref="D107" authorId="0" shapeId="0" xr:uid="{00000000-0006-0000-0200-000063000000}">
      <text>
        <r>
          <rPr>
            <sz val="12"/>
            <rFont val="宋体"/>
            <family val="3"/>
            <charset val="134"/>
          </rPr>
          <t>自动计算</t>
        </r>
      </text>
    </comment>
    <comment ref="D108" authorId="0" shapeId="0" xr:uid="{00000000-0006-0000-0200-000064000000}">
      <text>
        <r>
          <rPr>
            <sz val="12"/>
            <rFont val="宋体"/>
            <family val="3"/>
            <charset val="134"/>
          </rPr>
          <t>手工填写</t>
        </r>
      </text>
    </comment>
    <comment ref="D109" authorId="0" shapeId="0" xr:uid="{00000000-0006-0000-0200-000065000000}">
      <text>
        <r>
          <rPr>
            <sz val="12"/>
            <rFont val="宋体"/>
            <family val="3"/>
            <charset val="134"/>
          </rPr>
          <t>手工填写</t>
        </r>
      </text>
    </comment>
    <comment ref="D110" authorId="0" shapeId="0" xr:uid="{00000000-0006-0000-0200-000066000000}">
      <text>
        <r>
          <rPr>
            <sz val="12"/>
            <rFont val="宋体"/>
            <family val="3"/>
            <charset val="134"/>
          </rPr>
          <t>自动计算</t>
        </r>
      </text>
    </comment>
    <comment ref="D111" authorId="0" shapeId="0" xr:uid="{00000000-0006-0000-0200-000067000000}">
      <text>
        <r>
          <rPr>
            <sz val="12"/>
            <rFont val="宋体"/>
            <family val="3"/>
            <charset val="134"/>
          </rPr>
          <t>手工填写</t>
        </r>
      </text>
    </comment>
    <comment ref="D112" authorId="0" shapeId="0" xr:uid="{00000000-0006-0000-0200-000068000000}">
      <text>
        <r>
          <rPr>
            <sz val="12"/>
            <rFont val="宋体"/>
            <family val="3"/>
            <charset val="134"/>
          </rPr>
          <t>手工填写</t>
        </r>
      </text>
    </comment>
    <comment ref="D113" authorId="0" shapeId="0" xr:uid="{00000000-0006-0000-0200-000069000000}">
      <text>
        <r>
          <rPr>
            <sz val="12"/>
            <rFont val="宋体"/>
            <family val="3"/>
            <charset val="134"/>
          </rPr>
          <t>自动计算</t>
        </r>
      </text>
    </comment>
    <comment ref="D114" authorId="0" shapeId="0" xr:uid="{00000000-0006-0000-0200-00006A000000}">
      <text>
        <r>
          <rPr>
            <sz val="12"/>
            <rFont val="宋体"/>
            <family val="3"/>
            <charset val="134"/>
          </rPr>
          <t>手工填写</t>
        </r>
      </text>
    </comment>
    <comment ref="D115" authorId="0" shapeId="0" xr:uid="{00000000-0006-0000-0200-00006B000000}">
      <text>
        <r>
          <rPr>
            <sz val="12"/>
            <rFont val="宋体"/>
            <family val="3"/>
            <charset val="134"/>
          </rPr>
          <t>手工填写</t>
        </r>
      </text>
    </comment>
    <comment ref="D116" authorId="0" shapeId="0" xr:uid="{00000000-0006-0000-0200-00006C000000}">
      <text>
        <r>
          <rPr>
            <sz val="12"/>
            <rFont val="宋体"/>
            <family val="3"/>
            <charset val="134"/>
          </rPr>
          <t>自动计算</t>
        </r>
      </text>
    </comment>
    <comment ref="D117" authorId="0" shapeId="0" xr:uid="{00000000-0006-0000-0200-00006D000000}">
      <text>
        <r>
          <rPr>
            <sz val="12"/>
            <rFont val="宋体"/>
            <family val="3"/>
            <charset val="134"/>
          </rPr>
          <t>手工填写</t>
        </r>
      </text>
    </comment>
    <comment ref="D118" authorId="0" shapeId="0" xr:uid="{00000000-0006-0000-0200-00006E000000}">
      <text>
        <r>
          <rPr>
            <sz val="12"/>
            <rFont val="宋体"/>
            <family val="3"/>
            <charset val="134"/>
          </rPr>
          <t>手工填写</t>
        </r>
      </text>
    </comment>
    <comment ref="D119" authorId="0" shapeId="0" xr:uid="{00000000-0006-0000-0200-00006F000000}">
      <text>
        <r>
          <rPr>
            <sz val="12"/>
            <rFont val="宋体"/>
            <family val="3"/>
            <charset val="134"/>
          </rPr>
          <t>自动计算</t>
        </r>
      </text>
    </comment>
    <comment ref="D121" authorId="0" shapeId="0" xr:uid="{00000000-0006-0000-0200-000070000000}">
      <text>
        <r>
          <rPr>
            <sz val="12"/>
            <rFont val="宋体"/>
            <family val="3"/>
            <charset val="134"/>
          </rPr>
          <t>手工填写</t>
        </r>
      </text>
    </comment>
    <comment ref="D122" authorId="0" shapeId="0" xr:uid="{00000000-0006-0000-0200-000071000000}">
      <text>
        <r>
          <rPr>
            <sz val="12"/>
            <rFont val="宋体"/>
            <family val="3"/>
            <charset val="134"/>
          </rPr>
          <t>手工填写</t>
        </r>
      </text>
    </comment>
    <comment ref="D123" authorId="0" shapeId="0" xr:uid="{00000000-0006-0000-0200-000072000000}">
      <text>
        <r>
          <rPr>
            <sz val="12"/>
            <rFont val="宋体"/>
            <family val="3"/>
            <charset val="134"/>
          </rPr>
          <t>自动计算</t>
        </r>
      </text>
    </comment>
    <comment ref="D124" authorId="0" shapeId="0" xr:uid="{00000000-0006-0000-0200-000073000000}">
      <text>
        <r>
          <rPr>
            <sz val="12"/>
            <rFont val="宋体"/>
            <family val="3"/>
            <charset val="134"/>
          </rPr>
          <t>手工填写</t>
        </r>
      </text>
    </comment>
    <comment ref="D125" authorId="0" shapeId="0" xr:uid="{00000000-0006-0000-0200-000074000000}">
      <text>
        <r>
          <rPr>
            <sz val="12"/>
            <rFont val="宋体"/>
            <family val="3"/>
            <charset val="134"/>
          </rPr>
          <t>手工填写</t>
        </r>
      </text>
    </comment>
    <comment ref="D126" authorId="0" shapeId="0" xr:uid="{00000000-0006-0000-0200-000075000000}">
      <text>
        <r>
          <rPr>
            <sz val="12"/>
            <rFont val="宋体"/>
            <family val="3"/>
            <charset val="134"/>
          </rPr>
          <t>自动计算</t>
        </r>
      </text>
    </comment>
    <comment ref="D127" authorId="0" shapeId="0" xr:uid="{00000000-0006-0000-0200-000076000000}">
      <text>
        <r>
          <rPr>
            <sz val="12"/>
            <rFont val="宋体"/>
            <family val="3"/>
            <charset val="134"/>
          </rPr>
          <t>手工填写</t>
        </r>
      </text>
    </comment>
    <comment ref="D128" authorId="0" shapeId="0" xr:uid="{00000000-0006-0000-0200-000077000000}">
      <text>
        <r>
          <rPr>
            <sz val="12"/>
            <rFont val="宋体"/>
            <family val="3"/>
            <charset val="134"/>
          </rPr>
          <t>手工填写</t>
        </r>
      </text>
    </comment>
    <comment ref="D129" authorId="0" shapeId="0" xr:uid="{00000000-0006-0000-0200-000078000000}">
      <text>
        <r>
          <rPr>
            <sz val="12"/>
            <rFont val="宋体"/>
            <family val="3"/>
            <charset val="134"/>
          </rPr>
          <t>自动计算</t>
        </r>
      </text>
    </comment>
    <comment ref="D130" authorId="0" shapeId="0" xr:uid="{00000000-0006-0000-0200-000079000000}">
      <text>
        <r>
          <rPr>
            <sz val="12"/>
            <rFont val="宋体"/>
            <family val="3"/>
            <charset val="134"/>
          </rPr>
          <t>手工填写</t>
        </r>
      </text>
    </comment>
    <comment ref="D131" authorId="0" shapeId="0" xr:uid="{00000000-0006-0000-0200-00007A000000}">
      <text>
        <r>
          <rPr>
            <sz val="12"/>
            <rFont val="宋体"/>
            <family val="3"/>
            <charset val="134"/>
          </rPr>
          <t>手工填写</t>
        </r>
      </text>
    </comment>
    <comment ref="D132" authorId="0" shapeId="0" xr:uid="{00000000-0006-0000-0200-00007B000000}">
      <text>
        <r>
          <rPr>
            <sz val="12"/>
            <rFont val="宋体"/>
            <family val="3"/>
            <charset val="134"/>
          </rPr>
          <t>自动计算</t>
        </r>
      </text>
    </comment>
    <comment ref="D133" authorId="0" shapeId="0" xr:uid="{00000000-0006-0000-0200-00007C000000}">
      <text>
        <r>
          <rPr>
            <sz val="12"/>
            <rFont val="宋体"/>
            <family val="3"/>
            <charset val="134"/>
          </rPr>
          <t>手工填写</t>
        </r>
      </text>
    </comment>
    <comment ref="D134" authorId="0" shapeId="0" xr:uid="{00000000-0006-0000-0200-00007D000000}">
      <text>
        <r>
          <rPr>
            <sz val="12"/>
            <rFont val="宋体"/>
            <family val="3"/>
            <charset val="134"/>
          </rPr>
          <t>手工填写</t>
        </r>
      </text>
    </comment>
    <comment ref="D135" authorId="0" shapeId="0" xr:uid="{00000000-0006-0000-0200-00007E000000}">
      <text>
        <r>
          <rPr>
            <sz val="12"/>
            <rFont val="宋体"/>
            <family val="3"/>
            <charset val="134"/>
          </rPr>
          <t>自动计算</t>
        </r>
      </text>
    </comment>
    <comment ref="D136" authorId="0" shapeId="0" xr:uid="{00000000-0006-0000-0200-00007F000000}">
      <text>
        <r>
          <rPr>
            <sz val="12"/>
            <rFont val="宋体"/>
            <family val="3"/>
            <charset val="134"/>
          </rPr>
          <t>手工填写</t>
        </r>
      </text>
    </comment>
    <comment ref="D137" authorId="0" shapeId="0" xr:uid="{00000000-0006-0000-0200-000080000000}">
      <text>
        <r>
          <rPr>
            <sz val="12"/>
            <rFont val="宋体"/>
            <family val="3"/>
            <charset val="134"/>
          </rPr>
          <t>手工填写</t>
        </r>
      </text>
    </comment>
    <comment ref="D138" authorId="0" shapeId="0" xr:uid="{00000000-0006-0000-0200-000081000000}">
      <text>
        <r>
          <rPr>
            <sz val="12"/>
            <rFont val="宋体"/>
            <family val="3"/>
            <charset val="134"/>
          </rPr>
          <t>自动计算</t>
        </r>
      </text>
    </comment>
    <comment ref="D140" authorId="0" shapeId="0" xr:uid="{00000000-0006-0000-0200-000082000000}">
      <text>
        <r>
          <rPr>
            <sz val="12"/>
            <rFont val="宋体"/>
            <family val="3"/>
            <charset val="134"/>
          </rPr>
          <t>手工填写</t>
        </r>
      </text>
    </comment>
    <comment ref="D141" authorId="0" shapeId="0" xr:uid="{00000000-0006-0000-0200-000083000000}">
      <text>
        <r>
          <rPr>
            <sz val="12"/>
            <rFont val="宋体"/>
            <family val="3"/>
            <charset val="134"/>
          </rPr>
          <t>手工填写</t>
        </r>
      </text>
    </comment>
    <comment ref="D142" authorId="0" shapeId="0" xr:uid="{00000000-0006-0000-0200-000084000000}">
      <text>
        <r>
          <rPr>
            <sz val="12"/>
            <rFont val="宋体"/>
            <family val="3"/>
            <charset val="134"/>
          </rPr>
          <t>自动计算</t>
        </r>
      </text>
    </comment>
    <comment ref="D143" authorId="0" shapeId="0" xr:uid="{00000000-0006-0000-0200-000085000000}">
      <text>
        <r>
          <rPr>
            <sz val="12"/>
            <rFont val="宋体"/>
            <family val="3"/>
            <charset val="134"/>
          </rPr>
          <t>手工填写</t>
        </r>
      </text>
    </comment>
    <comment ref="D144" authorId="0" shapeId="0" xr:uid="{00000000-0006-0000-0200-000086000000}">
      <text>
        <r>
          <rPr>
            <sz val="12"/>
            <rFont val="宋体"/>
            <family val="3"/>
            <charset val="134"/>
          </rPr>
          <t>手工填写</t>
        </r>
      </text>
    </comment>
    <comment ref="D145" authorId="0" shapeId="0" xr:uid="{00000000-0006-0000-0200-000087000000}">
      <text>
        <r>
          <rPr>
            <sz val="12"/>
            <rFont val="宋体"/>
            <family val="3"/>
            <charset val="134"/>
          </rPr>
          <t>自动计算</t>
        </r>
      </text>
    </comment>
    <comment ref="D146" authorId="0" shapeId="0" xr:uid="{00000000-0006-0000-0200-000088000000}">
      <text>
        <r>
          <rPr>
            <sz val="12"/>
            <rFont val="宋体"/>
            <family val="3"/>
            <charset val="134"/>
          </rPr>
          <t>手工填写</t>
        </r>
      </text>
    </comment>
    <comment ref="D147" authorId="0" shapeId="0" xr:uid="{00000000-0006-0000-0200-000089000000}">
      <text>
        <r>
          <rPr>
            <sz val="12"/>
            <rFont val="宋体"/>
            <family val="3"/>
            <charset val="134"/>
          </rPr>
          <t>手工填写</t>
        </r>
      </text>
    </comment>
    <comment ref="D148" authorId="0" shapeId="0" xr:uid="{00000000-0006-0000-0200-00008A000000}">
      <text>
        <r>
          <rPr>
            <sz val="12"/>
            <rFont val="宋体"/>
            <family val="3"/>
            <charset val="134"/>
          </rPr>
          <t>自动计算</t>
        </r>
      </text>
    </comment>
    <comment ref="D149" authorId="0" shapeId="0" xr:uid="{00000000-0006-0000-0200-00008B000000}">
      <text>
        <r>
          <rPr>
            <sz val="12"/>
            <rFont val="宋体"/>
            <family val="3"/>
            <charset val="134"/>
          </rPr>
          <t>手工填写</t>
        </r>
      </text>
    </comment>
    <comment ref="D150" authorId="0" shapeId="0" xr:uid="{00000000-0006-0000-0200-00008C000000}">
      <text>
        <r>
          <rPr>
            <sz val="12"/>
            <rFont val="宋体"/>
            <family val="3"/>
            <charset val="134"/>
          </rPr>
          <t>手工填写</t>
        </r>
      </text>
    </comment>
    <comment ref="D151" authorId="0" shapeId="0" xr:uid="{00000000-0006-0000-0200-00008D000000}">
      <text>
        <r>
          <rPr>
            <sz val="12"/>
            <rFont val="宋体"/>
            <family val="3"/>
            <charset val="134"/>
          </rPr>
          <t>自动计算</t>
        </r>
      </text>
    </comment>
    <comment ref="D152" authorId="0" shapeId="0" xr:uid="{00000000-0006-0000-0200-00008E000000}">
      <text>
        <r>
          <rPr>
            <sz val="12"/>
            <rFont val="宋体"/>
            <family val="3"/>
            <charset val="134"/>
          </rPr>
          <t>手工填写</t>
        </r>
      </text>
    </comment>
    <comment ref="D153" authorId="0" shapeId="0" xr:uid="{00000000-0006-0000-0200-00008F000000}">
      <text>
        <r>
          <rPr>
            <sz val="12"/>
            <rFont val="宋体"/>
            <family val="3"/>
            <charset val="134"/>
          </rPr>
          <t>手工填写</t>
        </r>
      </text>
    </comment>
    <comment ref="D154" authorId="0" shapeId="0" xr:uid="{00000000-0006-0000-0200-000090000000}">
      <text>
        <r>
          <rPr>
            <sz val="12"/>
            <rFont val="宋体"/>
            <family val="3"/>
            <charset val="134"/>
          </rPr>
          <t>自动计算</t>
        </r>
      </text>
    </comment>
    <comment ref="D155" authorId="0" shapeId="0" xr:uid="{00000000-0006-0000-0200-000091000000}">
      <text>
        <r>
          <rPr>
            <sz val="12"/>
            <rFont val="宋体"/>
            <family val="3"/>
            <charset val="134"/>
          </rPr>
          <t>手工填写</t>
        </r>
      </text>
    </comment>
    <comment ref="D156" authorId="0" shapeId="0" xr:uid="{00000000-0006-0000-0200-000092000000}">
      <text>
        <r>
          <rPr>
            <sz val="12"/>
            <rFont val="宋体"/>
            <family val="3"/>
            <charset val="134"/>
          </rPr>
          <t>手工填写</t>
        </r>
      </text>
    </comment>
    <comment ref="D157" authorId="0" shapeId="0" xr:uid="{00000000-0006-0000-0200-000093000000}">
      <text>
        <r>
          <rPr>
            <sz val="12"/>
            <rFont val="宋体"/>
            <family val="3"/>
            <charset val="134"/>
          </rPr>
          <t>自动计算</t>
        </r>
      </text>
    </comment>
    <comment ref="D158" authorId="0" shapeId="0" xr:uid="{00000000-0006-0000-0200-000094000000}">
      <text>
        <r>
          <rPr>
            <sz val="12"/>
            <rFont val="宋体"/>
            <family val="3"/>
            <charset val="134"/>
          </rPr>
          <t>手工填写</t>
        </r>
      </text>
    </comment>
    <comment ref="D159" authorId="0" shapeId="0" xr:uid="{00000000-0006-0000-0200-000095000000}">
      <text>
        <r>
          <rPr>
            <sz val="12"/>
            <rFont val="宋体"/>
            <family val="3"/>
            <charset val="134"/>
          </rPr>
          <t>手工填写</t>
        </r>
      </text>
    </comment>
    <comment ref="D160" authorId="0" shapeId="0" xr:uid="{00000000-0006-0000-0200-000096000000}">
      <text>
        <r>
          <rPr>
            <sz val="12"/>
            <rFont val="宋体"/>
            <family val="3"/>
            <charset val="134"/>
          </rPr>
          <t>自动计算</t>
        </r>
      </text>
    </comment>
    <comment ref="D161" authorId="0" shapeId="0" xr:uid="{00000000-0006-0000-0200-000097000000}">
      <text>
        <r>
          <rPr>
            <sz val="12"/>
            <rFont val="宋体"/>
            <family val="3"/>
            <charset val="134"/>
          </rPr>
          <t>手工填写</t>
        </r>
      </text>
    </comment>
    <comment ref="D162" authorId="0" shapeId="0" xr:uid="{00000000-0006-0000-0200-000098000000}">
      <text>
        <r>
          <rPr>
            <sz val="12"/>
            <rFont val="宋体"/>
            <family val="3"/>
            <charset val="134"/>
          </rPr>
          <t>手工填写</t>
        </r>
      </text>
    </comment>
    <comment ref="D163" authorId="0" shapeId="0" xr:uid="{00000000-0006-0000-0200-000099000000}">
      <text>
        <r>
          <rPr>
            <sz val="12"/>
            <rFont val="宋体"/>
            <family val="3"/>
            <charset val="134"/>
          </rPr>
          <t>自动计算</t>
        </r>
      </text>
    </comment>
    <comment ref="D164" authorId="0" shapeId="0" xr:uid="{00000000-0006-0000-0200-00009A000000}">
      <text>
        <r>
          <rPr>
            <sz val="12"/>
            <rFont val="宋体"/>
            <family val="3"/>
            <charset val="134"/>
          </rPr>
          <t>手工填写</t>
        </r>
      </text>
    </comment>
    <comment ref="D165" authorId="0" shapeId="0" xr:uid="{00000000-0006-0000-0200-00009B000000}">
      <text>
        <r>
          <rPr>
            <sz val="12"/>
            <rFont val="宋体"/>
            <family val="3"/>
            <charset val="134"/>
          </rPr>
          <t>手工填写</t>
        </r>
      </text>
    </comment>
    <comment ref="D166" authorId="0" shapeId="0" xr:uid="{00000000-0006-0000-0200-00009C000000}">
      <text>
        <r>
          <rPr>
            <sz val="12"/>
            <rFont val="宋体"/>
            <family val="3"/>
            <charset val="134"/>
          </rPr>
          <t>自动计算</t>
        </r>
      </text>
    </comment>
    <comment ref="D167" authorId="0" shapeId="0" xr:uid="{00000000-0006-0000-0200-00009D000000}">
      <text>
        <r>
          <rPr>
            <sz val="12"/>
            <rFont val="宋体"/>
            <family val="3"/>
            <charset val="134"/>
          </rPr>
          <t>手工填写</t>
        </r>
      </text>
    </comment>
    <comment ref="D168" authorId="0" shapeId="0" xr:uid="{00000000-0006-0000-0200-00009E000000}">
      <text>
        <r>
          <rPr>
            <sz val="12"/>
            <rFont val="宋体"/>
            <family val="3"/>
            <charset val="134"/>
          </rPr>
          <t>手工填写</t>
        </r>
      </text>
    </comment>
    <comment ref="D169" authorId="0" shapeId="0" xr:uid="{00000000-0006-0000-0200-00009F000000}">
      <text>
        <r>
          <rPr>
            <sz val="12"/>
            <rFont val="宋体"/>
            <family val="3"/>
            <charset val="134"/>
          </rPr>
          <t>自动计算</t>
        </r>
      </text>
    </comment>
    <comment ref="D171" authorId="0" shapeId="0" xr:uid="{00000000-0006-0000-0200-0000A0000000}">
      <text>
        <r>
          <rPr>
            <sz val="12"/>
            <rFont val="宋体"/>
            <family val="3"/>
            <charset val="134"/>
          </rPr>
          <t>手工填写</t>
        </r>
      </text>
    </comment>
    <comment ref="D172" authorId="0" shapeId="0" xr:uid="{00000000-0006-0000-0200-0000A1000000}">
      <text>
        <r>
          <rPr>
            <sz val="12"/>
            <rFont val="宋体"/>
            <family val="3"/>
            <charset val="134"/>
          </rPr>
          <t>手工填写</t>
        </r>
      </text>
    </comment>
    <comment ref="D173" authorId="0" shapeId="0" xr:uid="{00000000-0006-0000-0200-0000A2000000}">
      <text>
        <r>
          <rPr>
            <sz val="12"/>
            <rFont val="宋体"/>
            <family val="3"/>
            <charset val="134"/>
          </rPr>
          <t>自动计算</t>
        </r>
      </text>
    </comment>
    <comment ref="D174" authorId="0" shapeId="0" xr:uid="{00000000-0006-0000-0200-0000A3000000}">
      <text>
        <r>
          <rPr>
            <sz val="12"/>
            <rFont val="宋体"/>
            <family val="3"/>
            <charset val="134"/>
          </rPr>
          <t>手工填写</t>
        </r>
      </text>
    </comment>
    <comment ref="D175" authorId="0" shapeId="0" xr:uid="{00000000-0006-0000-0200-0000A4000000}">
      <text>
        <r>
          <rPr>
            <sz val="12"/>
            <rFont val="宋体"/>
            <family val="3"/>
            <charset val="134"/>
          </rPr>
          <t>手工填写</t>
        </r>
      </text>
    </comment>
    <comment ref="D176" authorId="0" shapeId="0" xr:uid="{00000000-0006-0000-0200-0000A5000000}">
      <text>
        <r>
          <rPr>
            <sz val="12"/>
            <rFont val="宋体"/>
            <family val="3"/>
            <charset val="134"/>
          </rPr>
          <t>自动计算</t>
        </r>
      </text>
    </comment>
    <comment ref="D177" authorId="0" shapeId="0" xr:uid="{00000000-0006-0000-0200-0000A6000000}">
      <text>
        <r>
          <rPr>
            <sz val="12"/>
            <rFont val="宋体"/>
            <family val="3"/>
            <charset val="134"/>
          </rPr>
          <t>手工填写</t>
        </r>
      </text>
    </comment>
    <comment ref="D178" authorId="0" shapeId="0" xr:uid="{00000000-0006-0000-0200-0000A7000000}">
      <text>
        <r>
          <rPr>
            <sz val="12"/>
            <rFont val="宋体"/>
            <family val="3"/>
            <charset val="134"/>
          </rPr>
          <t>手工填写</t>
        </r>
      </text>
    </comment>
    <comment ref="D179" authorId="0" shapeId="0" xr:uid="{00000000-0006-0000-0200-0000A8000000}">
      <text>
        <r>
          <rPr>
            <sz val="12"/>
            <rFont val="宋体"/>
            <family val="3"/>
            <charset val="134"/>
          </rPr>
          <t>自动计算</t>
        </r>
      </text>
    </comment>
    <comment ref="D180" authorId="0" shapeId="0" xr:uid="{00000000-0006-0000-0200-0000A9000000}">
      <text>
        <r>
          <rPr>
            <sz val="12"/>
            <rFont val="宋体"/>
            <family val="3"/>
            <charset val="134"/>
          </rPr>
          <t>手工填写</t>
        </r>
      </text>
    </comment>
    <comment ref="D181" authorId="0" shapeId="0" xr:uid="{00000000-0006-0000-0200-0000AA000000}">
      <text>
        <r>
          <rPr>
            <sz val="12"/>
            <rFont val="宋体"/>
            <family val="3"/>
            <charset val="134"/>
          </rPr>
          <t>手工填写</t>
        </r>
      </text>
    </comment>
    <comment ref="D182" authorId="0" shapeId="0" xr:uid="{00000000-0006-0000-0200-0000AB000000}">
      <text>
        <r>
          <rPr>
            <sz val="12"/>
            <rFont val="宋体"/>
            <family val="3"/>
            <charset val="134"/>
          </rPr>
          <t>自动计算</t>
        </r>
      </text>
    </comment>
    <comment ref="D183" authorId="0" shapeId="0" xr:uid="{00000000-0006-0000-0200-0000AC000000}">
      <text>
        <r>
          <rPr>
            <sz val="12"/>
            <rFont val="宋体"/>
            <family val="3"/>
            <charset val="134"/>
          </rPr>
          <t>手工填写</t>
        </r>
      </text>
    </comment>
    <comment ref="D184" authorId="0" shapeId="0" xr:uid="{00000000-0006-0000-0200-0000AD000000}">
      <text>
        <r>
          <rPr>
            <sz val="12"/>
            <rFont val="宋体"/>
            <family val="3"/>
            <charset val="134"/>
          </rPr>
          <t>手工填写</t>
        </r>
      </text>
    </comment>
    <comment ref="D185" authorId="0" shapeId="0" xr:uid="{00000000-0006-0000-0200-0000AE000000}">
      <text>
        <r>
          <rPr>
            <sz val="12"/>
            <rFont val="宋体"/>
            <family val="3"/>
            <charset val="134"/>
          </rPr>
          <t>自动计算</t>
        </r>
      </text>
    </comment>
    <comment ref="D186" authorId="0" shapeId="0" xr:uid="{00000000-0006-0000-0200-0000AF000000}">
      <text>
        <r>
          <rPr>
            <sz val="12"/>
            <rFont val="宋体"/>
            <family val="3"/>
            <charset val="134"/>
          </rPr>
          <t>手工填写</t>
        </r>
      </text>
    </comment>
    <comment ref="D187" authorId="0" shapeId="0" xr:uid="{00000000-0006-0000-0200-0000B0000000}">
      <text>
        <r>
          <rPr>
            <sz val="12"/>
            <rFont val="宋体"/>
            <family val="3"/>
            <charset val="134"/>
          </rPr>
          <t>手工填写</t>
        </r>
      </text>
    </comment>
    <comment ref="D188" authorId="0" shapeId="0" xr:uid="{00000000-0006-0000-0200-0000B1000000}">
      <text>
        <r>
          <rPr>
            <sz val="12"/>
            <rFont val="宋体"/>
            <family val="3"/>
            <charset val="134"/>
          </rPr>
          <t>自动计算</t>
        </r>
      </text>
    </comment>
    <comment ref="D190" authorId="0" shapeId="0" xr:uid="{00000000-0006-0000-0200-0000B2000000}">
      <text>
        <r>
          <rPr>
            <sz val="12"/>
            <rFont val="宋体"/>
            <family val="3"/>
            <charset val="134"/>
          </rPr>
          <t>手工填写</t>
        </r>
      </text>
    </comment>
    <comment ref="D191" authorId="0" shapeId="0" xr:uid="{00000000-0006-0000-0200-0000B3000000}">
      <text>
        <r>
          <rPr>
            <sz val="12"/>
            <rFont val="宋体"/>
            <family val="3"/>
            <charset val="134"/>
          </rPr>
          <t>手工填写</t>
        </r>
      </text>
    </comment>
    <comment ref="D192" authorId="0" shapeId="0" xr:uid="{00000000-0006-0000-0200-0000B4000000}">
      <text>
        <r>
          <rPr>
            <sz val="12"/>
            <rFont val="宋体"/>
            <family val="3"/>
            <charset val="134"/>
          </rPr>
          <t>自动计算</t>
        </r>
      </text>
    </comment>
    <comment ref="D193" authorId="0" shapeId="0" xr:uid="{00000000-0006-0000-0200-0000B5000000}">
      <text>
        <r>
          <rPr>
            <sz val="12"/>
            <rFont val="宋体"/>
            <family val="3"/>
            <charset val="134"/>
          </rPr>
          <t>手工填写</t>
        </r>
      </text>
    </comment>
    <comment ref="D194" authorId="0" shapeId="0" xr:uid="{00000000-0006-0000-0200-0000B6000000}">
      <text>
        <r>
          <rPr>
            <sz val="12"/>
            <rFont val="宋体"/>
            <family val="3"/>
            <charset val="134"/>
          </rPr>
          <t>手工填写</t>
        </r>
      </text>
    </comment>
    <comment ref="D195" authorId="0" shapeId="0" xr:uid="{00000000-0006-0000-0200-0000B7000000}">
      <text>
        <r>
          <rPr>
            <sz val="12"/>
            <rFont val="宋体"/>
            <family val="3"/>
            <charset val="134"/>
          </rPr>
          <t>自动计算</t>
        </r>
      </text>
    </comment>
    <comment ref="D196" authorId="0" shapeId="0" xr:uid="{00000000-0006-0000-0200-0000B8000000}">
      <text>
        <r>
          <rPr>
            <sz val="12"/>
            <rFont val="宋体"/>
            <family val="3"/>
            <charset val="134"/>
          </rPr>
          <t>手工填写</t>
        </r>
      </text>
    </comment>
    <comment ref="D197" authorId="0" shapeId="0" xr:uid="{00000000-0006-0000-0200-0000B9000000}">
      <text>
        <r>
          <rPr>
            <sz val="12"/>
            <rFont val="宋体"/>
            <family val="3"/>
            <charset val="134"/>
          </rPr>
          <t>手工填写</t>
        </r>
      </text>
    </comment>
    <comment ref="D198" authorId="0" shapeId="0" xr:uid="{00000000-0006-0000-0200-0000BA000000}">
      <text>
        <r>
          <rPr>
            <sz val="12"/>
            <rFont val="宋体"/>
            <family val="3"/>
            <charset val="134"/>
          </rPr>
          <t>自动计算</t>
        </r>
      </text>
    </comment>
    <comment ref="D199" authorId="0" shapeId="0" xr:uid="{00000000-0006-0000-0200-0000BB000000}">
      <text>
        <r>
          <rPr>
            <sz val="12"/>
            <rFont val="宋体"/>
            <family val="3"/>
            <charset val="134"/>
          </rPr>
          <t>手工填写</t>
        </r>
      </text>
    </comment>
    <comment ref="D200" authorId="0" shapeId="0" xr:uid="{00000000-0006-0000-0200-0000BC000000}">
      <text>
        <r>
          <rPr>
            <sz val="12"/>
            <rFont val="宋体"/>
            <family val="3"/>
            <charset val="134"/>
          </rPr>
          <t>手工填写</t>
        </r>
      </text>
    </comment>
    <comment ref="D201" authorId="0" shapeId="0" xr:uid="{00000000-0006-0000-0200-0000BD000000}">
      <text>
        <r>
          <rPr>
            <sz val="12"/>
            <rFont val="宋体"/>
            <family val="3"/>
            <charset val="134"/>
          </rPr>
          <t>自动计算</t>
        </r>
      </text>
    </comment>
    <comment ref="D202" authorId="0" shapeId="0" xr:uid="{00000000-0006-0000-0200-0000BE000000}">
      <text>
        <r>
          <rPr>
            <sz val="12"/>
            <rFont val="宋体"/>
            <family val="3"/>
            <charset val="134"/>
          </rPr>
          <t>手工填写</t>
        </r>
      </text>
    </comment>
    <comment ref="D203" authorId="0" shapeId="0" xr:uid="{00000000-0006-0000-0200-0000BF000000}">
      <text>
        <r>
          <rPr>
            <sz val="12"/>
            <rFont val="宋体"/>
            <family val="3"/>
            <charset val="134"/>
          </rPr>
          <t>手工填写</t>
        </r>
      </text>
    </comment>
    <comment ref="D204" authorId="0" shapeId="0" xr:uid="{00000000-0006-0000-0200-0000C0000000}">
      <text>
        <r>
          <rPr>
            <sz val="12"/>
            <rFont val="宋体"/>
            <family val="3"/>
            <charset val="134"/>
          </rPr>
          <t>自动计算</t>
        </r>
      </text>
    </comment>
    <comment ref="D205" authorId="0" shapeId="0" xr:uid="{00000000-0006-0000-0200-0000C1000000}">
      <text>
        <r>
          <rPr>
            <sz val="12"/>
            <rFont val="宋体"/>
            <family val="3"/>
            <charset val="134"/>
          </rPr>
          <t>手工填写</t>
        </r>
      </text>
    </comment>
    <comment ref="D206" authorId="0" shapeId="0" xr:uid="{00000000-0006-0000-0200-0000C2000000}">
      <text>
        <r>
          <rPr>
            <sz val="12"/>
            <rFont val="宋体"/>
            <family val="3"/>
            <charset val="134"/>
          </rPr>
          <t>手工填写</t>
        </r>
      </text>
    </comment>
    <comment ref="D207" authorId="0" shapeId="0" xr:uid="{00000000-0006-0000-0200-0000C3000000}">
      <text>
        <r>
          <rPr>
            <sz val="12"/>
            <rFont val="宋体"/>
            <family val="3"/>
            <charset val="134"/>
          </rPr>
          <t>自动计算</t>
        </r>
      </text>
    </comment>
    <comment ref="D208" authorId="0" shapeId="0" xr:uid="{00000000-0006-0000-0200-0000C4000000}">
      <text>
        <r>
          <rPr>
            <sz val="12"/>
            <rFont val="宋体"/>
            <family val="3"/>
            <charset val="134"/>
          </rPr>
          <t>手工填写</t>
        </r>
      </text>
    </comment>
    <comment ref="D209" authorId="0" shapeId="0" xr:uid="{00000000-0006-0000-0200-0000C5000000}">
      <text>
        <r>
          <rPr>
            <sz val="12"/>
            <rFont val="宋体"/>
            <family val="3"/>
            <charset val="134"/>
          </rPr>
          <t>手工填写</t>
        </r>
      </text>
    </comment>
    <comment ref="D210" authorId="0" shapeId="0" xr:uid="{00000000-0006-0000-0200-0000C6000000}">
      <text>
        <r>
          <rPr>
            <sz val="12"/>
            <rFont val="宋体"/>
            <family val="3"/>
            <charset val="134"/>
          </rPr>
          <t>自动计算</t>
        </r>
      </text>
    </comment>
    <comment ref="D211" authorId="0" shapeId="0" xr:uid="{00000000-0006-0000-0200-0000C7000000}">
      <text>
        <r>
          <rPr>
            <sz val="12"/>
            <rFont val="宋体"/>
            <family val="3"/>
            <charset val="134"/>
          </rPr>
          <t>手工填写</t>
        </r>
      </text>
    </comment>
    <comment ref="D212" authorId="0" shapeId="0" xr:uid="{00000000-0006-0000-0200-0000C8000000}">
      <text>
        <r>
          <rPr>
            <sz val="12"/>
            <rFont val="宋体"/>
            <family val="3"/>
            <charset val="134"/>
          </rPr>
          <t>手工填写</t>
        </r>
      </text>
    </comment>
    <comment ref="D213" authorId="0" shapeId="0" xr:uid="{00000000-0006-0000-0200-0000C9000000}">
      <text>
        <r>
          <rPr>
            <sz val="12"/>
            <rFont val="宋体"/>
            <family val="3"/>
            <charset val="134"/>
          </rPr>
          <t>自动计算</t>
        </r>
      </text>
    </comment>
    <comment ref="D215" authorId="0" shapeId="0" xr:uid="{00000000-0006-0000-0200-0000CA000000}">
      <text>
        <r>
          <rPr>
            <sz val="12"/>
            <rFont val="宋体"/>
            <family val="3"/>
            <charset val="134"/>
          </rPr>
          <t>手工填写</t>
        </r>
      </text>
    </comment>
    <comment ref="D216" authorId="0" shapeId="0" xr:uid="{00000000-0006-0000-0200-0000CB000000}">
      <text>
        <r>
          <rPr>
            <sz val="12"/>
            <rFont val="宋体"/>
            <family val="3"/>
            <charset val="134"/>
          </rPr>
          <t>手工填写</t>
        </r>
      </text>
    </comment>
    <comment ref="D217" authorId="0" shapeId="0" xr:uid="{00000000-0006-0000-0200-0000CC000000}">
      <text>
        <r>
          <rPr>
            <sz val="12"/>
            <rFont val="宋体"/>
            <family val="3"/>
            <charset val="134"/>
          </rPr>
          <t>自动计算</t>
        </r>
      </text>
    </comment>
    <comment ref="D218" authorId="0" shapeId="0" xr:uid="{00000000-0006-0000-0200-0000CD000000}">
      <text>
        <r>
          <rPr>
            <sz val="12"/>
            <rFont val="宋体"/>
            <family val="3"/>
            <charset val="134"/>
          </rPr>
          <t>手工填写</t>
        </r>
      </text>
    </comment>
    <comment ref="D219" authorId="0" shapeId="0" xr:uid="{00000000-0006-0000-0200-0000CE000000}">
      <text>
        <r>
          <rPr>
            <sz val="12"/>
            <rFont val="宋体"/>
            <family val="3"/>
            <charset val="134"/>
          </rPr>
          <t>手工填写</t>
        </r>
      </text>
    </comment>
    <comment ref="D220" authorId="0" shapeId="0" xr:uid="{00000000-0006-0000-0200-0000CF000000}">
      <text>
        <r>
          <rPr>
            <sz val="12"/>
            <rFont val="宋体"/>
            <family val="3"/>
            <charset val="134"/>
          </rPr>
          <t>自动计算</t>
        </r>
      </text>
    </comment>
    <comment ref="D221" authorId="0" shapeId="0" xr:uid="{00000000-0006-0000-0200-0000D0000000}">
      <text>
        <r>
          <rPr>
            <sz val="12"/>
            <rFont val="宋体"/>
            <family val="3"/>
            <charset val="134"/>
          </rPr>
          <t>手工填写</t>
        </r>
      </text>
    </comment>
    <comment ref="D222" authorId="0" shapeId="0" xr:uid="{00000000-0006-0000-0200-0000D1000000}">
      <text>
        <r>
          <rPr>
            <sz val="12"/>
            <rFont val="宋体"/>
            <family val="3"/>
            <charset val="134"/>
          </rPr>
          <t>手工填写</t>
        </r>
      </text>
    </comment>
    <comment ref="D223" authorId="0" shapeId="0" xr:uid="{00000000-0006-0000-0200-0000D2000000}">
      <text>
        <r>
          <rPr>
            <sz val="12"/>
            <rFont val="宋体"/>
            <family val="3"/>
            <charset val="134"/>
          </rPr>
          <t>自动计算</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weiqianyun</author>
  </authors>
  <commentList>
    <comment ref="B4" authorId="0" shapeId="0" xr:uid="{00000000-0006-0000-0600-000001000000}">
      <text>
        <r>
          <rPr>
            <b/>
            <sz val="9"/>
            <rFont val="宋体"/>
            <family val="3"/>
            <charset val="134"/>
          </rPr>
          <t>weiqianyun:</t>
        </r>
        <r>
          <rPr>
            <sz val="9"/>
            <rFont val="宋体"/>
            <family val="3"/>
            <charset val="134"/>
          </rPr>
          <t xml:space="preserve">
模型保存时，设置检验关系，总投资各年折旧及摊销合计应与收入支出明细表中IT类投资不含税合计与CT类投资不含税合计相等</t>
        </r>
      </text>
    </comment>
  </commentList>
</comments>
</file>

<file path=xl/sharedStrings.xml><?xml version="1.0" encoding="utf-8"?>
<sst xmlns="http://schemas.openxmlformats.org/spreadsheetml/2006/main" count="1129" uniqueCount="303">
  <si>
    <t>模型说明（2023年8月）</t>
  </si>
  <si>
    <t>一、模型构成</t>
  </si>
  <si>
    <t>（一）ICT项目效益评估模型由“综合评估表”“收入支出明细表（基础数据表）”“收入支出明细表（含税）”“收入支出明细表（不含税）”“现金流量明细表”构成。</t>
  </si>
  <si>
    <r>
      <rPr>
        <sz val="11"/>
        <rFont val="宋体"/>
        <family val="3"/>
        <charset val="134"/>
        <scheme val="minor"/>
      </rPr>
      <t>（二）“综合评估表”是ICT项目综合效益的最终评估结果展示表，包括“基础信息表”“财务价值评估”与“业务价值评估”三部分。其中，“财务价值评估”的指标值从“收入支出明细表（基础数据表）”“收入支出明细表（含税）”“收入支出明细表（不含税）”“现金流量明细表”中直接运算提取，“业务价值评估”的指标值需要</t>
    </r>
    <r>
      <rPr>
        <b/>
        <sz val="11"/>
        <rFont val="宋体"/>
        <family val="3"/>
        <charset val="134"/>
        <scheme val="minor"/>
      </rPr>
      <t>手工填写</t>
    </r>
    <r>
      <rPr>
        <sz val="11"/>
        <rFont val="宋体"/>
        <family val="3"/>
        <charset val="134"/>
        <scheme val="minor"/>
      </rPr>
      <t>。</t>
    </r>
  </si>
  <si>
    <t>（三）“收入支出明细表（基础数据表）”：根据会计核算规范，填写预计入账的收入、支出数据，收入、付款进度即现金流入、流出情况，填写完成后，可自动生成“收入支出明细表（含税）”“收入支出明细表（不含税）”“现金流量表”三张表。</t>
  </si>
  <si>
    <t>（四）“收入支出明细表（基础数据表）”中含税收支与现金流入流出存在校验关系。其中含税收入合计应等于现金流入合计，含税支出合计应等于现金流出合计。</t>
  </si>
  <si>
    <t>二、适用范围</t>
  </si>
  <si>
    <t xml:space="preserve">  本模型既适用于“售前阶段”的项目价值前评估，也可用于“售中阶段”的项目效益过程评估及“售后阶段”的项目效益后评估。</t>
  </si>
  <si>
    <t>三、填表说明</t>
  </si>
  <si>
    <t>（一）在“收入支出明细表（基础数据表）”的黄色底纹“手工输入区”据实填写项目信息与原始测算数据，“收入支出明细表（含税）”“收入支出明细表（不含税）”“现金流量明细表”“综合评估表””将自动计算产出财务价值评价指标的结果。</t>
  </si>
  <si>
    <t>（二）在“综合评估表”的“业务价值评估”中填写业务价值评估指标的达成情况描述，产出完整的综合效益评估结果。</t>
  </si>
  <si>
    <t>（三）本模型财务指标值在某些特殊场景下可能无法计算，如有特殊情况，需结合项目实际情况进行手工调整。</t>
  </si>
  <si>
    <t>ICT项目综合评估表</t>
  </si>
  <si>
    <t>基础信息表</t>
  </si>
  <si>
    <t>项目名称</t>
  </si>
  <si>
    <t>项目承建单位</t>
  </si>
  <si>
    <t>项目需求单位</t>
  </si>
  <si>
    <t>项目模式（IT服务）</t>
  </si>
  <si>
    <r>
      <rPr>
        <b/>
        <sz val="14"/>
        <rFont val="微软雅黑"/>
        <family val="2"/>
        <charset val="134"/>
      </rPr>
      <t>项目模式（IT设备）</t>
    </r>
    <r>
      <rPr>
        <b/>
        <sz val="14"/>
        <color rgb="FFFF0000"/>
        <rFont val="微软雅黑"/>
        <family val="2"/>
        <charset val="134"/>
      </rPr>
      <t>（可多选）</t>
    </r>
  </si>
  <si>
    <r>
      <rPr>
        <b/>
        <sz val="14"/>
        <rFont val="微软雅黑"/>
        <family val="2"/>
        <charset val="134"/>
      </rPr>
      <t>资产权属</t>
    </r>
    <r>
      <rPr>
        <b/>
        <sz val="14"/>
        <color rgb="FFFF0000"/>
        <rFont val="微软雅黑"/>
        <family val="2"/>
        <charset val="134"/>
      </rPr>
      <t>（可多选）</t>
    </r>
  </si>
  <si>
    <t>合作年限</t>
  </si>
  <si>
    <t>是否涉及固定资产投资</t>
  </si>
  <si>
    <t>是否为续建项目</t>
  </si>
  <si>
    <t>财务价值评估表</t>
  </si>
  <si>
    <t>评价指标</t>
  </si>
  <si>
    <t>指标值</t>
  </si>
  <si>
    <t>指标类型</t>
  </si>
  <si>
    <t>指标说明</t>
  </si>
  <si>
    <t>参考值</t>
  </si>
  <si>
    <t>净现值</t>
  </si>
  <si>
    <t>基础指标</t>
  </si>
  <si>
    <t>净现值指建设期及生产期各年净现金流量现值合计值，如果净现值为正，说明投资报酬率大于资本成本，该项目可以增加企业价值，反之则可能降低企业价值。</t>
  </si>
  <si>
    <t>项目净现值要求应大于0</t>
  </si>
  <si>
    <t>净现值率</t>
  </si>
  <si>
    <t>净现值率指项目净现值与原始投入现值的比率，等于累计净现值/项目总投入现值*100%，单位投资现值所能带来的财务净现，财务净现值率约高，表明投资的单位效率越高。</t>
  </si>
  <si>
    <t>项目财务净现值率要求应大于0</t>
  </si>
  <si>
    <t>内部收益率</t>
  </si>
  <si>
    <t>内部收益率又称内含报酬率，指资金流入现值总额与资金流出现值总额相等、净现值等于零时的折现率。如果内含报酬率高于资本成本，该项目可以为企业带来经济效益，反之则可能为企业带来亏损。</t>
  </si>
  <si>
    <t>项目内部收益率要求原则上不应低于8%</t>
  </si>
  <si>
    <t>第一层找0对应的年份减1</t>
  </si>
  <si>
    <t>第二层找（0对应的年份减1）对应的累计现值的绝对值</t>
  </si>
  <si>
    <t>第三层找0对应的当年的值</t>
  </si>
  <si>
    <t>公式</t>
  </si>
  <si>
    <t>动态回收期</t>
  </si>
  <si>
    <t>动态回收期指考虑资金的时间价值时收回初始投资所需的时间，回收年限越短，对项目而言越有利。
动态回收期=（累计净现金流量现值出现正值的年数-1）+上一年累计净现金流量现值的绝对值/出现正值年份净现金流量的现值。</t>
  </si>
  <si>
    <t>考虑资金时间价值时收回初始投资需要的时间。动态投资回收期应不高于5年（一般3年，且不超过项目合同期限）</t>
  </si>
  <si>
    <t>静态回收期</t>
  </si>
  <si>
    <t>静态回收期指不考虑资金的时间价值时收回初始投资所需的时间，回收年限越短，对项目而言越有利。
静态回收期=（累计净现金流量出现正值的年数-1）+上一年累计净现金流量的绝对值/出现正值年份净现金流量</t>
  </si>
  <si>
    <t>不考虑资金时间价值时收回初始投资需要的时间。静态投资回收期应不高于5年（一般3年，且不超过项目合同期限）</t>
  </si>
  <si>
    <t>项目整体毛利</t>
  </si>
  <si>
    <t>辅助指标</t>
  </si>
  <si>
    <t>利润指项目收入减去项目支出（含成本与投资）后的余额。</t>
  </si>
  <si>
    <t>结合实际情况和往年情况确定</t>
  </si>
  <si>
    <t>项目整体利润率</t>
  </si>
  <si>
    <t>利润指项目收入减去项目支出（含成本与投资）后的余额。利润率是指利润与项目收入的比率。利润率越高，说明项目的盈利能力强。</t>
  </si>
  <si>
    <t>IT部分毛利</t>
  </si>
  <si>
    <t>IT部分毛利指IT类项目收入减去IT类项目支出（含成本与投资）后的余额。</t>
  </si>
  <si>
    <t>IT部分利润率</t>
  </si>
  <si>
    <t>IT部分利润指IT类项目收入减去IT类项目支出（含成本与投资）后的余额。利润率是指利润与项目收入的比率。利润率越高，说明项目的盈利能力强。</t>
  </si>
  <si>
    <t>业务价值评估</t>
  </si>
  <si>
    <t>指标达成情况描述</t>
  </si>
  <si>
    <t>客户规模</t>
  </si>
  <si>
    <t>主要评价集团客户的级别，规模和影响力。</t>
  </si>
  <si>
    <t>标杆效应及对CT拉动效应分析</t>
  </si>
  <si>
    <t>主要考核项目对于行业的影响作用；对CT拉动的影响作用。</t>
  </si>
  <si>
    <t>政府重点建设项目</t>
  </si>
  <si>
    <t>主要考核政府对于项目的重视程度。</t>
  </si>
  <si>
    <t>项目可能涉及5G应用场景的复制</t>
  </si>
  <si>
    <t>主要评价项目是否涉及5G应用场景，能否复制已有的应用场景，并对5G应用场景有其他方面的扩展。</t>
  </si>
  <si>
    <t>对市场占有率的影响</t>
  </si>
  <si>
    <t>主要评价项目投资对于扩大市场占有率和影响力的带动作用。</t>
  </si>
  <si>
    <t>其他业务价值</t>
  </si>
  <si>
    <t>如有其他业务价值，可视需求增加，请自行补充。</t>
  </si>
  <si>
    <t>填写方式</t>
  </si>
  <si>
    <t>分年填写</t>
  </si>
  <si>
    <t>ICT项目收入支出（基础数据表）</t>
  </si>
  <si>
    <t>分类</t>
  </si>
  <si>
    <t>收入/支出具体内容</t>
  </si>
  <si>
    <t>增值税率</t>
  </si>
  <si>
    <t>金额（含税）</t>
  </si>
  <si>
    <t>期初</t>
  </si>
  <si>
    <t>第1年</t>
  </si>
  <si>
    <t>第2年</t>
  </si>
  <si>
    <t>第3年</t>
  </si>
  <si>
    <t>第4年</t>
  </si>
  <si>
    <t>第5年</t>
  </si>
  <si>
    <t>第6年</t>
  </si>
  <si>
    <t>第7年</t>
  </si>
  <si>
    <t>第8年</t>
  </si>
  <si>
    <t>第9年</t>
  </si>
  <si>
    <t>第10年</t>
  </si>
  <si>
    <t>...</t>
  </si>
  <si>
    <t>金额（不含税）</t>
  </si>
  <si>
    <t xml:space="preserve">第0年
</t>
  </si>
  <si>
    <t xml:space="preserve">第1年
</t>
  </si>
  <si>
    <t xml:space="preserve">第2年
</t>
  </si>
  <si>
    <t xml:space="preserve">第3年
</t>
  </si>
  <si>
    <t xml:space="preserve">第4年
</t>
  </si>
  <si>
    <t xml:space="preserve">第5年
</t>
  </si>
  <si>
    <t xml:space="preserve">第6年
</t>
  </si>
  <si>
    <t xml:space="preserve">第7年
</t>
  </si>
  <si>
    <t xml:space="preserve">第8年
</t>
  </si>
  <si>
    <t xml:space="preserve">第9年
</t>
  </si>
  <si>
    <t>收入</t>
  </si>
  <si>
    <t>项目收入合计</t>
  </si>
  <si>
    <t>收款进度-金额</t>
  </si>
  <si>
    <t>收款进度-比例</t>
  </si>
  <si>
    <t>IT类收入</t>
  </si>
  <si>
    <t>IT类收入合计</t>
  </si>
  <si>
    <t>1、通信及信息服务收入合计</t>
  </si>
  <si>
    <t>1-1 集成收入-信息服务</t>
  </si>
  <si>
    <t>根据客户的需求，将硬件、网络、数据库及相应的应用软件进行优化整合，提供全面系统解决方案而向客户收取的系统集成费，主要包括项目集成方案的咨询、设计、软硬件安装、通信工程服务、调测开通等项目实施服务费，为一次性费用。</t>
  </si>
  <si>
    <t>1-2 集成收入-安装服务</t>
  </si>
  <si>
    <t>1-3 维保收入-信息服务</t>
  </si>
  <si>
    <t>公司在ICT项目建成后，因提供后续维护保障服务而向客户收取的IT支撑服务、软硬件及系统支撑等支撑和维保费。</t>
  </si>
  <si>
    <t>1-4 维保收入-安装服务</t>
  </si>
  <si>
    <t>1-5 维保收入-设备及其他硬件维修服务</t>
  </si>
  <si>
    <t>2、商品销售收入</t>
  </si>
  <si>
    <t>销售ICT设备/终端/软件产生的收入。</t>
  </si>
  <si>
    <t>3、ICT设备/终端租赁收入</t>
  </si>
  <si>
    <t>出租ICT设备/终端产生的收入。</t>
  </si>
  <si>
    <t>4、ICT设备/终端转租收入</t>
  </si>
  <si>
    <t>转租ICT设备/终端产生的租赁收入。</t>
  </si>
  <si>
    <t>5、工程建设与服务收入</t>
  </si>
  <si>
    <t>公司作为代理人，提供工程代办服务收取的代办管理费等收入或作为主要责任人提供工程服务产生的收入。</t>
  </si>
  <si>
    <t xml:space="preserve">        ……</t>
  </si>
  <si>
    <t>除上述5项外的其他IT类收入，如有多个，可插行填写</t>
  </si>
  <si>
    <t>CT类收入</t>
  </si>
  <si>
    <t>CT类收入合计</t>
  </si>
  <si>
    <t>1、通信业务收入（基础电信服务）</t>
  </si>
  <si>
    <t>项目建成后客户使用语音、数据专线等基础电信业务产生的收入，根据业务实质确定税率，如涉及多项可加行填写。</t>
  </si>
  <si>
    <t xml:space="preserve">        语音</t>
  </si>
  <si>
    <t xml:space="preserve">        数据专线</t>
  </si>
  <si>
    <t xml:space="preserve">        IMS固话</t>
  </si>
  <si>
    <t xml:space="preserve">        语音专线</t>
  </si>
  <si>
    <t>2、通信业务收入（增值电信服务）</t>
  </si>
  <si>
    <t>项目建成后客户使用短彩信、互联网专线、云存储等增值电信业务等产生的收入，根据业务实质确定税率，如涉及多项可加行填写。</t>
  </si>
  <si>
    <t xml:space="preserve">        短信</t>
  </si>
  <si>
    <t xml:space="preserve">        数据流量</t>
  </si>
  <si>
    <t xml:space="preserve">        企业宽带</t>
  </si>
  <si>
    <t xml:space="preserve">        互联网专线</t>
  </si>
  <si>
    <t xml:space="preserve">        云计算</t>
  </si>
  <si>
    <t xml:space="preserve">        大数据</t>
  </si>
  <si>
    <t xml:space="preserve">        IDC</t>
  </si>
  <si>
    <t xml:space="preserve">        5G专网</t>
  </si>
  <si>
    <t xml:space="preserve">        物联网</t>
  </si>
  <si>
    <t xml:space="preserve">        和教育</t>
  </si>
  <si>
    <t>投资支出
（Capex）</t>
  </si>
  <si>
    <t>项目支出合计</t>
  </si>
  <si>
    <t>支出</t>
  </si>
  <si>
    <t>付款进度-金额</t>
  </si>
  <si>
    <t>付款进度-比例</t>
  </si>
  <si>
    <t>IT类投资</t>
  </si>
  <si>
    <t>IT类投资合计</t>
  </si>
  <si>
    <t>1、硬件设备类投资</t>
  </si>
  <si>
    <t>指项目建设完成后资产归属于我公司的平台设备采购投资。</t>
  </si>
  <si>
    <t>2、定制软件类投资</t>
  </si>
  <si>
    <t>指项目建设完成后资产归属于我公司的平台定制软件采购投资。</t>
  </si>
  <si>
    <t>3、 集成服务费-信息服务</t>
  </si>
  <si>
    <t>指资产归属于我公司的平台软硬件设备集成费用。</t>
  </si>
  <si>
    <t>4、 集成服务费-安装</t>
  </si>
  <si>
    <t>5、工程配套费</t>
  </si>
  <si>
    <t>指资产归属我公司的平台软硬件设备设所需的线缆、走线架等配套费用</t>
  </si>
  <si>
    <t>6、建安费用</t>
  </si>
  <si>
    <t>指资产归属我公司的平台软硬件设备建设安装工程费。</t>
  </si>
  <si>
    <t>除上述6项外的其他IT类投资，如有多个，可插行填写</t>
  </si>
  <si>
    <t>CT类投资</t>
  </si>
  <si>
    <t>CT类投资合计</t>
  </si>
  <si>
    <t>为带来CT收入所发生的CT类投资，如有多项可插行填写</t>
  </si>
  <si>
    <t>3、施工费用</t>
  </si>
  <si>
    <t>4、设计监理</t>
  </si>
  <si>
    <t>5、配套费用</t>
  </si>
  <si>
    <t>成本支出
（Opex）</t>
  </si>
  <si>
    <t>IT类成本</t>
  </si>
  <si>
    <t>IT类成本合计</t>
  </si>
  <si>
    <t>1、通信及信息服务成本合计</t>
  </si>
  <si>
    <t>1-1集成费-信息服务</t>
  </si>
  <si>
    <t>根据客户的需求，将硬件、网络、数据库及相应的应用软件进行优化整合，提供全面系统解决方案而产生的各项成本。主要包括项目集成方案的咨询、设计、软硬件安装等项目实施的服务成本。进一步细分为“信息技术服务费”、“安装服务费”。</t>
  </si>
  <si>
    <t>1-2集成费-安装服务</t>
  </si>
  <si>
    <t>1-3维保费-信息服务</t>
  </si>
  <si>
    <t>公司在ICT项目建成后，因提供后续维护保障服务而产生的各项成本，主要包括IT支撑服务、软硬件及系统支撑等支撑和维保费。</t>
  </si>
  <si>
    <t>1-4维保费-安装服务</t>
  </si>
  <si>
    <t>1-5维保费-设备及其他硬件维修服务</t>
  </si>
  <si>
    <t>销售ICT设备/终端/软件产生的成本。</t>
  </si>
  <si>
    <t>2、商品销售成本</t>
  </si>
  <si>
    <t>3、ICT设备/终端租赁成本</t>
  </si>
  <si>
    <t>出租自有ICT设备及终端发生的成本费用</t>
  </si>
  <si>
    <t>4、ICT设备/终端转租成本</t>
  </si>
  <si>
    <t>转租自有ICT设备及终端发生的成本费用</t>
  </si>
  <si>
    <t>除上述4项外的其他IT类成本，如有多个，可插行填写</t>
  </si>
  <si>
    <t>CT类成本</t>
  </si>
  <si>
    <t>CT类成本合计</t>
  </si>
  <si>
    <t>ICT项目为带来CT收入所花费的其他成本，包括需要对外结算的云资源成本、IDC成本、行业应用资源成本（如和教育、和医疗等）；根据业务实质确定税率，如涉及多项可加行填写。</t>
  </si>
  <si>
    <t>1、业务技术支撑成本</t>
  </si>
  <si>
    <t>2、网络设备成本</t>
  </si>
  <si>
    <t>3、网络终端成本</t>
  </si>
  <si>
    <t>4、网络施工成本</t>
  </si>
  <si>
    <t>5、网络维护成本</t>
  </si>
  <si>
    <t>综合类成本</t>
  </si>
  <si>
    <t>综合类成本合计</t>
  </si>
  <si>
    <t>1、销售费用</t>
  </si>
  <si>
    <t>ICT项目直接相关的营销宣传支出，如项目广告宣传费、展览费、社会渠道酬金、客户服务费、促销费、营销咨询费等。</t>
  </si>
  <si>
    <t>1-1 社会渠道酬金</t>
  </si>
  <si>
    <t>1-2 其他销售费用</t>
  </si>
  <si>
    <t>2、管理费用</t>
  </si>
  <si>
    <t>项目直接相关的维修费、管理咨询费、招投标服务费、标书制作费、工本费等。可根据业务实质确定税率，如涉及多项可加行填写。</t>
  </si>
  <si>
    <t>2-1 招投标服务费及标书制作费</t>
  </si>
  <si>
    <t>2-2 其他管理费用</t>
  </si>
  <si>
    <t>3、研发费用</t>
  </si>
  <si>
    <t>ICT项目直接相关的研发费用，包括通过外包、合作研发等方式，委托其他单位、个人或者与之合作进行研发而支付的费用，以及其他与研发相关的测试、流量费、技术图书资料费、资料翻译费等费用。</t>
  </si>
  <si>
    <t>除上述3项外的其他综合类成本，如有多个，可插行填写</t>
  </si>
  <si>
    <t>非本项目新增支出成本分摊</t>
  </si>
  <si>
    <t>合计</t>
  </si>
  <si>
    <t>1、IT收入所对应的相关成本分摊</t>
  </si>
  <si>
    <t>如项目占用较大的传输、无线和核心网资源，应考虑对上层网络资源分摊成本，可采用一定单价/比例、最低折扣价格等方式确定基础资源分摊成本。可根据项目实际情况和省内管理要求，与业务部门协商测算。可根据业务实质确定税率，如涉及多项可加行填写。</t>
  </si>
  <si>
    <t>2、CT收入所对应的基础网络资源的成本分摊</t>
  </si>
  <si>
    <t>对业务或产品相关平台的分摊成本，可采用一定单价/比例、最低折扣价格等方式确定分摊成本，可根据项目实际情况和省内管理要求，与业务部门协商测算。可根据业务实质确定税率，如涉及多项可加行填写。</t>
  </si>
  <si>
    <t>ICT项目收入支出（含税）</t>
  </si>
  <si>
    <t>ICT项目收入支出（不含税）</t>
  </si>
  <si>
    <t>参数</t>
  </si>
  <si>
    <t>月折现率</t>
  </si>
  <si>
    <t>所得税率</t>
  </si>
  <si>
    <t>值</t>
  </si>
  <si>
    <t>ICT项目现金流数据   (单位：元)</t>
  </si>
  <si>
    <t>…</t>
  </si>
  <si>
    <t>现金流入合计</t>
  </si>
  <si>
    <t>成本类现金流出</t>
  </si>
  <si>
    <t>投资类现金流出</t>
  </si>
  <si>
    <t>所得税支出</t>
  </si>
  <si>
    <t>现金流出合计</t>
  </si>
  <si>
    <t>净现金流量</t>
  </si>
  <si>
    <t>累计净现金流量</t>
  </si>
  <si>
    <t>相关现值指标计算表  （单位：元）</t>
  </si>
  <si>
    <t>现值指标</t>
  </si>
  <si>
    <t>第0年</t>
  </si>
  <si>
    <t>净现值累计为正年份</t>
  </si>
  <si>
    <t>净现流累计为正年份</t>
  </si>
  <si>
    <t>现金流入现值</t>
  </si>
  <si>
    <t>现金流出现值</t>
  </si>
  <si>
    <t>净现金流量现值</t>
  </si>
  <si>
    <t>累计净现金流量现值</t>
  </si>
  <si>
    <t>投资类现金流出现值</t>
  </si>
  <si>
    <t>累计总投资现金流出现值</t>
  </si>
  <si>
    <t>成本类现金流出现值</t>
  </si>
  <si>
    <t>累计总成本现金流出现值</t>
  </si>
  <si>
    <t>所得税支出计算表 （单位：元）</t>
  </si>
  <si>
    <t>数据类型</t>
  </si>
  <si>
    <t>项目成本合计</t>
  </si>
  <si>
    <t>利润总额</t>
  </si>
  <si>
    <t>折旧及摊销辅助测算表</t>
  </si>
  <si>
    <t>手工输入区</t>
  </si>
  <si>
    <t>参考中国移动固定资产目录，平台类设备折旧年限为5年，传输网设备7年，光缆管道10年，软件类2-5年</t>
  </si>
  <si>
    <t>第11年</t>
  </si>
  <si>
    <t>第12年</t>
  </si>
  <si>
    <t>第13年</t>
  </si>
  <si>
    <t>第14年</t>
  </si>
  <si>
    <t>第15年</t>
  </si>
  <si>
    <t>第16年</t>
  </si>
  <si>
    <t>第17年</t>
  </si>
  <si>
    <t>第18年</t>
  </si>
  <si>
    <t>第19年</t>
  </si>
  <si>
    <t>折旧及摊销</t>
  </si>
  <si>
    <t>总投资各年折旧及摊销</t>
  </si>
  <si>
    <t>平台类设备投资累计折旧</t>
  </si>
  <si>
    <t>折旧年限</t>
  </si>
  <si>
    <t>当年转资月份</t>
  </si>
  <si>
    <t>各年平台类设备转资规模</t>
  </si>
  <si>
    <t>第一年投资在各年的折旧</t>
  </si>
  <si>
    <t>第二年投资在各年的折旧</t>
  </si>
  <si>
    <t>第三年投资在各年的折旧</t>
  </si>
  <si>
    <t>第四年投资在各年的折旧</t>
  </si>
  <si>
    <t>第五年投资在各年的折旧</t>
  </si>
  <si>
    <t>第六年投资在各年的折旧</t>
  </si>
  <si>
    <t>第七年投资在各年的折旧</t>
  </si>
  <si>
    <t>第八年投资在各年的折旧</t>
  </si>
  <si>
    <t>第九年投资在各年的折旧</t>
  </si>
  <si>
    <t>第十年投资在各年的折旧</t>
  </si>
  <si>
    <t>第十一年投资在各年的折旧</t>
  </si>
  <si>
    <t>传输网设备投资累计折旧</t>
  </si>
  <si>
    <t>各年传输网设备转资规模</t>
  </si>
  <si>
    <t>光缆及管道类投资累计折旧</t>
  </si>
  <si>
    <t>各年光缆及管道转资规模</t>
  </si>
  <si>
    <t>软件类投资累计摊销</t>
  </si>
  <si>
    <t>摊销年限</t>
  </si>
  <si>
    <t>各年软件类转资规模</t>
  </si>
  <si>
    <t>其他类投资累计折旧</t>
  </si>
  <si>
    <t>当年投产月份</t>
  </si>
  <si>
    <t>其他类投资规模</t>
  </si>
  <si>
    <t>校验：</t>
  </si>
  <si>
    <t>第一年</t>
  </si>
  <si>
    <t>第二年</t>
  </si>
  <si>
    <t>第三年</t>
  </si>
  <si>
    <t>第四年</t>
  </si>
  <si>
    <t>第五年</t>
  </si>
  <si>
    <t>第六年</t>
  </si>
  <si>
    <t>第七年</t>
  </si>
  <si>
    <t>第八年</t>
  </si>
  <si>
    <t>第九年</t>
  </si>
  <si>
    <t>第十年</t>
  </si>
  <si>
    <t>①《折旧及摊销辅助测算表》-各年各类设备转资规模各类投资规模</t>
  </si>
  <si>
    <t>②《数据明细表》的项目建设支出</t>
  </si>
  <si>
    <t>①-②核对</t>
  </si>
  <si>
    <t>校验备注：《折旧及摊销辅助测算表》-各年各类设备转资规模合计数等于《数据明细表》的项目建设支出合计数。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</si>
</sst>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3" formatCode="_ * #,##0.00_ ;_ * \-#,##0.00_ ;_ * &quot;-&quot;??_ ;_ @_ "/>
    <numFmt numFmtId="178" formatCode="0_);[Red]\(0\)"/>
    <numFmt numFmtId="179" formatCode="#,##0.0_ "/>
    <numFmt numFmtId="180" formatCode="0.0_ "/>
    <numFmt numFmtId="181" formatCode="0_ "/>
    <numFmt numFmtId="182" formatCode="0.0%"/>
    <numFmt numFmtId="183" formatCode="0.00_ "/>
    <numFmt numFmtId="184" formatCode="_ * #,##0_ ;_ * \-#,##0_ ;_ * &quot;-&quot;??_ ;_ @_ "/>
    <numFmt numFmtId="185" formatCode="_ * #,##0.0_ ;_ * \-#,##0.0_ ;_ * &quot;-&quot;??_ ;_ @_ "/>
    <numFmt numFmtId="186" formatCode="#,##0.00_ "/>
    <numFmt numFmtId="187" formatCode="\¥#,##0.00;[Red]\¥\-#,##0.00"/>
  </numFmts>
  <fonts count="46" x14ac:knownFonts="1">
    <font>
      <sz val="11"/>
      <color theme="1"/>
      <name val="宋体"/>
      <charset val="134"/>
      <scheme val="minor"/>
    </font>
    <font>
      <sz val="10"/>
      <color theme="1"/>
      <name val="微软雅黑"/>
      <family val="2"/>
      <charset val="134"/>
    </font>
    <font>
      <b/>
      <sz val="10"/>
      <color theme="1"/>
      <name val="微软雅黑"/>
      <family val="2"/>
      <charset val="134"/>
    </font>
    <font>
      <sz val="10"/>
      <name val="宋体"/>
      <family val="3"/>
      <charset val="134"/>
    </font>
    <font>
      <sz val="10"/>
      <color theme="1"/>
      <name val="宋体"/>
      <family val="3"/>
      <charset val="134"/>
      <scheme val="minor"/>
    </font>
    <font>
      <b/>
      <sz val="10"/>
      <color theme="1"/>
      <name val="宋体"/>
      <family val="3"/>
      <charset val="134"/>
      <scheme val="minor"/>
    </font>
    <font>
      <b/>
      <sz val="10"/>
      <name val="宋体"/>
      <family val="3"/>
      <charset val="134"/>
    </font>
    <font>
      <b/>
      <sz val="10"/>
      <name val="宋体"/>
      <family val="3"/>
      <charset val="134"/>
      <scheme val="minor"/>
    </font>
    <font>
      <b/>
      <sz val="10"/>
      <color indexed="8"/>
      <name val="宋体"/>
      <family val="3"/>
      <charset val="134"/>
      <scheme val="minor"/>
    </font>
    <font>
      <sz val="10"/>
      <color indexed="8"/>
      <name val="宋体"/>
      <family val="3"/>
      <charset val="134"/>
      <scheme val="minor"/>
    </font>
    <font>
      <b/>
      <sz val="11"/>
      <color theme="1"/>
      <name val="微软雅黑"/>
      <family val="2"/>
      <charset val="134"/>
    </font>
    <font>
      <sz val="11"/>
      <color theme="1"/>
      <name val="微软雅黑"/>
      <family val="2"/>
      <charset val="134"/>
    </font>
    <font>
      <sz val="11"/>
      <name val="微软雅黑"/>
      <family val="2"/>
      <charset val="134"/>
    </font>
    <font>
      <b/>
      <sz val="10"/>
      <color indexed="8"/>
      <name val="微软雅黑"/>
      <family val="2"/>
      <charset val="134"/>
    </font>
    <font>
      <sz val="10"/>
      <color indexed="8"/>
      <name val="微软雅黑"/>
      <family val="2"/>
      <charset val="134"/>
    </font>
    <font>
      <sz val="10"/>
      <name val="微软雅黑"/>
      <family val="2"/>
      <charset val="134"/>
    </font>
    <font>
      <b/>
      <sz val="12"/>
      <color indexed="8"/>
      <name val="微软雅黑"/>
      <family val="2"/>
      <charset val="134"/>
    </font>
    <font>
      <b/>
      <sz val="12"/>
      <color theme="1"/>
      <name val="微软雅黑"/>
      <family val="2"/>
      <charset val="134"/>
    </font>
    <font>
      <b/>
      <sz val="10"/>
      <name val="微软雅黑"/>
      <family val="2"/>
      <charset val="134"/>
    </font>
    <font>
      <sz val="10"/>
      <color rgb="FFD7E4BC"/>
      <name val="微软雅黑"/>
      <family val="2"/>
      <charset val="134"/>
    </font>
    <font>
      <sz val="10"/>
      <color theme="3" tint="0.79998168889431442"/>
      <name val="微软雅黑"/>
      <family val="2"/>
      <charset val="134"/>
    </font>
    <font>
      <sz val="14"/>
      <name val="微软雅黑"/>
      <family val="2"/>
      <charset val="134"/>
    </font>
    <font>
      <b/>
      <sz val="14"/>
      <color theme="1"/>
      <name val="微软雅黑"/>
      <family val="2"/>
      <charset val="134"/>
    </font>
    <font>
      <sz val="14"/>
      <color theme="1"/>
      <name val="微软雅黑"/>
      <family val="2"/>
      <charset val="134"/>
    </font>
    <font>
      <b/>
      <sz val="20"/>
      <name val="微软雅黑"/>
      <family val="2"/>
      <charset val="134"/>
    </font>
    <font>
      <b/>
      <sz val="14"/>
      <name val="微软雅黑"/>
      <family val="2"/>
      <charset val="134"/>
    </font>
    <font>
      <b/>
      <sz val="18"/>
      <color indexed="8"/>
      <name val="微软雅黑"/>
      <family val="2"/>
      <charset val="134"/>
    </font>
    <font>
      <sz val="12"/>
      <name val="微软雅黑"/>
      <family val="2"/>
      <charset val="134"/>
    </font>
    <font>
      <sz val="14"/>
      <color indexed="8"/>
      <name val="微软雅黑"/>
      <family val="2"/>
      <charset val="134"/>
    </font>
    <font>
      <b/>
      <sz val="14"/>
      <color theme="1"/>
      <name val="黑体"/>
      <family val="3"/>
      <charset val="134"/>
    </font>
    <font>
      <b/>
      <sz val="11"/>
      <name val="微软雅黑"/>
      <family val="2"/>
      <charset val="134"/>
    </font>
    <font>
      <sz val="11"/>
      <name val="宋体"/>
      <family val="3"/>
      <charset val="134"/>
      <scheme val="minor"/>
    </font>
    <font>
      <b/>
      <sz val="12"/>
      <name val="微软雅黑"/>
      <family val="2"/>
      <charset val="134"/>
    </font>
    <font>
      <sz val="12"/>
      <name val="Times New Roman"/>
      <family val="1"/>
    </font>
    <font>
      <sz val="12"/>
      <name val="宋体"/>
      <family val="3"/>
      <charset val="134"/>
    </font>
    <font>
      <sz val="10"/>
      <name val="Arial"/>
      <family val="2"/>
    </font>
    <font>
      <sz val="10"/>
      <color theme="1"/>
      <name val="Arial"/>
      <family val="2"/>
    </font>
    <font>
      <u/>
      <sz val="9"/>
      <color indexed="12"/>
      <name val="Arial"/>
      <family val="2"/>
    </font>
    <font>
      <u/>
      <sz val="10"/>
      <color indexed="12"/>
      <name val="Arial"/>
      <family val="2"/>
    </font>
    <font>
      <sz val="12"/>
      <color theme="1"/>
      <name val="宋体"/>
      <family val="3"/>
      <charset val="134"/>
      <scheme val="minor"/>
    </font>
    <font>
      <b/>
      <sz val="14"/>
      <color rgb="FFFF0000"/>
      <name val="微软雅黑"/>
      <family val="2"/>
      <charset val="134"/>
    </font>
    <font>
      <b/>
      <sz val="11"/>
      <name val="宋体"/>
      <family val="3"/>
      <charset val="134"/>
      <scheme val="minor"/>
    </font>
    <font>
      <sz val="9"/>
      <name val="宋体"/>
      <family val="3"/>
      <charset val="134"/>
    </font>
    <font>
      <b/>
      <sz val="9"/>
      <name val="宋体"/>
      <family val="3"/>
      <charset val="134"/>
    </font>
    <font>
      <sz val="11"/>
      <color theme="1"/>
      <name val="宋体"/>
      <family val="3"/>
      <charset val="134"/>
      <scheme val="minor"/>
    </font>
    <font>
      <sz val="9"/>
      <name val="宋体"/>
      <family val="3"/>
      <charset val="134"/>
      <scheme val="minor"/>
    </font>
  </fonts>
  <fills count="15">
    <fill>
      <patternFill patternType="none"/>
    </fill>
    <fill>
      <patternFill patternType="gray125"/>
    </fill>
    <fill>
      <patternFill patternType="solid">
        <fgColor rgb="FFFFFF99"/>
        <bgColor indexed="64"/>
      </patternFill>
    </fill>
    <fill>
      <patternFill patternType="solid">
        <fgColor theme="4" tint="0.79982909634693444"/>
        <bgColor indexed="64"/>
      </patternFill>
    </fill>
    <fill>
      <patternFill patternType="solid">
        <fgColor theme="0" tint="-0.1498764000366222"/>
        <bgColor indexed="64"/>
      </patternFill>
    </fill>
    <fill>
      <patternFill patternType="solid">
        <fgColor theme="0" tint="-4.9989318521683403E-2"/>
        <bgColor indexed="64"/>
      </patternFill>
    </fill>
    <fill>
      <patternFill patternType="solid">
        <fgColor theme="0" tint="-0.1498458815271462"/>
        <bgColor indexed="64"/>
      </patternFill>
    </fill>
    <fill>
      <patternFill patternType="solid">
        <fgColor theme="0"/>
        <bgColor indexed="64"/>
      </patternFill>
    </fill>
    <fill>
      <patternFill patternType="solid">
        <fgColor theme="3" tint="0.79998168889431442"/>
        <bgColor indexed="64"/>
      </patternFill>
    </fill>
    <fill>
      <patternFill patternType="solid">
        <fgColor theme="3" tint="0.79985961485641044"/>
        <bgColor indexed="64"/>
      </patternFill>
    </fill>
    <fill>
      <patternFill patternType="solid">
        <fgColor theme="3" tint="0.79992065187536243"/>
        <bgColor indexed="64"/>
      </patternFill>
    </fill>
    <fill>
      <patternFill patternType="solid">
        <fgColor theme="8" tint="0.59999389629810485"/>
        <bgColor indexed="64"/>
      </patternFill>
    </fill>
    <fill>
      <patternFill patternType="solid">
        <fgColor theme="3" tint="0.79989013336588644"/>
        <bgColor indexed="64"/>
      </patternFill>
    </fill>
    <fill>
      <patternFill patternType="solid">
        <fgColor theme="0"/>
        <bgColor rgb="FF000000"/>
      </patternFill>
    </fill>
    <fill>
      <patternFill patternType="solid">
        <fgColor rgb="FFFFFF00"/>
        <bgColor indexed="64"/>
      </patternFill>
    </fill>
  </fills>
  <borders count="35">
    <border>
      <left/>
      <right/>
      <top/>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style="thin">
        <color auto="1"/>
      </bottom>
      <diagonal/>
    </border>
    <border>
      <left/>
      <right style="medium">
        <color auto="1"/>
      </right>
      <top/>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s>
  <cellStyleXfs count="20">
    <xf numFmtId="0" fontId="0" fillId="0" borderId="0">
      <alignment vertical="center"/>
    </xf>
    <xf numFmtId="43" fontId="44" fillId="0" borderId="0" applyFont="0" applyFill="0" applyBorder="0" applyAlignment="0" applyProtection="0">
      <alignment vertical="center"/>
    </xf>
    <xf numFmtId="0" fontId="33" fillId="0" borderId="0"/>
    <xf numFmtId="9" fontId="44" fillId="0" borderId="0" applyFont="0" applyFill="0" applyBorder="0" applyAlignment="0" applyProtection="0">
      <alignment vertical="center"/>
    </xf>
    <xf numFmtId="43" fontId="34" fillId="0" borderId="0" applyFont="0" applyFill="0" applyBorder="0" applyAlignment="0" applyProtection="0">
      <alignment vertical="center"/>
    </xf>
    <xf numFmtId="0" fontId="35" fillId="0" borderId="0"/>
    <xf numFmtId="0" fontId="44" fillId="0" borderId="0">
      <alignment vertical="center"/>
    </xf>
    <xf numFmtId="0" fontId="44" fillId="0" borderId="0">
      <alignment vertical="center"/>
    </xf>
    <xf numFmtId="0" fontId="36" fillId="0" borderId="0"/>
    <xf numFmtId="0" fontId="37" fillId="0" borderId="0" applyNumberFormat="0" applyFill="0" applyBorder="0" applyAlignment="0" applyProtection="0">
      <alignment vertical="top"/>
      <protection locked="0"/>
    </xf>
    <xf numFmtId="0" fontId="35" fillId="0" borderId="0"/>
    <xf numFmtId="0" fontId="38" fillId="0" borderId="0" applyNumberFormat="0" applyFill="0" applyBorder="0" applyAlignment="0" applyProtection="0">
      <alignment vertical="top"/>
      <protection locked="0"/>
    </xf>
    <xf numFmtId="0" fontId="44" fillId="0" borderId="0">
      <alignment vertical="center"/>
    </xf>
    <xf numFmtId="0" fontId="44" fillId="0" borderId="0">
      <alignment vertical="center"/>
    </xf>
    <xf numFmtId="0" fontId="44" fillId="0" borderId="0">
      <alignment vertical="center"/>
    </xf>
    <xf numFmtId="0" fontId="34" fillId="0" borderId="0"/>
    <xf numFmtId="0" fontId="34" fillId="0" borderId="0"/>
    <xf numFmtId="0" fontId="34" fillId="0" borderId="0">
      <alignment vertical="center"/>
    </xf>
    <xf numFmtId="0" fontId="39" fillId="0" borderId="0">
      <alignment vertical="center"/>
    </xf>
    <xf numFmtId="0" fontId="36" fillId="0" borderId="0"/>
  </cellStyleXfs>
  <cellXfs count="306">
    <xf numFmtId="0" fontId="0" fillId="0" borderId="0" xfId="0">
      <alignment vertical="center"/>
    </xf>
    <xf numFmtId="0" fontId="1" fillId="0" borderId="0" xfId="0" applyFont="1" applyAlignment="1">
      <alignment horizontal="center" vertical="center" wrapText="1"/>
    </xf>
    <xf numFmtId="179"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5" fillId="0" borderId="5" xfId="0" applyFont="1" applyBorder="1" applyAlignment="1" applyProtection="1">
      <alignment horizontal="center" vertical="center" wrapText="1"/>
      <protection locked="0"/>
    </xf>
    <xf numFmtId="0" fontId="7" fillId="4" borderId="7" xfId="17" applyFont="1" applyFill="1" applyBorder="1" applyAlignment="1">
      <alignment horizontal="left" vertical="center" wrapText="1"/>
    </xf>
    <xf numFmtId="178" fontId="5" fillId="4" borderId="8" xfId="3" applyNumberFormat="1" applyFont="1" applyFill="1" applyBorder="1" applyAlignment="1">
      <alignment horizontal="center" vertical="center" wrapText="1"/>
    </xf>
    <xf numFmtId="180" fontId="8" fillId="4" borderId="8" xfId="0" applyNumberFormat="1" applyFont="1" applyFill="1" applyBorder="1" applyAlignment="1" applyProtection="1">
      <alignment horizontal="right" vertical="center" wrapText="1"/>
      <protection locked="0"/>
    </xf>
    <xf numFmtId="0" fontId="4" fillId="0" borderId="0" xfId="0" applyFont="1">
      <alignment vertical="center"/>
    </xf>
    <xf numFmtId="0" fontId="7" fillId="5" borderId="3" xfId="17" applyFont="1" applyFill="1" applyBorder="1" applyAlignment="1">
      <alignment horizontal="left" vertical="center" wrapText="1"/>
    </xf>
    <xf numFmtId="178" fontId="5" fillId="6" borderId="10" xfId="3" applyNumberFormat="1" applyFont="1" applyFill="1" applyBorder="1" applyAlignment="1">
      <alignment horizontal="center" vertical="center" wrapText="1"/>
    </xf>
    <xf numFmtId="180" fontId="8" fillId="6" borderId="11" xfId="0" applyNumberFormat="1" applyFont="1" applyFill="1" applyBorder="1" applyAlignment="1" applyProtection="1">
      <alignment horizontal="right" vertical="center" wrapText="1"/>
      <protection locked="0"/>
    </xf>
    <xf numFmtId="180" fontId="8" fillId="6" borderId="5" xfId="0" applyNumberFormat="1" applyFont="1" applyFill="1" applyBorder="1" applyAlignment="1" applyProtection="1">
      <alignment horizontal="right" vertical="center" wrapText="1"/>
      <protection locked="0"/>
    </xf>
    <xf numFmtId="0" fontId="7" fillId="5" borderId="12" xfId="17" applyFont="1" applyFill="1" applyBorder="1" applyAlignment="1">
      <alignment horizontal="right" vertical="center" wrapText="1"/>
    </xf>
    <xf numFmtId="178" fontId="4" fillId="2" borderId="13" xfId="3" applyNumberFormat="1" applyFont="1" applyFill="1" applyBorder="1" applyAlignment="1">
      <alignment horizontal="center" vertical="center" wrapText="1"/>
    </xf>
    <xf numFmtId="180" fontId="9" fillId="6" borderId="16" xfId="0" applyNumberFormat="1" applyFont="1" applyFill="1" applyBorder="1" applyAlignment="1" applyProtection="1">
      <alignment horizontal="right" vertical="center" wrapText="1"/>
      <protection locked="0"/>
    </xf>
    <xf numFmtId="181" fontId="9" fillId="2" borderId="8" xfId="0" applyNumberFormat="1" applyFont="1" applyFill="1" applyBorder="1" applyAlignment="1" applyProtection="1">
      <alignment horizontal="right" vertical="center" wrapText="1"/>
      <protection locked="0"/>
    </xf>
    <xf numFmtId="0" fontId="7" fillId="5" borderId="12" xfId="17" applyFont="1" applyFill="1" applyBorder="1" applyAlignment="1">
      <alignment horizontal="center" vertical="center" wrapText="1"/>
    </xf>
    <xf numFmtId="9" fontId="4" fillId="6" borderId="14" xfId="3" applyFont="1" applyFill="1" applyBorder="1" applyAlignment="1">
      <alignment horizontal="center" vertical="center" wrapText="1"/>
    </xf>
    <xf numFmtId="180" fontId="9" fillId="6" borderId="8" xfId="0" applyNumberFormat="1" applyFont="1" applyFill="1" applyBorder="1" applyAlignment="1" applyProtection="1">
      <alignment horizontal="right" vertical="center" wrapText="1"/>
      <protection locked="0"/>
    </xf>
    <xf numFmtId="0" fontId="4" fillId="7" borderId="15" xfId="17" applyFont="1" applyFill="1" applyBorder="1" applyAlignment="1">
      <alignment horizontal="center" vertical="center" wrapText="1"/>
    </xf>
    <xf numFmtId="180" fontId="9" fillId="5" borderId="8" xfId="0" applyNumberFormat="1" applyFont="1" applyFill="1" applyBorder="1" applyAlignment="1" applyProtection="1">
      <alignment horizontal="right" vertical="center" wrapText="1"/>
      <protection locked="0"/>
    </xf>
    <xf numFmtId="178" fontId="4" fillId="6" borderId="10" xfId="3" applyNumberFormat="1" applyFont="1" applyFill="1" applyBorder="1" applyAlignment="1">
      <alignment horizontal="center" vertical="center" wrapText="1"/>
    </xf>
    <xf numFmtId="0" fontId="4" fillId="7" borderId="18" xfId="17" applyFont="1" applyFill="1" applyBorder="1" applyAlignment="1">
      <alignment horizontal="center" vertical="center" wrapText="1"/>
    </xf>
    <xf numFmtId="181" fontId="9" fillId="6" borderId="8" xfId="0" applyNumberFormat="1" applyFont="1" applyFill="1" applyBorder="1" applyAlignment="1" applyProtection="1">
      <alignment horizontal="right" vertical="center" wrapText="1"/>
      <protection locked="0"/>
    </xf>
    <xf numFmtId="0" fontId="5" fillId="0" borderId="19" xfId="0" applyFont="1" applyBorder="1" applyAlignment="1" applyProtection="1">
      <alignment horizontal="center" vertical="center" wrapText="1"/>
      <protection locked="0"/>
    </xf>
    <xf numFmtId="180" fontId="8" fillId="4" borderId="20" xfId="0" applyNumberFormat="1" applyFont="1" applyFill="1" applyBorder="1" applyAlignment="1" applyProtection="1">
      <alignment horizontal="right" vertical="center" wrapText="1"/>
      <protection locked="0"/>
    </xf>
    <xf numFmtId="0" fontId="4" fillId="0" borderId="21" xfId="0" applyFont="1" applyBorder="1">
      <alignment vertical="center"/>
    </xf>
    <xf numFmtId="180" fontId="8" fillId="6" borderId="19" xfId="0" applyNumberFormat="1" applyFont="1" applyFill="1" applyBorder="1" applyAlignment="1" applyProtection="1">
      <alignment horizontal="right" vertical="center" wrapText="1"/>
      <protection locked="0"/>
    </xf>
    <xf numFmtId="181" fontId="9" fillId="6" borderId="20" xfId="0" applyNumberFormat="1" applyFont="1" applyFill="1" applyBorder="1" applyAlignment="1" applyProtection="1">
      <alignment horizontal="right" vertical="center" wrapText="1"/>
      <protection locked="0"/>
    </xf>
    <xf numFmtId="180" fontId="9" fillId="5" borderId="20" xfId="0" applyNumberFormat="1" applyFont="1" applyFill="1" applyBorder="1" applyAlignment="1" applyProtection="1">
      <alignment horizontal="right" vertical="center" wrapText="1"/>
      <protection locked="0"/>
    </xf>
    <xf numFmtId="9" fontId="4" fillId="6" borderId="17" xfId="3" applyFont="1" applyFill="1" applyBorder="1" applyAlignment="1">
      <alignment horizontal="center" vertical="center" wrapText="1"/>
    </xf>
    <xf numFmtId="180" fontId="9" fillId="6" borderId="25" xfId="0" applyNumberFormat="1" applyFont="1" applyFill="1" applyBorder="1" applyAlignment="1" applyProtection="1">
      <alignment horizontal="right" vertical="center" wrapText="1"/>
      <protection locked="0"/>
    </xf>
    <xf numFmtId="180" fontId="9" fillId="5" borderId="25" xfId="0" applyNumberFormat="1" applyFont="1" applyFill="1" applyBorder="1" applyAlignment="1" applyProtection="1">
      <alignment horizontal="right" vertical="center" wrapText="1"/>
      <protection locked="0"/>
    </xf>
    <xf numFmtId="0" fontId="5" fillId="0" borderId="8" xfId="0" applyFont="1" applyBorder="1" applyAlignment="1" applyProtection="1">
      <alignment horizontal="center" vertical="center" wrapText="1"/>
      <protection locked="0"/>
    </xf>
    <xf numFmtId="180" fontId="1" fillId="0" borderId="8" xfId="0" applyNumberFormat="1" applyFont="1" applyBorder="1" applyAlignment="1">
      <alignment horizontal="center" vertical="center" wrapText="1"/>
    </xf>
    <xf numFmtId="0" fontId="1" fillId="0" borderId="0" xfId="0" applyFont="1" applyAlignment="1">
      <alignment horizontal="left" vertical="center"/>
    </xf>
    <xf numFmtId="180" fontId="9" fillId="5" borderId="26" xfId="0" applyNumberFormat="1" applyFont="1" applyFill="1" applyBorder="1" applyAlignment="1" applyProtection="1">
      <alignment horizontal="right" vertical="center" wrapText="1"/>
      <protection locked="0"/>
    </xf>
    <xf numFmtId="0" fontId="10" fillId="0" borderId="0" xfId="0" applyFont="1" applyAlignment="1" applyProtection="1">
      <alignment horizontal="center" vertical="center"/>
      <protection locked="0"/>
    </xf>
    <xf numFmtId="0" fontId="11" fillId="0" borderId="0" xfId="0" applyFont="1" applyProtection="1">
      <alignment vertical="center"/>
      <protection locked="0"/>
    </xf>
    <xf numFmtId="0" fontId="12" fillId="0" borderId="0" xfId="0" applyFont="1" applyProtection="1">
      <alignment vertical="center"/>
      <protection locked="0"/>
    </xf>
    <xf numFmtId="0" fontId="11" fillId="0" borderId="0" xfId="0" applyFont="1" applyAlignment="1" applyProtection="1">
      <alignment horizontal="left" vertical="center" wrapText="1"/>
      <protection locked="0"/>
    </xf>
    <xf numFmtId="182" fontId="13" fillId="5" borderId="14" xfId="0" applyNumberFormat="1" applyFont="1" applyFill="1" applyBorder="1" applyAlignment="1">
      <alignment horizontal="center" vertical="center" wrapText="1"/>
    </xf>
    <xf numFmtId="182" fontId="13" fillId="5" borderId="8" xfId="0" applyNumberFormat="1" applyFont="1" applyFill="1" applyBorder="1" applyAlignment="1">
      <alignment horizontal="center" vertical="center" wrapText="1"/>
    </xf>
    <xf numFmtId="182" fontId="15" fillId="2" borderId="8" xfId="3" applyNumberFormat="1" applyFont="1" applyFill="1" applyBorder="1" applyAlignment="1" applyProtection="1">
      <alignment horizontal="center" vertical="center" wrapText="1"/>
    </xf>
    <xf numFmtId="9" fontId="15" fillId="2" borderId="8" xfId="3" applyFont="1" applyFill="1" applyBorder="1" applyAlignment="1" applyProtection="1">
      <alignment horizontal="center" vertical="center" wrapText="1"/>
      <protection locked="0"/>
    </xf>
    <xf numFmtId="183" fontId="1" fillId="8" borderId="14" xfId="0" applyNumberFormat="1" applyFont="1" applyFill="1" applyBorder="1" applyAlignment="1" applyProtection="1">
      <alignment horizontal="center" vertical="center"/>
      <protection locked="0"/>
    </xf>
    <xf numFmtId="43" fontId="2" fillId="8" borderId="14" xfId="0" applyNumberFormat="1" applyFont="1" applyFill="1" applyBorder="1" applyAlignment="1" applyProtection="1">
      <alignment horizontal="center" vertical="center"/>
      <protection locked="0"/>
    </xf>
    <xf numFmtId="183" fontId="1" fillId="9" borderId="14" xfId="0" applyNumberFormat="1" applyFont="1" applyFill="1" applyBorder="1" applyAlignment="1" applyProtection="1">
      <alignment horizontal="center" vertical="center"/>
      <protection locked="0"/>
    </xf>
    <xf numFmtId="0" fontId="13" fillId="0" borderId="0" xfId="0" applyFont="1" applyAlignment="1" applyProtection="1">
      <alignment horizontal="center" vertical="center" wrapText="1"/>
      <protection locked="0"/>
    </xf>
    <xf numFmtId="183" fontId="1" fillId="0" borderId="0" xfId="0" applyNumberFormat="1" applyFont="1" applyAlignment="1" applyProtection="1">
      <alignment horizontal="center" vertical="center"/>
      <protection locked="0"/>
    </xf>
    <xf numFmtId="0" fontId="2" fillId="0" borderId="14" xfId="0" applyFont="1" applyBorder="1" applyAlignment="1" applyProtection="1">
      <alignment horizontal="center" vertical="center"/>
      <protection locked="0"/>
    </xf>
    <xf numFmtId="181" fontId="2" fillId="0" borderId="14" xfId="0" applyNumberFormat="1" applyFont="1" applyBorder="1" applyAlignment="1" applyProtection="1">
      <alignment horizontal="center" vertical="center"/>
      <protection locked="0"/>
    </xf>
    <xf numFmtId="0" fontId="13" fillId="7" borderId="14" xfId="0" applyFont="1" applyFill="1" applyBorder="1" applyAlignment="1" applyProtection="1">
      <alignment horizontal="center" vertical="center" wrapText="1"/>
      <protection locked="0"/>
    </xf>
    <xf numFmtId="183" fontId="14" fillId="10" borderId="14" xfId="0" applyNumberFormat="1" applyFont="1" applyFill="1" applyBorder="1" applyAlignment="1" applyProtection="1">
      <alignment horizontal="center" vertical="center" wrapText="1"/>
      <protection locked="0"/>
    </xf>
    <xf numFmtId="0" fontId="17" fillId="0" borderId="0" xfId="0" applyFont="1" applyAlignment="1" applyProtection="1">
      <alignment horizontal="center" vertical="center"/>
      <protection locked="0"/>
    </xf>
    <xf numFmtId="9" fontId="17" fillId="0" borderId="0" xfId="0" applyNumberFormat="1" applyFont="1" applyAlignment="1" applyProtection="1">
      <alignment horizontal="center" vertical="center"/>
      <protection locked="0"/>
    </xf>
    <xf numFmtId="0" fontId="13" fillId="5" borderId="14" xfId="0" applyFont="1" applyFill="1" applyBorder="1" applyAlignment="1">
      <alignment horizontal="center" vertical="center"/>
    </xf>
    <xf numFmtId="0" fontId="13" fillId="5" borderId="8" xfId="0" applyFont="1" applyFill="1" applyBorder="1" applyAlignment="1">
      <alignment horizontal="center" vertical="center"/>
    </xf>
    <xf numFmtId="183" fontId="15" fillId="10" borderId="7" xfId="1" applyNumberFormat="1" applyFont="1" applyFill="1" applyBorder="1" applyAlignment="1" applyProtection="1">
      <alignment horizontal="center" vertical="center"/>
    </xf>
    <xf numFmtId="0" fontId="1" fillId="0" borderId="0" xfId="0" applyFont="1">
      <alignment vertical="center"/>
    </xf>
    <xf numFmtId="184" fontId="15" fillId="0" borderId="0" xfId="1" applyNumberFormat="1" applyFont="1" applyFill="1" applyBorder="1" applyAlignment="1" applyProtection="1">
      <alignment horizontal="right" vertical="center"/>
    </xf>
    <xf numFmtId="185" fontId="15" fillId="0" borderId="0" xfId="1" applyNumberFormat="1" applyFont="1" applyFill="1" applyBorder="1" applyAlignment="1" applyProtection="1">
      <alignment horizontal="right" vertical="center"/>
    </xf>
    <xf numFmtId="0" fontId="2" fillId="0" borderId="0" xfId="0" applyFont="1">
      <alignment vertical="center"/>
    </xf>
    <xf numFmtId="182" fontId="15" fillId="0" borderId="0" xfId="3" applyNumberFormat="1" applyFont="1" applyFill="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43" fontId="2" fillId="8" borderId="8" xfId="0" applyNumberFormat="1" applyFont="1" applyFill="1" applyBorder="1" applyAlignment="1" applyProtection="1">
      <alignment horizontal="center" vertical="center"/>
      <protection locked="0"/>
    </xf>
    <xf numFmtId="183" fontId="1" fillId="9" borderId="8" xfId="0" applyNumberFormat="1" applyFont="1" applyFill="1" applyBorder="1" applyAlignment="1" applyProtection="1">
      <alignment horizontal="center" vertical="center"/>
      <protection locked="0"/>
    </xf>
    <xf numFmtId="181" fontId="2" fillId="0" borderId="8" xfId="0" applyNumberFormat="1" applyFont="1" applyBorder="1" applyAlignment="1" applyProtection="1">
      <alignment horizontal="center" vertical="center"/>
      <protection locked="0"/>
    </xf>
    <xf numFmtId="0" fontId="13" fillId="7" borderId="8" xfId="0" applyFont="1" applyFill="1" applyBorder="1" applyAlignment="1" applyProtection="1">
      <alignment horizontal="center" vertical="center" wrapText="1"/>
      <protection locked="0"/>
    </xf>
    <xf numFmtId="183" fontId="14" fillId="10" borderId="8" xfId="0" applyNumberFormat="1" applyFont="1" applyFill="1" applyBorder="1" applyAlignment="1" applyProtection="1">
      <alignment horizontal="center" vertical="center" wrapText="1"/>
      <protection locked="0"/>
    </xf>
    <xf numFmtId="0" fontId="10" fillId="0" borderId="0" xfId="0" applyFont="1" applyProtection="1">
      <alignment vertical="center"/>
      <protection locked="0"/>
    </xf>
    <xf numFmtId="182" fontId="11" fillId="0" borderId="0" xfId="0" applyNumberFormat="1" applyFont="1" applyProtection="1">
      <alignment vertical="center"/>
      <protection locked="0"/>
    </xf>
    <xf numFmtId="0" fontId="2" fillId="0" borderId="0" xfId="0" applyFont="1" applyAlignment="1" applyProtection="1">
      <alignment horizontal="center" vertical="center"/>
      <protection locked="0"/>
    </xf>
    <xf numFmtId="0" fontId="1" fillId="0" borderId="0" xfId="0" applyFont="1" applyAlignment="1" applyProtection="1">
      <alignment horizontal="left" vertical="center"/>
      <protection locked="0"/>
    </xf>
    <xf numFmtId="0" fontId="1" fillId="0" borderId="0" xfId="0" applyFont="1" applyProtection="1">
      <alignment vertical="center"/>
      <protection locked="0"/>
    </xf>
    <xf numFmtId="182" fontId="13" fillId="0" borderId="8" xfId="0" applyNumberFormat="1" applyFont="1" applyBorder="1" applyAlignment="1" applyProtection="1">
      <alignment horizontal="center" vertical="center" wrapText="1"/>
      <protection locked="0"/>
    </xf>
    <xf numFmtId="0" fontId="13" fillId="0" borderId="8" xfId="0" applyFont="1" applyBorder="1" applyAlignment="1" applyProtection="1">
      <alignment vertical="center" wrapText="1"/>
      <protection locked="0"/>
    </xf>
    <xf numFmtId="0" fontId="13" fillId="0" borderId="8" xfId="0" applyFont="1" applyBorder="1" applyAlignment="1" applyProtection="1">
      <alignment horizontal="center" vertical="center" wrapText="1"/>
      <protection locked="0"/>
    </xf>
    <xf numFmtId="0" fontId="15" fillId="0" borderId="8" xfId="0" applyFont="1" applyBorder="1" applyProtection="1">
      <alignment vertical="center"/>
      <protection locked="0"/>
    </xf>
    <xf numFmtId="0" fontId="2" fillId="0" borderId="8" xfId="0" applyFont="1" applyBorder="1" applyProtection="1">
      <alignment vertical="center"/>
      <protection locked="0"/>
    </xf>
    <xf numFmtId="43" fontId="2" fillId="12" borderId="8" xfId="0" applyNumberFormat="1" applyFont="1" applyFill="1" applyBorder="1" applyProtection="1">
      <alignment vertical="center"/>
      <protection locked="0"/>
    </xf>
    <xf numFmtId="0" fontId="18" fillId="0" borderId="8" xfId="0" applyFont="1" applyBorder="1" applyAlignment="1" applyProtection="1">
      <alignment horizontal="left" vertical="center"/>
      <protection locked="0"/>
    </xf>
    <xf numFmtId="0" fontId="15" fillId="0" borderId="8" xfId="0" applyFont="1" applyBorder="1" applyAlignment="1" applyProtection="1">
      <alignment horizontal="left" vertical="center"/>
      <protection locked="0"/>
    </xf>
    <xf numFmtId="9" fontId="15" fillId="0" borderId="8" xfId="0" applyNumberFormat="1" applyFont="1" applyBorder="1" applyProtection="1">
      <alignment vertical="center"/>
      <protection locked="0"/>
    </xf>
    <xf numFmtId="0" fontId="15" fillId="0" borderId="8" xfId="0" applyFont="1" applyBorder="1" applyAlignment="1" applyProtection="1">
      <alignment horizontal="left" vertical="center" wrapText="1"/>
      <protection locked="0"/>
    </xf>
    <xf numFmtId="0" fontId="1" fillId="0" borderId="8" xfId="0" applyFont="1" applyBorder="1" applyProtection="1">
      <alignment vertical="center"/>
      <protection locked="0"/>
    </xf>
    <xf numFmtId="9" fontId="1" fillId="0" borderId="8" xfId="0" applyNumberFormat="1" applyFont="1" applyBorder="1" applyProtection="1">
      <alignment vertical="center"/>
      <protection locked="0"/>
    </xf>
    <xf numFmtId="0" fontId="1" fillId="0" borderId="8" xfId="0" applyFont="1" applyBorder="1" applyAlignment="1" applyProtection="1">
      <alignment horizontal="left" vertical="center"/>
      <protection locked="0"/>
    </xf>
    <xf numFmtId="0" fontId="2" fillId="0" borderId="8" xfId="0" applyFont="1" applyBorder="1" applyAlignment="1" applyProtection="1">
      <alignment horizontal="left" vertical="center"/>
      <protection locked="0"/>
    </xf>
    <xf numFmtId="182" fontId="1" fillId="0" borderId="0" xfId="0" applyNumberFormat="1" applyFont="1" applyProtection="1">
      <alignment vertical="center"/>
      <protection locked="0"/>
    </xf>
    <xf numFmtId="9" fontId="15" fillId="0" borderId="8" xfId="0" applyNumberFormat="1" applyFont="1" applyBorder="1" applyAlignment="1" applyProtection="1">
      <alignment vertical="center" wrapText="1"/>
      <protection locked="0"/>
    </xf>
    <xf numFmtId="0" fontId="1" fillId="0" borderId="8" xfId="0" applyFont="1" applyBorder="1" applyAlignment="1" applyProtection="1">
      <alignment vertical="center" wrapText="1"/>
      <protection locked="0"/>
    </xf>
    <xf numFmtId="0" fontId="1" fillId="0" borderId="8" xfId="0" applyFont="1" applyBorder="1" applyAlignment="1" applyProtection="1">
      <alignment horizontal="left" vertical="center" wrapText="1"/>
      <protection locked="0"/>
    </xf>
    <xf numFmtId="0" fontId="15" fillId="0" borderId="0" xfId="0" applyFont="1" applyProtection="1">
      <alignment vertical="center"/>
      <protection locked="0"/>
    </xf>
    <xf numFmtId="0" fontId="1" fillId="0" borderId="0" xfId="0" applyFont="1" applyAlignment="1" applyProtection="1">
      <alignment vertical="center" wrapText="1"/>
      <protection locked="0"/>
    </xf>
    <xf numFmtId="182" fontId="13" fillId="0" borderId="27" xfId="0" applyNumberFormat="1" applyFont="1" applyBorder="1" applyAlignment="1" applyProtection="1">
      <alignment horizontal="center" vertical="center" wrapText="1"/>
      <protection locked="0"/>
    </xf>
    <xf numFmtId="0" fontId="13" fillId="0" borderId="16" xfId="0" applyFont="1" applyBorder="1" applyAlignment="1" applyProtection="1">
      <alignment vertical="center" wrapText="1"/>
      <protection locked="0"/>
    </xf>
    <xf numFmtId="41" fontId="2" fillId="0" borderId="8" xfId="0" applyNumberFormat="1" applyFont="1" applyBorder="1" applyProtection="1">
      <alignment vertical="center"/>
      <protection locked="0"/>
    </xf>
    <xf numFmtId="43" fontId="15" fillId="8" borderId="8" xfId="0" applyNumberFormat="1" applyFont="1" applyFill="1" applyBorder="1" applyProtection="1">
      <alignment vertical="center"/>
      <protection locked="0"/>
    </xf>
    <xf numFmtId="43" fontId="2" fillId="8" borderId="8" xfId="0" applyNumberFormat="1" applyFont="1" applyFill="1" applyBorder="1" applyProtection="1">
      <alignment vertical="center"/>
      <protection locked="0"/>
    </xf>
    <xf numFmtId="9" fontId="2" fillId="8" borderId="8" xfId="0" applyNumberFormat="1" applyFont="1" applyFill="1" applyBorder="1" applyProtection="1">
      <alignment vertical="center"/>
      <protection locked="0"/>
    </xf>
    <xf numFmtId="41" fontId="15" fillId="0" borderId="8" xfId="0" applyNumberFormat="1" applyFont="1" applyBorder="1" applyProtection="1">
      <alignment vertical="center"/>
      <protection locked="0"/>
    </xf>
    <xf numFmtId="43" fontId="1" fillId="8" borderId="8" xfId="0" applyNumberFormat="1" applyFont="1" applyFill="1" applyBorder="1" applyProtection="1">
      <alignment vertical="center"/>
      <protection locked="0"/>
    </xf>
    <xf numFmtId="41" fontId="1" fillId="0" borderId="8" xfId="0" applyNumberFormat="1" applyFont="1" applyBorder="1" applyProtection="1">
      <alignment vertical="center"/>
      <protection locked="0"/>
    </xf>
    <xf numFmtId="0" fontId="1" fillId="0" borderId="7" xfId="0" applyFont="1" applyBorder="1" applyProtection="1">
      <alignment vertical="center"/>
      <protection locked="0"/>
    </xf>
    <xf numFmtId="0" fontId="13" fillId="0" borderId="16" xfId="0" applyFont="1" applyBorder="1" applyAlignment="1" applyProtection="1">
      <alignment horizontal="center" vertical="center" wrapText="1"/>
      <protection locked="0"/>
    </xf>
    <xf numFmtId="43" fontId="15" fillId="8" borderId="8" xfId="0" applyNumberFormat="1" applyFont="1" applyFill="1" applyBorder="1" applyAlignment="1" applyProtection="1">
      <alignment vertical="center" wrapText="1"/>
      <protection locked="0"/>
    </xf>
    <xf numFmtId="41" fontId="1" fillId="0" borderId="7" xfId="0" applyNumberFormat="1" applyFont="1" applyBorder="1" applyProtection="1">
      <alignment vertical="center"/>
      <protection locked="0"/>
    </xf>
    <xf numFmtId="41" fontId="2" fillId="0" borderId="7" xfId="0" applyNumberFormat="1" applyFont="1" applyBorder="1" applyProtection="1">
      <alignment vertical="center"/>
      <protection locked="0"/>
    </xf>
    <xf numFmtId="41" fontId="15" fillId="0" borderId="7" xfId="0" applyNumberFormat="1" applyFont="1" applyBorder="1" applyProtection="1">
      <alignment vertical="center"/>
      <protection locked="0"/>
    </xf>
    <xf numFmtId="43" fontId="19" fillId="8" borderId="8" xfId="0" applyNumberFormat="1" applyFont="1" applyFill="1" applyBorder="1" applyProtection="1">
      <alignment vertical="center"/>
      <protection locked="0"/>
    </xf>
    <xf numFmtId="41" fontId="1" fillId="0" borderId="8" xfId="0" applyNumberFormat="1" applyFont="1" applyBorder="1" applyAlignment="1" applyProtection="1">
      <alignment vertical="center" wrapText="1"/>
      <protection locked="0"/>
    </xf>
    <xf numFmtId="43" fontId="1" fillId="8" borderId="8" xfId="0" applyNumberFormat="1" applyFont="1" applyFill="1" applyBorder="1" applyAlignment="1" applyProtection="1">
      <alignment vertical="center" wrapText="1"/>
      <protection locked="0"/>
    </xf>
    <xf numFmtId="182" fontId="13" fillId="5" borderId="15" xfId="0" applyNumberFormat="1" applyFont="1" applyFill="1" applyBorder="1" applyAlignment="1">
      <alignment horizontal="center" vertical="center" wrapText="1"/>
    </xf>
    <xf numFmtId="182" fontId="13" fillId="2" borderId="8" xfId="0" applyNumberFormat="1" applyFont="1" applyFill="1" applyBorder="1" applyAlignment="1" applyProtection="1">
      <alignment vertical="center" wrapText="1"/>
      <protection locked="0"/>
    </xf>
    <xf numFmtId="182" fontId="13" fillId="0" borderId="8" xfId="0" applyNumberFormat="1" applyFont="1" applyBorder="1" applyAlignment="1" applyProtection="1">
      <alignment vertical="center" wrapText="1"/>
      <protection locked="0"/>
    </xf>
    <xf numFmtId="183" fontId="2" fillId="12" borderId="8" xfId="0" applyNumberFormat="1" applyFont="1" applyFill="1" applyBorder="1" applyProtection="1">
      <alignment vertical="center"/>
      <protection locked="0"/>
    </xf>
    <xf numFmtId="10" fontId="2" fillId="12" borderId="8" xfId="0" applyNumberFormat="1" applyFont="1" applyFill="1" applyBorder="1" applyProtection="1">
      <alignment vertical="center"/>
      <protection locked="0"/>
    </xf>
    <xf numFmtId="186" fontId="15" fillId="12" borderId="8" xfId="0" applyNumberFormat="1" applyFont="1" applyFill="1" applyBorder="1" applyProtection="1">
      <alignment vertical="center"/>
      <protection locked="0"/>
    </xf>
    <xf numFmtId="186" fontId="15" fillId="2" borderId="8" xfId="0" applyNumberFormat="1" applyFont="1" applyFill="1" applyBorder="1" applyProtection="1">
      <alignment vertical="center"/>
      <protection locked="0"/>
    </xf>
    <xf numFmtId="186" fontId="20" fillId="12" borderId="8" xfId="0" applyNumberFormat="1" applyFont="1" applyFill="1" applyBorder="1" applyProtection="1">
      <alignment vertical="center"/>
      <protection locked="0"/>
    </xf>
    <xf numFmtId="0" fontId="1" fillId="2" borderId="8" xfId="0" applyFont="1" applyFill="1" applyBorder="1" applyProtection="1">
      <alignment vertical="center"/>
      <protection locked="0"/>
    </xf>
    <xf numFmtId="183" fontId="15" fillId="12" borderId="8" xfId="0" applyNumberFormat="1" applyFont="1" applyFill="1" applyBorder="1" applyProtection="1">
      <alignment vertical="center"/>
      <protection locked="0"/>
    </xf>
    <xf numFmtId="183" fontId="20" fillId="12" borderId="8" xfId="0" applyNumberFormat="1" applyFont="1" applyFill="1" applyBorder="1" applyProtection="1">
      <alignment vertical="center"/>
      <protection locked="0"/>
    </xf>
    <xf numFmtId="183" fontId="1" fillId="12" borderId="8" xfId="0" applyNumberFormat="1" applyFont="1" applyFill="1" applyBorder="1" applyProtection="1">
      <alignment vertical="center"/>
      <protection locked="0"/>
    </xf>
    <xf numFmtId="186" fontId="15" fillId="2" borderId="8" xfId="0" applyNumberFormat="1" applyFont="1" applyFill="1" applyBorder="1" applyAlignment="1" applyProtection="1">
      <alignment vertical="center" wrapText="1"/>
      <protection locked="0"/>
    </xf>
    <xf numFmtId="43" fontId="15" fillId="2" borderId="8" xfId="0" applyNumberFormat="1" applyFont="1" applyFill="1" applyBorder="1" applyProtection="1">
      <alignment vertical="center"/>
      <protection locked="0"/>
    </xf>
    <xf numFmtId="43" fontId="15" fillId="2" borderId="8" xfId="0" applyNumberFormat="1" applyFont="1" applyFill="1" applyBorder="1" applyAlignment="1" applyProtection="1">
      <alignment vertical="center" wrapText="1"/>
      <protection locked="0"/>
    </xf>
    <xf numFmtId="43" fontId="1" fillId="2" borderId="8" xfId="0" applyNumberFormat="1" applyFont="1" applyFill="1" applyBorder="1" applyProtection="1">
      <alignment vertical="center"/>
      <protection locked="0"/>
    </xf>
    <xf numFmtId="0" fontId="17" fillId="0" borderId="0" xfId="0" applyFont="1" applyAlignment="1" applyProtection="1">
      <alignment vertical="center" wrapText="1"/>
      <protection locked="0"/>
    </xf>
    <xf numFmtId="0" fontId="1" fillId="0" borderId="8" xfId="0" applyFont="1" applyBorder="1" applyAlignment="1" applyProtection="1">
      <alignment horizontal="center" vertical="center" wrapText="1"/>
      <protection locked="0"/>
    </xf>
    <xf numFmtId="0" fontId="1" fillId="10" borderId="8" xfId="0" applyFont="1" applyFill="1" applyBorder="1" applyProtection="1">
      <alignment vertical="center"/>
      <protection locked="0"/>
    </xf>
    <xf numFmtId="0" fontId="2" fillId="0" borderId="7" xfId="0" applyFont="1" applyBorder="1" applyProtection="1">
      <alignment vertical="center"/>
      <protection locked="0"/>
    </xf>
    <xf numFmtId="186" fontId="1" fillId="10" borderId="8" xfId="0" applyNumberFormat="1" applyFont="1" applyFill="1" applyBorder="1" applyProtection="1">
      <alignment vertical="center"/>
      <protection locked="0"/>
    </xf>
    <xf numFmtId="186" fontId="1" fillId="12" borderId="8" xfId="0" applyNumberFormat="1" applyFont="1" applyFill="1" applyBorder="1" applyProtection="1">
      <alignment vertical="center"/>
      <protection locked="0"/>
    </xf>
    <xf numFmtId="0" fontId="15" fillId="0" borderId="7" xfId="0" applyFont="1" applyBorder="1" applyProtection="1">
      <alignment vertical="center"/>
      <protection locked="0"/>
    </xf>
    <xf numFmtId="0" fontId="15" fillId="2" borderId="8" xfId="0" applyFont="1" applyFill="1" applyBorder="1" applyProtection="1">
      <alignment vertical="center"/>
      <protection locked="0"/>
    </xf>
    <xf numFmtId="0" fontId="2" fillId="2" borderId="8" xfId="0" applyFont="1" applyFill="1" applyBorder="1" applyProtection="1">
      <alignment vertical="center"/>
      <protection locked="0"/>
    </xf>
    <xf numFmtId="9" fontId="2" fillId="0" borderId="8" xfId="0" applyNumberFormat="1" applyFont="1" applyBorder="1" applyProtection="1">
      <alignment vertical="center"/>
      <protection locked="0"/>
    </xf>
    <xf numFmtId="0" fontId="15" fillId="2" borderId="8" xfId="0" applyFont="1" applyFill="1" applyBorder="1" applyAlignment="1" applyProtection="1">
      <alignment vertical="center" wrapText="1"/>
      <protection locked="0"/>
    </xf>
    <xf numFmtId="0" fontId="1" fillId="2" borderId="8" xfId="0" applyFont="1" applyFill="1" applyBorder="1" applyAlignment="1" applyProtection="1">
      <alignment vertical="center" wrapText="1"/>
      <protection locked="0"/>
    </xf>
    <xf numFmtId="0" fontId="21" fillId="13" borderId="0" xfId="10" applyFont="1" applyFill="1" applyAlignment="1" applyProtection="1">
      <alignment horizontal="left" vertical="center"/>
      <protection locked="0"/>
    </xf>
    <xf numFmtId="0" fontId="21" fillId="0" borderId="0" xfId="10" applyFont="1" applyAlignment="1" applyProtection="1">
      <alignment horizontal="left" vertical="center"/>
      <protection locked="0"/>
    </xf>
    <xf numFmtId="0" fontId="22" fillId="0" borderId="0" xfId="0" applyFont="1" applyProtection="1">
      <alignment vertical="center"/>
      <protection locked="0"/>
    </xf>
    <xf numFmtId="0" fontId="23" fillId="0" borderId="0" xfId="0" applyFont="1" applyProtection="1">
      <alignment vertical="center"/>
      <protection locked="0"/>
    </xf>
    <xf numFmtId="0" fontId="23" fillId="0" borderId="0" xfId="0" applyFont="1" applyAlignment="1" applyProtection="1">
      <alignment horizontal="center" vertical="center"/>
      <protection locked="0"/>
    </xf>
    <xf numFmtId="0" fontId="25" fillId="7" borderId="0" xfId="5" applyFont="1" applyFill="1" applyAlignment="1" applyProtection="1">
      <alignment horizontal="left" vertical="center"/>
      <protection locked="0"/>
    </xf>
    <xf numFmtId="0" fontId="25" fillId="0" borderId="8" xfId="10" applyFont="1" applyBorder="1" applyAlignment="1" applyProtection="1">
      <alignment vertical="center" wrapText="1"/>
      <protection locked="0"/>
    </xf>
    <xf numFmtId="0" fontId="21" fillId="2" borderId="14" xfId="10" applyFont="1" applyFill="1" applyBorder="1" applyAlignment="1" applyProtection="1">
      <alignment horizontal="center" vertical="center" wrapText="1"/>
      <protection locked="0"/>
    </xf>
    <xf numFmtId="0" fontId="25" fillId="0" borderId="8" xfId="10" applyFont="1" applyBorder="1" applyAlignment="1" applyProtection="1">
      <alignment horizontal="left" vertical="center" wrapText="1"/>
      <protection locked="0"/>
    </xf>
    <xf numFmtId="0" fontId="21" fillId="2" borderId="14" xfId="10" applyFont="1" applyFill="1" applyBorder="1" applyAlignment="1" applyProtection="1">
      <alignment horizontal="left" vertical="center" wrapText="1"/>
      <protection locked="0"/>
    </xf>
    <xf numFmtId="0" fontId="21" fillId="2" borderId="15" xfId="10" applyFont="1" applyFill="1" applyBorder="1" applyAlignment="1" applyProtection="1">
      <alignment horizontal="center" vertical="center" wrapText="1"/>
      <protection locked="0"/>
    </xf>
    <xf numFmtId="0" fontId="21" fillId="2" borderId="15" xfId="10" applyFont="1" applyFill="1" applyBorder="1" applyAlignment="1" applyProtection="1">
      <alignment horizontal="left" vertical="center" wrapText="1"/>
      <protection locked="0"/>
    </xf>
    <xf numFmtId="0" fontId="25" fillId="0" borderId="0" xfId="5" applyFont="1" applyAlignment="1" applyProtection="1">
      <alignment horizontal="left" vertical="center"/>
      <protection locked="0"/>
    </xf>
    <xf numFmtId="0" fontId="21" fillId="0" borderId="0" xfId="10" applyFont="1" applyAlignment="1" applyProtection="1">
      <alignment vertical="center" wrapText="1"/>
      <protection locked="0"/>
    </xf>
    <xf numFmtId="0" fontId="21" fillId="0" borderId="0" xfId="10" applyFont="1" applyAlignment="1" applyProtection="1">
      <alignment horizontal="center" vertical="center" wrapText="1"/>
      <protection locked="0"/>
    </xf>
    <xf numFmtId="0" fontId="27" fillId="0" borderId="0" xfId="10" applyFont="1" applyAlignment="1" applyProtection="1">
      <alignment vertical="center" wrapText="1"/>
      <protection locked="0"/>
    </xf>
    <xf numFmtId="0" fontId="21" fillId="7" borderId="0" xfId="10" applyFont="1" applyFill="1" applyAlignment="1" applyProtection="1">
      <alignment horizontal="left" vertical="center"/>
      <protection locked="0"/>
    </xf>
    <xf numFmtId="0" fontId="21" fillId="13" borderId="0" xfId="10" applyFont="1" applyFill="1" applyAlignment="1" applyProtection="1">
      <alignment horizontal="center" vertical="center"/>
      <protection locked="0"/>
    </xf>
    <xf numFmtId="0" fontId="22" fillId="0" borderId="16" xfId="0" applyFont="1" applyBorder="1" applyAlignment="1" applyProtection="1">
      <alignment horizontal="center" vertical="center"/>
      <protection locked="0"/>
    </xf>
    <xf numFmtId="187" fontId="25" fillId="7" borderId="16" xfId="1" applyNumberFormat="1" applyFont="1" applyFill="1" applyBorder="1" applyAlignment="1" applyProtection="1">
      <alignment horizontal="center" vertical="center"/>
      <protection locked="0"/>
    </xf>
    <xf numFmtId="0" fontId="22" fillId="0" borderId="8" xfId="0" applyFont="1" applyBorder="1" applyAlignment="1" applyProtection="1">
      <alignment horizontal="center" vertical="center"/>
      <protection locked="0"/>
    </xf>
    <xf numFmtId="183" fontId="25" fillId="10" borderId="8" xfId="3" applyNumberFormat="1" applyFont="1" applyFill="1" applyBorder="1" applyAlignment="1" applyProtection="1">
      <alignment horizontal="center" vertical="center"/>
    </xf>
    <xf numFmtId="0" fontId="23" fillId="0" borderId="8" xfId="0" applyFont="1" applyBorder="1" applyAlignment="1" applyProtection="1">
      <alignment horizontal="center" vertical="center"/>
      <protection locked="0"/>
    </xf>
    <xf numFmtId="0" fontId="21" fillId="7" borderId="8" xfId="1" applyNumberFormat="1" applyFont="1" applyFill="1" applyBorder="1" applyAlignment="1" applyProtection="1">
      <alignment horizontal="left" vertical="center" wrapText="1"/>
      <protection locked="0"/>
    </xf>
    <xf numFmtId="10" fontId="25" fillId="10" borderId="8" xfId="1" applyNumberFormat="1" applyFont="1" applyFill="1" applyBorder="1" applyAlignment="1" applyProtection="1">
      <alignment horizontal="center" vertical="center"/>
    </xf>
    <xf numFmtId="0" fontId="22" fillId="7" borderId="8" xfId="0" applyFont="1" applyFill="1" applyBorder="1" applyAlignment="1" applyProtection="1">
      <alignment horizontal="center" vertical="center"/>
      <protection locked="0"/>
    </xf>
    <xf numFmtId="0" fontId="22" fillId="0" borderId="0" xfId="0" applyFont="1" applyAlignment="1" applyProtection="1">
      <alignment vertical="center" wrapText="1"/>
      <protection locked="0"/>
    </xf>
    <xf numFmtId="184" fontId="23" fillId="0" borderId="0" xfId="0" applyNumberFormat="1" applyFont="1" applyAlignment="1" applyProtection="1">
      <alignment horizontal="center" vertical="center"/>
      <protection locked="0"/>
    </xf>
    <xf numFmtId="38" fontId="25" fillId="0" borderId="0" xfId="1" applyNumberFormat="1" applyFont="1" applyFill="1" applyBorder="1" applyAlignment="1" applyProtection="1">
      <alignment horizontal="center" vertical="center"/>
      <protection locked="0"/>
    </xf>
    <xf numFmtId="0" fontId="25" fillId="0" borderId="8" xfId="0" applyFont="1" applyBorder="1" applyAlignment="1" applyProtection="1">
      <alignment horizontal="center" vertical="center"/>
      <protection locked="0"/>
    </xf>
    <xf numFmtId="0" fontId="22" fillId="0" borderId="0" xfId="0" applyFont="1" applyAlignment="1" applyProtection="1">
      <alignment horizontal="center" vertical="center"/>
      <protection locked="0"/>
    </xf>
    <xf numFmtId="0" fontId="23" fillId="0" borderId="0" xfId="0" applyFont="1" applyAlignment="1" applyProtection="1">
      <alignment horizontal="left" vertical="center" wrapText="1"/>
      <protection locked="0"/>
    </xf>
    <xf numFmtId="0" fontId="23" fillId="0" borderId="0" xfId="0" applyFont="1" applyAlignment="1" applyProtection="1">
      <alignment horizontal="center" vertical="center" wrapText="1"/>
      <protection locked="0"/>
    </xf>
    <xf numFmtId="0" fontId="23" fillId="0" borderId="0" xfId="0" applyFont="1" applyAlignment="1" applyProtection="1">
      <alignment vertical="center" wrapText="1"/>
      <protection locked="0"/>
    </xf>
    <xf numFmtId="43" fontId="23" fillId="0" borderId="0" xfId="1" applyFont="1" applyProtection="1">
      <alignment vertical="center"/>
      <protection locked="0"/>
    </xf>
    <xf numFmtId="0" fontId="23" fillId="14" borderId="0" xfId="0" applyFont="1" applyFill="1" applyProtection="1">
      <alignment vertical="center"/>
      <protection locked="0"/>
    </xf>
    <xf numFmtId="0" fontId="29" fillId="0" borderId="0" xfId="0" applyFont="1" applyAlignment="1">
      <alignment horizontal="center" vertical="center"/>
    </xf>
    <xf numFmtId="0" fontId="30" fillId="0" borderId="0" xfId="0" applyFont="1" applyAlignment="1">
      <alignment horizontal="justify" vertical="center"/>
    </xf>
    <xf numFmtId="0" fontId="0" fillId="0" borderId="0" xfId="0" applyAlignment="1">
      <alignment vertical="center" wrapText="1"/>
    </xf>
    <xf numFmtId="0" fontId="31" fillId="0" borderId="0" xfId="0" applyFont="1" applyAlignment="1">
      <alignment vertical="center" wrapText="1"/>
    </xf>
    <xf numFmtId="0" fontId="32" fillId="0" borderId="0" xfId="0" applyFont="1" applyAlignment="1">
      <alignment horizontal="justify" vertical="center"/>
    </xf>
    <xf numFmtId="182" fontId="26" fillId="5" borderId="12" xfId="0" applyNumberFormat="1" applyFont="1" applyFill="1" applyBorder="1" applyAlignment="1">
      <alignment horizontal="center" vertical="center" wrapText="1"/>
    </xf>
    <xf numFmtId="187" fontId="25" fillId="7" borderId="16" xfId="1" applyNumberFormat="1" applyFont="1" applyFill="1" applyBorder="1" applyAlignment="1" applyProtection="1">
      <alignment horizontal="center" vertical="center"/>
      <protection locked="0"/>
    </xf>
    <xf numFmtId="184" fontId="28" fillId="0" borderId="14" xfId="0" applyNumberFormat="1" applyFont="1" applyBorder="1" applyAlignment="1" applyProtection="1">
      <alignment horizontal="left" vertical="center" wrapText="1"/>
      <protection locked="0"/>
    </xf>
    <xf numFmtId="184" fontId="28" fillId="0" borderId="7" xfId="0" applyNumberFormat="1" applyFont="1" applyBorder="1" applyAlignment="1" applyProtection="1">
      <alignment horizontal="left" vertical="center" wrapText="1"/>
      <protection locked="0"/>
    </xf>
    <xf numFmtId="184" fontId="28" fillId="0" borderId="15" xfId="0" applyNumberFormat="1" applyFont="1" applyBorder="1" applyAlignment="1" applyProtection="1">
      <alignment horizontal="left" vertical="center" wrapText="1"/>
      <protection locked="0"/>
    </xf>
    <xf numFmtId="0" fontId="22" fillId="0" borderId="8" xfId="0" applyFont="1" applyBorder="1" applyAlignment="1" applyProtection="1">
      <alignment horizontal="center" vertical="center"/>
      <protection locked="0"/>
    </xf>
    <xf numFmtId="0" fontId="21" fillId="0" borderId="8" xfId="0" applyFont="1" applyBorder="1" applyAlignment="1" applyProtection="1">
      <alignment horizontal="left" vertical="center" wrapText="1"/>
      <protection locked="0"/>
    </xf>
    <xf numFmtId="0" fontId="22" fillId="2" borderId="14" xfId="0" applyFont="1" applyFill="1" applyBorder="1" applyAlignment="1" applyProtection="1">
      <alignment horizontal="center" vertical="center"/>
      <protection locked="0"/>
    </xf>
    <xf numFmtId="0" fontId="22" fillId="2" borderId="15" xfId="0" applyFont="1" applyFill="1" applyBorder="1" applyAlignment="1" applyProtection="1">
      <alignment horizontal="center" vertical="center"/>
      <protection locked="0"/>
    </xf>
    <xf numFmtId="0" fontId="22" fillId="2" borderId="7" xfId="0" applyFont="1" applyFill="1" applyBorder="1" applyAlignment="1" applyProtection="1">
      <alignment horizontal="center" vertical="center"/>
      <protection locked="0"/>
    </xf>
    <xf numFmtId="0" fontId="22" fillId="2" borderId="8" xfId="0" applyFont="1" applyFill="1" applyBorder="1" applyAlignment="1" applyProtection="1">
      <alignment horizontal="center" vertical="center"/>
      <protection locked="0"/>
    </xf>
    <xf numFmtId="0" fontId="23" fillId="2" borderId="8" xfId="0" applyFont="1" applyFill="1" applyBorder="1" applyAlignment="1" applyProtection="1">
      <alignment horizontal="center" vertical="center" wrapText="1"/>
      <protection locked="0"/>
    </xf>
    <xf numFmtId="0" fontId="23" fillId="0" borderId="8" xfId="0" applyFont="1" applyBorder="1" applyAlignment="1" applyProtection="1">
      <alignment horizontal="left" vertical="center" wrapText="1"/>
      <protection locked="0"/>
    </xf>
    <xf numFmtId="0" fontId="23" fillId="0" borderId="0" xfId="0" applyFont="1" applyAlignment="1" applyProtection="1">
      <alignment horizontal="left" vertical="center" wrapText="1"/>
      <protection locked="0"/>
    </xf>
    <xf numFmtId="0" fontId="23" fillId="0" borderId="0" xfId="0" applyFont="1" applyAlignment="1" applyProtection="1">
      <alignment horizontal="left" vertical="center"/>
      <protection locked="0"/>
    </xf>
    <xf numFmtId="0" fontId="24" fillId="0" borderId="0" xfId="5" applyFont="1" applyAlignment="1" applyProtection="1">
      <alignment horizontal="center" vertical="center"/>
      <protection locked="0"/>
    </xf>
    <xf numFmtId="0" fontId="17" fillId="0" borderId="8" xfId="0" applyFont="1" applyBorder="1" applyAlignment="1" applyProtection="1">
      <alignment horizontal="center" vertical="center" wrapText="1"/>
      <protection locked="0"/>
    </xf>
    <xf numFmtId="0" fontId="17" fillId="0" borderId="31" xfId="0" applyFont="1" applyBorder="1" applyAlignment="1" applyProtection="1">
      <alignment horizontal="center" vertical="center" wrapText="1"/>
      <protection locked="0"/>
    </xf>
    <xf numFmtId="182" fontId="13" fillId="0" borderId="14" xfId="0" applyNumberFormat="1" applyFont="1" applyBorder="1" applyAlignment="1" applyProtection="1">
      <alignment horizontal="center" vertical="center" wrapText="1"/>
      <protection locked="0"/>
    </xf>
    <xf numFmtId="182" fontId="13" fillId="0" borderId="12" xfId="0" applyNumberFormat="1" applyFont="1" applyBorder="1" applyAlignment="1" applyProtection="1">
      <alignment horizontal="center" vertical="center" wrapText="1"/>
      <protection locked="0"/>
    </xf>
    <xf numFmtId="182" fontId="13" fillId="0" borderId="27" xfId="0" applyNumberFormat="1" applyFont="1" applyBorder="1" applyAlignment="1" applyProtection="1">
      <alignment horizontal="center" vertical="center" wrapText="1"/>
      <protection locked="0"/>
    </xf>
    <xf numFmtId="0" fontId="2" fillId="0" borderId="28" xfId="0" applyFont="1" applyBorder="1" applyAlignment="1" applyProtection="1">
      <alignment horizontal="center" vertical="center" wrapText="1"/>
      <protection locked="0"/>
    </xf>
    <xf numFmtId="0" fontId="2" fillId="0" borderId="13"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1" fillId="0" borderId="16" xfId="0" applyFont="1" applyBorder="1" applyAlignment="1" applyProtection="1">
      <alignment horizontal="center" vertical="center" textRotation="255" readingOrder="2"/>
      <protection locked="0"/>
    </xf>
    <xf numFmtId="0" fontId="1" fillId="0" borderId="8" xfId="0" applyFont="1" applyBorder="1" applyAlignment="1" applyProtection="1">
      <alignment horizontal="center" vertical="center" textRotation="255" readingOrder="2"/>
      <protection locked="0"/>
    </xf>
    <xf numFmtId="0" fontId="1" fillId="0" borderId="8" xfId="0" applyFont="1" applyBorder="1" applyAlignment="1" applyProtection="1">
      <alignment horizontal="center" vertical="center" textRotation="255"/>
      <protection locked="0"/>
    </xf>
    <xf numFmtId="0" fontId="2" fillId="0" borderId="7" xfId="0" applyFont="1" applyBorder="1" applyAlignment="1" applyProtection="1">
      <alignment horizontal="center" vertical="center" wrapText="1"/>
      <protection locked="0"/>
    </xf>
    <xf numFmtId="0" fontId="2" fillId="0" borderId="32" xfId="0" applyFont="1" applyBorder="1" applyAlignment="1" applyProtection="1">
      <alignment horizontal="center" vertical="center"/>
      <protection locked="0"/>
    </xf>
    <xf numFmtId="0" fontId="2" fillId="0" borderId="29" xfId="0" applyFont="1" applyBorder="1" applyAlignment="1" applyProtection="1">
      <alignment horizontal="center" vertical="center"/>
      <protection locked="0"/>
    </xf>
    <xf numFmtId="0" fontId="2" fillId="0" borderId="27" xfId="0" applyFont="1" applyBorder="1" applyAlignment="1" applyProtection="1">
      <alignment horizontal="center" vertical="center"/>
      <protection locked="0"/>
    </xf>
    <xf numFmtId="0" fontId="2" fillId="0" borderId="8" xfId="0" applyFont="1" applyBorder="1" applyAlignment="1" applyProtection="1">
      <alignment horizontal="center" vertical="center" textRotation="255"/>
      <protection locked="0"/>
    </xf>
    <xf numFmtId="0" fontId="2" fillId="0" borderId="31" xfId="0" applyFont="1" applyBorder="1" applyAlignment="1" applyProtection="1">
      <alignment horizontal="center" vertical="center" textRotation="255"/>
      <protection locked="0"/>
    </xf>
    <xf numFmtId="0" fontId="2" fillId="0" borderId="30" xfId="0" applyFont="1" applyBorder="1" applyAlignment="1" applyProtection="1">
      <alignment horizontal="center" vertical="center" textRotation="255"/>
      <protection locked="0"/>
    </xf>
    <xf numFmtId="0" fontId="2" fillId="0" borderId="28" xfId="0" applyFont="1" applyBorder="1" applyAlignment="1" applyProtection="1">
      <alignment horizontal="center" vertical="center" textRotation="255"/>
      <protection locked="0"/>
    </xf>
    <xf numFmtId="0" fontId="18" fillId="0" borderId="30" xfId="0" applyFont="1" applyBorder="1" applyAlignment="1" applyProtection="1">
      <alignment horizontal="left" vertical="center"/>
      <protection locked="0"/>
    </xf>
    <xf numFmtId="0" fontId="18" fillId="0" borderId="16" xfId="0" applyFont="1" applyBorder="1" applyAlignment="1" applyProtection="1">
      <alignment horizontal="left" vertical="center"/>
      <protection locked="0"/>
    </xf>
    <xf numFmtId="0" fontId="15" fillId="0" borderId="31" xfId="0" applyFont="1" applyBorder="1" applyAlignment="1" applyProtection="1">
      <alignment horizontal="left" vertical="center"/>
      <protection locked="0"/>
    </xf>
    <xf numFmtId="0" fontId="15" fillId="0" borderId="30" xfId="0" applyFont="1" applyBorder="1" applyAlignment="1" applyProtection="1">
      <alignment horizontal="left" vertical="center"/>
      <protection locked="0"/>
    </xf>
    <xf numFmtId="0" fontId="15" fillId="0" borderId="16" xfId="0" applyFont="1" applyBorder="1" applyAlignment="1" applyProtection="1">
      <alignment horizontal="left" vertical="center"/>
      <protection locked="0"/>
    </xf>
    <xf numFmtId="0" fontId="15" fillId="0" borderId="31" xfId="0" applyFont="1" applyBorder="1" applyProtection="1">
      <alignment vertical="center"/>
      <protection locked="0"/>
    </xf>
    <xf numFmtId="0" fontId="15" fillId="0" borderId="30" xfId="0" applyFont="1" applyBorder="1" applyProtection="1">
      <alignment vertical="center"/>
      <protection locked="0"/>
    </xf>
    <xf numFmtId="0" fontId="15" fillId="0" borderId="16" xfId="0" applyFont="1" applyBorder="1" applyProtection="1">
      <alignment vertical="center"/>
      <protection locked="0"/>
    </xf>
    <xf numFmtId="0" fontId="15" fillId="0" borderId="31" xfId="0" applyFont="1" applyBorder="1" applyAlignment="1" applyProtection="1">
      <alignment horizontal="left" vertical="center" wrapText="1"/>
      <protection locked="0"/>
    </xf>
    <xf numFmtId="0" fontId="15" fillId="0" borderId="30" xfId="0" applyFont="1" applyBorder="1" applyAlignment="1" applyProtection="1">
      <alignment horizontal="left" vertical="center" wrapText="1"/>
      <protection locked="0"/>
    </xf>
    <xf numFmtId="0" fontId="15" fillId="0" borderId="16" xfId="0" applyFont="1" applyBorder="1" applyAlignment="1" applyProtection="1">
      <alignment horizontal="left" vertical="center" wrapText="1"/>
      <protection locked="0"/>
    </xf>
    <xf numFmtId="0" fontId="1" fillId="0" borderId="31" xfId="0" applyFont="1" applyBorder="1" applyProtection="1">
      <alignment vertical="center"/>
      <protection locked="0"/>
    </xf>
    <xf numFmtId="0" fontId="1" fillId="0" borderId="30" xfId="0" applyFont="1" applyBorder="1" applyProtection="1">
      <alignment vertical="center"/>
      <protection locked="0"/>
    </xf>
    <xf numFmtId="0" fontId="1" fillId="0" borderId="16" xfId="0" applyFont="1" applyBorder="1" applyProtection="1">
      <alignment vertical="center"/>
      <protection locked="0"/>
    </xf>
    <xf numFmtId="0" fontId="2" fillId="0" borderId="32" xfId="0" applyFont="1" applyBorder="1" applyProtection="1">
      <alignment vertical="center"/>
      <protection locked="0"/>
    </xf>
    <xf numFmtId="0" fontId="2" fillId="0" borderId="29" xfId="0" applyFont="1" applyBorder="1" applyProtection="1">
      <alignment vertical="center"/>
      <protection locked="0"/>
    </xf>
    <xf numFmtId="0" fontId="2" fillId="0" borderId="27" xfId="0" applyFont="1" applyBorder="1" applyProtection="1">
      <alignment vertical="center"/>
      <protection locked="0"/>
    </xf>
    <xf numFmtId="0" fontId="1" fillId="0" borderId="32"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27" xfId="0" applyFont="1" applyBorder="1" applyAlignment="1" applyProtection="1">
      <alignment horizontal="left" vertical="center"/>
      <protection locked="0"/>
    </xf>
    <xf numFmtId="0" fontId="1" fillId="0" borderId="32" xfId="0" applyFont="1" applyBorder="1" applyProtection="1">
      <alignment vertical="center"/>
      <protection locked="0"/>
    </xf>
    <xf numFmtId="0" fontId="1" fillId="0" borderId="29" xfId="0" applyFont="1" applyBorder="1" applyProtection="1">
      <alignment vertical="center"/>
      <protection locked="0"/>
    </xf>
    <xf numFmtId="0" fontId="1" fillId="0" borderId="27" xfId="0" applyFont="1" applyBorder="1" applyProtection="1">
      <alignment vertical="center"/>
      <protection locked="0"/>
    </xf>
    <xf numFmtId="0" fontId="1" fillId="0" borderId="31"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2" fillId="0" borderId="31" xfId="0" applyFont="1" applyBorder="1" applyAlignment="1" applyProtection="1">
      <alignment horizontal="left" vertical="center"/>
      <protection locked="0"/>
    </xf>
    <xf numFmtId="0" fontId="2" fillId="0" borderId="30" xfId="0" applyFont="1" applyBorder="1" applyAlignment="1" applyProtection="1">
      <alignment horizontal="left" vertical="center"/>
      <protection locked="0"/>
    </xf>
    <xf numFmtId="0" fontId="2" fillId="0" borderId="32" xfId="0" applyFont="1" applyBorder="1" applyAlignment="1" applyProtection="1">
      <alignment horizontal="left" vertical="center"/>
      <protection locked="0"/>
    </xf>
    <xf numFmtId="0" fontId="2" fillId="0" borderId="29" xfId="0" applyFont="1" applyBorder="1" applyAlignment="1" applyProtection="1">
      <alignment horizontal="left" vertical="center"/>
      <protection locked="0"/>
    </xf>
    <xf numFmtId="0" fontId="2" fillId="0" borderId="27" xfId="0" applyFont="1" applyBorder="1" applyAlignment="1" applyProtection="1">
      <alignment horizontal="left" vertical="center"/>
      <protection locked="0"/>
    </xf>
    <xf numFmtId="0" fontId="15" fillId="0" borderId="32" xfId="0" applyFont="1" applyBorder="1" applyAlignment="1" applyProtection="1">
      <alignment horizontal="left" vertical="center"/>
      <protection locked="0"/>
    </xf>
    <xf numFmtId="0" fontId="15" fillId="0" borderId="29" xfId="0" applyFont="1" applyBorder="1" applyAlignment="1" applyProtection="1">
      <alignment horizontal="left" vertical="center"/>
      <protection locked="0"/>
    </xf>
    <xf numFmtId="0" fontId="15" fillId="0" borderId="27" xfId="0" applyFont="1" applyBorder="1" applyAlignment="1" applyProtection="1">
      <alignment horizontal="left" vertical="center"/>
      <protection locked="0"/>
    </xf>
    <xf numFmtId="0" fontId="15" fillId="0" borderId="32" xfId="0" applyFont="1" applyBorder="1" applyAlignment="1" applyProtection="1">
      <alignment horizontal="left" vertical="center" wrapText="1"/>
      <protection locked="0"/>
    </xf>
    <xf numFmtId="0" fontId="15" fillId="0" borderId="29" xfId="0" applyFont="1" applyBorder="1" applyAlignment="1" applyProtection="1">
      <alignment horizontal="left" vertical="center" wrapText="1"/>
      <protection locked="0"/>
    </xf>
    <xf numFmtId="0" fontId="15" fillId="0" borderId="27" xfId="0" applyFont="1" applyBorder="1" applyAlignment="1" applyProtection="1">
      <alignment horizontal="left" vertical="center" wrapText="1"/>
      <protection locked="0"/>
    </xf>
    <xf numFmtId="0" fontId="1" fillId="0" borderId="8" xfId="0" applyFont="1" applyBorder="1" applyAlignment="1" applyProtection="1">
      <alignment horizontal="left" vertical="center"/>
      <protection locked="0"/>
    </xf>
    <xf numFmtId="0" fontId="2" fillId="0" borderId="8" xfId="0" applyFont="1" applyBorder="1" applyAlignment="1" applyProtection="1">
      <alignment horizontal="left" vertical="center"/>
      <protection locked="0"/>
    </xf>
    <xf numFmtId="0" fontId="1" fillId="0" borderId="31" xfId="0" applyFont="1" applyBorder="1" applyAlignment="1" applyProtection="1">
      <alignment horizontal="left" vertical="center" wrapText="1"/>
      <protection locked="0"/>
    </xf>
    <xf numFmtId="0" fontId="1" fillId="0" borderId="30" xfId="0" applyFont="1" applyBorder="1" applyAlignment="1" applyProtection="1">
      <alignment horizontal="left" vertical="center" wrapText="1"/>
      <protection locked="0"/>
    </xf>
    <xf numFmtId="0" fontId="1" fillId="0" borderId="16" xfId="0" applyFont="1" applyBorder="1" applyAlignment="1" applyProtection="1">
      <alignment horizontal="left" vertical="center" wrapText="1"/>
      <protection locked="0"/>
    </xf>
    <xf numFmtId="0" fontId="1" fillId="0" borderId="31" xfId="0" applyFont="1" applyBorder="1" applyAlignment="1" applyProtection="1">
      <alignment horizontal="center" vertical="center" wrapText="1"/>
      <protection locked="0"/>
    </xf>
    <xf numFmtId="0" fontId="1" fillId="0" borderId="30" xfId="0" applyFont="1" applyBorder="1" applyAlignment="1" applyProtection="1">
      <alignment horizontal="center" vertical="center" wrapText="1"/>
      <protection locked="0"/>
    </xf>
    <xf numFmtId="0" fontId="1" fillId="0" borderId="16" xfId="0" applyFont="1" applyBorder="1" applyAlignment="1" applyProtection="1">
      <alignment horizontal="center" vertical="center" wrapText="1"/>
      <protection locked="0"/>
    </xf>
    <xf numFmtId="0" fontId="18" fillId="11" borderId="8" xfId="0" applyFont="1" applyFill="1" applyBorder="1" applyProtection="1">
      <alignment vertical="center"/>
      <protection locked="0"/>
    </xf>
    <xf numFmtId="0" fontId="15" fillId="11" borderId="33" xfId="0" applyFont="1" applyFill="1" applyBorder="1" applyAlignment="1" applyProtection="1">
      <alignment horizontal="center" vertical="center"/>
      <protection locked="0"/>
    </xf>
    <xf numFmtId="0" fontId="15" fillId="11" borderId="32" xfId="0" applyFont="1" applyFill="1" applyBorder="1" applyAlignment="1" applyProtection="1">
      <alignment horizontal="center" vertical="center"/>
      <protection locked="0"/>
    </xf>
    <xf numFmtId="0" fontId="15" fillId="11" borderId="0" xfId="0" applyFont="1" applyFill="1" applyAlignment="1" applyProtection="1">
      <alignment horizontal="center" vertical="center"/>
      <protection locked="0"/>
    </xf>
    <xf numFmtId="0" fontId="15" fillId="11" borderId="29" xfId="0" applyFont="1" applyFill="1" applyBorder="1" applyAlignment="1" applyProtection="1">
      <alignment horizontal="center" vertical="center"/>
      <protection locked="0"/>
    </xf>
    <xf numFmtId="0" fontId="2" fillId="0" borderId="34" xfId="0" applyFont="1" applyBorder="1" applyAlignment="1" applyProtection="1">
      <alignment horizontal="center" vertical="center" wrapText="1"/>
      <protection locked="0"/>
    </xf>
    <xf numFmtId="0" fontId="2" fillId="0" borderId="32" xfId="0" applyFont="1" applyBorder="1" applyAlignment="1" applyProtection="1">
      <alignment horizontal="center" vertical="center" wrapText="1"/>
      <protection locked="0"/>
    </xf>
    <xf numFmtId="0" fontId="2" fillId="0" borderId="29" xfId="0" applyFont="1" applyBorder="1" applyAlignment="1" applyProtection="1">
      <alignment horizontal="center" vertical="center" wrapText="1"/>
      <protection locked="0"/>
    </xf>
    <xf numFmtId="0" fontId="2" fillId="0" borderId="27" xfId="0" applyFont="1" applyBorder="1" applyAlignment="1" applyProtection="1">
      <alignment horizontal="center" vertical="center" wrapText="1"/>
      <protection locked="0"/>
    </xf>
    <xf numFmtId="182" fontId="16" fillId="7" borderId="8" xfId="0" applyNumberFormat="1" applyFont="1" applyFill="1" applyBorder="1" applyAlignment="1">
      <alignment horizontal="center" vertical="center" wrapText="1"/>
    </xf>
    <xf numFmtId="182" fontId="13" fillId="0" borderId="13" xfId="0" applyNumberFormat="1" applyFont="1" applyBorder="1" applyAlignment="1" applyProtection="1">
      <alignment horizontal="center" vertical="center" wrapText="1"/>
      <protection locked="0"/>
    </xf>
    <xf numFmtId="0" fontId="18" fillId="11" borderId="0" xfId="0" applyFont="1" applyFill="1" applyProtection="1">
      <alignment vertical="center"/>
      <protection locked="0"/>
    </xf>
    <xf numFmtId="0" fontId="18" fillId="11" borderId="29" xfId="0" applyFont="1" applyFill="1" applyBorder="1" applyProtection="1">
      <alignment vertical="center"/>
      <protection locked="0"/>
    </xf>
    <xf numFmtId="0" fontId="17" fillId="0" borderId="8" xfId="0" applyFont="1" applyBorder="1" applyAlignment="1" applyProtection="1">
      <alignment horizontal="center" vertical="center"/>
      <protection locked="0"/>
    </xf>
    <xf numFmtId="182" fontId="13" fillId="0" borderId="8" xfId="0" applyNumberFormat="1" applyFont="1" applyBorder="1" applyAlignment="1" applyProtection="1">
      <alignment horizontal="center" vertical="center" wrapText="1"/>
      <protection locked="0"/>
    </xf>
    <xf numFmtId="0" fontId="15" fillId="11" borderId="8" xfId="0" applyFont="1" applyFill="1" applyBorder="1" applyAlignment="1" applyProtection="1">
      <alignment horizontal="center" vertical="center"/>
      <protection locked="0"/>
    </xf>
    <xf numFmtId="0" fontId="1" fillId="0" borderId="0" xfId="0" applyFont="1" applyAlignment="1" applyProtection="1">
      <alignment horizontal="left" vertical="center" wrapText="1"/>
      <protection locked="0"/>
    </xf>
    <xf numFmtId="0" fontId="2" fillId="0" borderId="8" xfId="0" applyFont="1" applyBorder="1" applyAlignment="1" applyProtection="1">
      <alignment horizontal="center" vertical="center"/>
      <protection locked="0"/>
    </xf>
    <xf numFmtId="0" fontId="16" fillId="7" borderId="0" xfId="0" applyFont="1" applyFill="1" applyAlignment="1" applyProtection="1">
      <alignment horizontal="center" vertical="center" wrapText="1"/>
      <protection locked="0"/>
    </xf>
    <xf numFmtId="182" fontId="14" fillId="0" borderId="0" xfId="0" applyNumberFormat="1" applyFont="1" applyAlignment="1">
      <alignment horizontal="left" vertical="center" wrapText="1"/>
    </xf>
    <xf numFmtId="0" fontId="2" fillId="0" borderId="0" xfId="0" applyFont="1" applyAlignment="1">
      <alignment horizontal="center" vertical="center" wrapText="1"/>
    </xf>
    <xf numFmtId="0" fontId="1" fillId="2" borderId="1" xfId="0" applyFont="1" applyFill="1" applyBorder="1" applyAlignment="1" applyProtection="1">
      <alignment horizontal="center" vertical="center"/>
      <protection locked="0"/>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80" fontId="9" fillId="6" borderId="14" xfId="0" applyNumberFormat="1" applyFont="1" applyFill="1" applyBorder="1" applyAlignment="1" applyProtection="1">
      <alignment horizontal="center" vertical="center" wrapText="1"/>
      <protection locked="0"/>
    </xf>
    <xf numFmtId="180" fontId="9" fillId="6" borderId="15" xfId="0" applyNumberFormat="1" applyFont="1" applyFill="1" applyBorder="1" applyAlignment="1" applyProtection="1">
      <alignment horizontal="center" vertical="center" wrapText="1"/>
      <protection locked="0"/>
    </xf>
    <xf numFmtId="180" fontId="9" fillId="6" borderId="22" xfId="0" applyNumberFormat="1" applyFont="1" applyFill="1" applyBorder="1" applyAlignment="1" applyProtection="1">
      <alignment horizontal="center" vertical="center" wrapText="1"/>
      <protection locked="0"/>
    </xf>
    <xf numFmtId="0" fontId="4" fillId="7" borderId="17" xfId="17" applyFont="1" applyFill="1" applyBorder="1" applyAlignment="1">
      <alignment horizontal="center" vertical="center" wrapText="1"/>
    </xf>
    <xf numFmtId="0" fontId="4" fillId="7" borderId="18" xfId="17" applyFont="1" applyFill="1" applyBorder="1" applyAlignment="1">
      <alignment horizontal="center" vertical="center" wrapText="1"/>
    </xf>
    <xf numFmtId="0" fontId="4" fillId="7" borderId="23" xfId="17" applyFont="1" applyFill="1" applyBorder="1" applyAlignment="1">
      <alignment horizontal="center" vertical="center" wrapText="1"/>
    </xf>
    <xf numFmtId="0" fontId="1" fillId="0" borderId="8" xfId="0" applyFont="1" applyBorder="1" applyAlignment="1">
      <alignment horizontal="center"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7" xfId="0" applyFont="1" applyBorder="1" applyAlignment="1">
      <alignment horizontal="left"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7" xfId="0" applyFont="1" applyBorder="1" applyAlignment="1">
      <alignment horizontal="center" vertical="center" wrapText="1"/>
    </xf>
    <xf numFmtId="0" fontId="6" fillId="3" borderId="6"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24" xfId="0" applyFont="1" applyFill="1" applyBorder="1" applyAlignment="1">
      <alignment horizontal="center" vertical="center"/>
    </xf>
    <xf numFmtId="10" fontId="25" fillId="10" borderId="8" xfId="3" applyNumberFormat="1" applyFont="1" applyFill="1" applyBorder="1" applyAlignment="1" applyProtection="1">
      <alignment horizontal="center" vertical="center"/>
    </xf>
    <xf numFmtId="10" fontId="25" fillId="10" borderId="15" xfId="3" applyNumberFormat="1" applyFont="1" applyFill="1" applyBorder="1" applyAlignment="1" applyProtection="1">
      <alignment horizontal="center" vertical="center"/>
    </xf>
  </cellXfs>
  <cellStyles count="20">
    <cellStyle name="Comma 2" xfId="4" xr:uid="{00000000-0005-0000-0000-000010000000}"/>
    <cellStyle name="Hyperlink 3" xfId="9" xr:uid="{00000000-0005-0000-0000-00002F000000}"/>
    <cellStyle name="Hyperlink 4" xfId="11" xr:uid="{00000000-0005-0000-0000-000034000000}"/>
    <cellStyle name="Normal 2" xfId="10" xr:uid="{00000000-0005-0000-0000-000031000000}"/>
    <cellStyle name="Normal 2 2" xfId="5" xr:uid="{00000000-0005-0000-0000-00001C000000}"/>
    <cellStyle name="Normal 2 2 2" xfId="15" xr:uid="{00000000-0005-0000-0000-00003D000000}"/>
    <cellStyle name="Normal 2 3" xfId="16" xr:uid="{00000000-0005-0000-0000-00003E000000}"/>
    <cellStyle name="Normal 3" xfId="13" xr:uid="{00000000-0005-0000-0000-000036000000}"/>
    <cellStyle name="Normal 3 2" xfId="7" xr:uid="{00000000-0005-0000-0000-000027000000}"/>
    <cellStyle name="Normal 3 3" xfId="8" xr:uid="{00000000-0005-0000-0000-00002A000000}"/>
    <cellStyle name="Normal_5.5_Allocation_CE-Process" xfId="2" xr:uid="{00000000-0005-0000-0000-000009000000}"/>
    <cellStyle name="百分比" xfId="3" builtinId="5"/>
    <cellStyle name="常规" xfId="0" builtinId="0"/>
    <cellStyle name="常规 18 2 2" xfId="6" xr:uid="{00000000-0005-0000-0000-000022000000}"/>
    <cellStyle name="常规 2" xfId="17" xr:uid="{00000000-0005-0000-0000-00003F000000}"/>
    <cellStyle name="常规 2 2" xfId="12" xr:uid="{00000000-0005-0000-0000-000035000000}"/>
    <cellStyle name="常规 2 3" xfId="14" xr:uid="{00000000-0005-0000-0000-00003A000000}"/>
    <cellStyle name="常规 2 4" xfId="18" xr:uid="{00000000-0005-0000-0000-000040000000}"/>
    <cellStyle name="常规 3" xfId="19" xr:uid="{00000000-0005-0000-0000-000041000000}"/>
    <cellStyle name="千位分隔" xfId="1" builtinId="3"/>
  </cellStyles>
  <dxfs count="0"/>
  <tableStyles count="0" defaultTableStyle="TableStyleMedium9" defaultPivotStyle="PivotStyleLight16"/>
  <colors>
    <mruColors>
      <color rgb="FF99CCFF"/>
      <color rgb="FFFFFF66"/>
      <color rgb="FFD7E4BC"/>
      <color rgb="FFCCFFCC"/>
      <color rgb="FF93CFD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beb78c\Users\weiqianyun\Documents\WeChat%20Files\weiqianyun002\FileStorage\File\2022-01\&#38468;&#20214;1&#65306;ICT&#39033;&#30446;&#25928;&#30410;&#35780;&#20272;&#21442;&#32771;&#27169;&#22411;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模型说明"/>
      <sheetName val="综合评估表"/>
      <sheetName val=" 财务价值计算表"/>
      <sheetName val="数据明细表"/>
      <sheetName val="折旧及摊销辅助测算表"/>
    </sheetNames>
    <sheetDataSet>
      <sheetData sheetId="0"/>
      <sheetData sheetId="1"/>
      <sheetData sheetId="2"/>
      <sheetData sheetId="3">
        <row r="40">
          <cell r="F40">
            <v>20</v>
          </cell>
          <cell r="H40">
            <v>20</v>
          </cell>
        </row>
        <row r="41">
          <cell r="F41">
            <v>0</v>
          </cell>
        </row>
        <row r="42">
          <cell r="F42">
            <v>0</v>
          </cell>
        </row>
        <row r="43">
          <cell r="F43">
            <v>0</v>
          </cell>
        </row>
        <row r="44">
          <cell r="F44">
            <v>0</v>
          </cell>
        </row>
        <row r="45">
          <cell r="F45">
            <v>0</v>
          </cell>
        </row>
        <row r="46">
          <cell r="F46">
            <v>0</v>
          </cell>
        </row>
        <row r="47">
          <cell r="F47">
            <v>0</v>
          </cell>
        </row>
        <row r="48">
          <cell r="F48">
            <v>0</v>
          </cell>
        </row>
        <row r="49">
          <cell r="F49">
            <v>0</v>
          </cell>
        </row>
        <row r="50">
          <cell r="F50">
            <v>0</v>
          </cell>
        </row>
      </sheetData>
      <sheetData sheetId="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2"/>
  <sheetViews>
    <sheetView workbookViewId="0">
      <selection activeCell="A47" sqref="A47"/>
    </sheetView>
  </sheetViews>
  <sheetFormatPr defaultColWidth="9" defaultRowHeight="14.4" x14ac:dyDescent="0.25"/>
  <cols>
    <col min="1" max="1" width="158.77734375" customWidth="1"/>
  </cols>
  <sheetData>
    <row r="1" spans="1:1" ht="19.05" customHeight="1" x14ac:dyDescent="0.25">
      <c r="A1" s="178" t="s">
        <v>0</v>
      </c>
    </row>
    <row r="2" spans="1:1" ht="19.05" customHeight="1" x14ac:dyDescent="0.25">
      <c r="A2" s="179" t="s">
        <v>1</v>
      </c>
    </row>
    <row r="3" spans="1:1" ht="24" customHeight="1" x14ac:dyDescent="0.25">
      <c r="A3" s="180" t="s">
        <v>2</v>
      </c>
    </row>
    <row r="4" spans="1:1" ht="46.95" customHeight="1" x14ac:dyDescent="0.25">
      <c r="A4" s="181" t="s">
        <v>3</v>
      </c>
    </row>
    <row r="5" spans="1:1" ht="46.95" customHeight="1" x14ac:dyDescent="0.25">
      <c r="A5" s="180" t="s">
        <v>4</v>
      </c>
    </row>
    <row r="6" spans="1:1" ht="28.95" customHeight="1" x14ac:dyDescent="0.25">
      <c r="A6" s="180" t="s">
        <v>5</v>
      </c>
    </row>
    <row r="7" spans="1:1" ht="22.05" customHeight="1" x14ac:dyDescent="0.25">
      <c r="A7" s="182" t="s">
        <v>6</v>
      </c>
    </row>
    <row r="8" spans="1:1" ht="28.05" customHeight="1" x14ac:dyDescent="0.25">
      <c r="A8" s="180" t="s">
        <v>7</v>
      </c>
    </row>
    <row r="9" spans="1:1" ht="18" customHeight="1" x14ac:dyDescent="0.25">
      <c r="A9" s="182" t="s">
        <v>8</v>
      </c>
    </row>
    <row r="10" spans="1:1" ht="42" customHeight="1" x14ac:dyDescent="0.25">
      <c r="A10" s="180" t="s">
        <v>9</v>
      </c>
    </row>
    <row r="11" spans="1:1" ht="27" customHeight="1" x14ac:dyDescent="0.25">
      <c r="A11" s="180" t="s">
        <v>10</v>
      </c>
    </row>
    <row r="12" spans="1:1" ht="28.05" customHeight="1" x14ac:dyDescent="0.25">
      <c r="A12" s="180" t="s">
        <v>11</v>
      </c>
    </row>
  </sheetData>
  <phoneticPr fontId="45" type="noConversion"/>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pageSetUpPr fitToPage="1"/>
  </sheetPr>
  <dimension ref="A1:P31"/>
  <sheetViews>
    <sheetView showGridLines="0" tabSelected="1" view="pageBreakPreview" topLeftCell="A16" zoomScale="55" zoomScaleNormal="100" workbookViewId="0">
      <selection activeCell="C18" sqref="C18"/>
    </sheetView>
  </sheetViews>
  <sheetFormatPr defaultColWidth="9" defaultRowHeight="19.2" x14ac:dyDescent="0.25"/>
  <cols>
    <col min="1" max="1" width="7.6640625" style="145" customWidth="1"/>
    <col min="2" max="3" width="42.88671875" style="145" customWidth="1"/>
    <col min="4" max="4" width="43.88671875" style="145" customWidth="1"/>
    <col min="5" max="5" width="43.44140625" style="145" customWidth="1"/>
    <col min="6" max="6" width="42.88671875" style="146" customWidth="1"/>
    <col min="7" max="7" width="42.88671875" style="145" customWidth="1"/>
    <col min="8" max="9" width="12" style="145" hidden="1" customWidth="1"/>
    <col min="10" max="10" width="33.109375" style="145" hidden="1" customWidth="1"/>
    <col min="11" max="11" width="13.88671875" style="145" hidden="1" customWidth="1"/>
    <col min="12" max="13" width="12" style="145" hidden="1" customWidth="1"/>
    <col min="14" max="15" width="9" style="145" hidden="1" customWidth="1"/>
    <col min="16" max="16384" width="9" style="145"/>
  </cols>
  <sheetData>
    <row r="1" spans="1:12" x14ac:dyDescent="0.25">
      <c r="A1" s="198" t="s">
        <v>12</v>
      </c>
      <c r="B1" s="198"/>
      <c r="C1" s="198"/>
      <c r="D1" s="198"/>
      <c r="E1" s="198"/>
      <c r="F1" s="198"/>
      <c r="G1" s="198"/>
    </row>
    <row r="2" spans="1:12" s="142" customFormat="1" x14ac:dyDescent="0.25">
      <c r="A2" s="198"/>
      <c r="B2" s="198"/>
      <c r="C2" s="198"/>
      <c r="D2" s="198"/>
      <c r="E2" s="198"/>
      <c r="F2" s="198"/>
      <c r="G2" s="198"/>
    </row>
    <row r="3" spans="1:12" s="142" customFormat="1" ht="37.950000000000003" customHeight="1" x14ac:dyDescent="0.25">
      <c r="A3" s="198"/>
      <c r="B3" s="198"/>
      <c r="C3" s="198"/>
      <c r="D3" s="198"/>
      <c r="E3" s="198"/>
      <c r="F3" s="198"/>
      <c r="G3" s="198"/>
    </row>
    <row r="4" spans="1:12" s="142" customFormat="1" ht="53.1" customHeight="1" x14ac:dyDescent="0.25">
      <c r="A4" s="147"/>
      <c r="B4" s="183" t="s">
        <v>13</v>
      </c>
      <c r="C4" s="183"/>
      <c r="D4" s="183"/>
      <c r="E4" s="183"/>
      <c r="F4" s="183"/>
      <c r="G4" s="183"/>
    </row>
    <row r="5" spans="1:12" s="142" customFormat="1" ht="53.1" customHeight="1" x14ac:dyDescent="0.25">
      <c r="A5" s="147"/>
      <c r="B5" s="148" t="s">
        <v>14</v>
      </c>
      <c r="C5" s="149"/>
      <c r="D5" s="148" t="s">
        <v>15</v>
      </c>
      <c r="E5" s="149"/>
      <c r="F5" s="150" t="s">
        <v>16</v>
      </c>
      <c r="G5" s="151"/>
    </row>
    <row r="6" spans="1:12" s="142" customFormat="1" ht="53.1" customHeight="1" x14ac:dyDescent="0.25">
      <c r="A6" s="147"/>
      <c r="B6" s="148" t="s">
        <v>17</v>
      </c>
      <c r="C6" s="149"/>
      <c r="D6" s="148" t="s">
        <v>18</v>
      </c>
      <c r="E6" s="152"/>
      <c r="F6" s="150" t="s">
        <v>19</v>
      </c>
      <c r="G6" s="153"/>
    </row>
    <row r="7" spans="1:12" s="142" customFormat="1" ht="53.1" customHeight="1" x14ac:dyDescent="0.25">
      <c r="A7" s="147"/>
      <c r="B7" s="148" t="s">
        <v>20</v>
      </c>
      <c r="C7" s="149">
        <v>5</v>
      </c>
      <c r="D7" s="148" t="s">
        <v>21</v>
      </c>
      <c r="E7" s="149"/>
      <c r="F7" s="150" t="s">
        <v>22</v>
      </c>
      <c r="G7" s="151"/>
    </row>
    <row r="8" spans="1:12" s="143" customFormat="1" ht="30" customHeight="1" x14ac:dyDescent="0.25">
      <c r="A8" s="154"/>
      <c r="B8" s="155"/>
      <c r="C8" s="155"/>
      <c r="D8" s="155"/>
      <c r="E8" s="155"/>
      <c r="F8" s="156"/>
      <c r="G8" s="157"/>
    </row>
    <row r="9" spans="1:12" s="142" customFormat="1" ht="20.399999999999999" x14ac:dyDescent="0.25">
      <c r="A9" s="147"/>
      <c r="B9" s="147"/>
      <c r="C9" s="147"/>
      <c r="D9" s="158"/>
      <c r="F9" s="159"/>
    </row>
    <row r="10" spans="1:12" ht="50.1" customHeight="1" x14ac:dyDescent="0.25">
      <c r="B10" s="183" t="s">
        <v>23</v>
      </c>
      <c r="C10" s="183"/>
      <c r="D10" s="183"/>
      <c r="E10" s="183"/>
      <c r="F10" s="183"/>
      <c r="G10" s="183"/>
    </row>
    <row r="11" spans="1:12" s="144" customFormat="1" ht="36.9" customHeight="1" x14ac:dyDescent="0.25">
      <c r="B11" s="160" t="s">
        <v>24</v>
      </c>
      <c r="C11" s="161" t="s">
        <v>25</v>
      </c>
      <c r="D11" s="160" t="s">
        <v>26</v>
      </c>
      <c r="E11" s="184" t="s">
        <v>27</v>
      </c>
      <c r="F11" s="184"/>
      <c r="G11" s="161" t="s">
        <v>28</v>
      </c>
    </row>
    <row r="12" spans="1:12" ht="114.9" customHeight="1" x14ac:dyDescent="0.25">
      <c r="B12" s="162" t="s">
        <v>29</v>
      </c>
      <c r="C12" s="163">
        <f>现金流量明细表!C22</f>
        <v>0</v>
      </c>
      <c r="D12" s="164" t="s">
        <v>30</v>
      </c>
      <c r="E12" s="185" t="s">
        <v>31</v>
      </c>
      <c r="F12" s="186"/>
      <c r="G12" s="165" t="s">
        <v>32</v>
      </c>
    </row>
    <row r="13" spans="1:12" ht="114.9" customHeight="1" x14ac:dyDescent="0.25">
      <c r="B13" s="162" t="s">
        <v>33</v>
      </c>
      <c r="C13" s="166" t="e">
        <f>现金流量明细表!C24/现金流量明细表!C20</f>
        <v>#DIV/0!</v>
      </c>
      <c r="D13" s="164" t="s">
        <v>30</v>
      </c>
      <c r="E13" s="185" t="s">
        <v>34</v>
      </c>
      <c r="F13" s="186"/>
      <c r="G13" s="165" t="s">
        <v>35</v>
      </c>
    </row>
    <row r="14" spans="1:12" ht="114.9" customHeight="1" x14ac:dyDescent="0.25">
      <c r="B14" s="162" t="s">
        <v>36</v>
      </c>
      <c r="C14" s="166" t="e">
        <f>IRR(现金流量明细表!D10:O10)</f>
        <v>#NUM!</v>
      </c>
      <c r="D14" s="164" t="s">
        <v>30</v>
      </c>
      <c r="E14" s="185" t="s">
        <v>37</v>
      </c>
      <c r="F14" s="186"/>
      <c r="G14" s="165" t="s">
        <v>38</v>
      </c>
      <c r="I14" s="175" t="s">
        <v>39</v>
      </c>
      <c r="J14" s="175" t="s">
        <v>40</v>
      </c>
      <c r="K14" s="175" t="s">
        <v>41</v>
      </c>
      <c r="L14" s="145" t="s">
        <v>42</v>
      </c>
    </row>
    <row r="15" spans="1:12" ht="114.9" customHeight="1" x14ac:dyDescent="0.25">
      <c r="B15" s="167" t="s">
        <v>43</v>
      </c>
      <c r="C15" s="163" t="e">
        <f>(HLOOKUP(0,现金流量明细表!$16:$28,ROW(现金流量明细表!E18)-ROW(现金流量明细表!E16)+1,FALSE)-1)+ABS(HLOOKUP((HLOOKUP(0,现金流量明细表!$16:$28,ROW(现金流量明细表!E18)-ROW(现金流量明细表!E16)+1,FALSE)-1),现金流量明细表!$18:$28,ROW(现金流量明细表!D24)-ROW(现金流量明细表!D18)+1,FALSE))/(HLOOKUP(0,现金流量明细表!$16:$28,ROW(现金流量明细表!D22)-ROW(现金流量明细表!E16)+1,FALSE))</f>
        <v>#N/A</v>
      </c>
      <c r="D15" s="164" t="s">
        <v>30</v>
      </c>
      <c r="E15" s="185" t="s">
        <v>44</v>
      </c>
      <c r="F15" s="186"/>
      <c r="G15" s="165" t="s">
        <v>45</v>
      </c>
      <c r="I15" s="145" t="e">
        <f>(HLOOKUP(0,现金流量明细表!$16:$28,ROW(现金流量明细表!E18)-ROW(现金流量明细表!E16)+1,FALSE)-1)</f>
        <v>#N/A</v>
      </c>
      <c r="J15" s="145" t="e">
        <f>ABS(HLOOKUP((HLOOKUP(0,现金流量明细表!$16:$28,ROW(现金流量明细表!E18)-ROW(现金流量明细表!E16)+1,FALSE)-1),现金流量明细表!$18:$28,ROW(现金流量明细表!D24)-ROW(现金流量明细表!D18)+1,FALSE))</f>
        <v>#N/A</v>
      </c>
      <c r="K15" s="145" t="e">
        <f>(HLOOKUP(0,现金流量明细表!$16:$28,ROW(现金流量明细表!D22)-ROW(现金流量明细表!E16)+1,FALSE))</f>
        <v>#N/A</v>
      </c>
      <c r="L15" s="176" t="e">
        <f>I15+J15/K15</f>
        <v>#N/A</v>
      </c>
    </row>
    <row r="16" spans="1:12" ht="114.9" customHeight="1" x14ac:dyDescent="0.25">
      <c r="B16" s="167" t="s">
        <v>46</v>
      </c>
      <c r="C16" s="163" t="e">
        <f>(HLOOKUP(0,现金流量明细表!$17:$28,ROW(现金流量明细表!D18)-ROW(现金流量明细表!D17)+1,FALSE)-1)+ABS(HLOOKUP((HLOOKUP(0,现金流量明细表!$17:$28,ROW(现金流量明细表!E18)-ROW(现金流量明细表!E17)+1,FALSE)-1),现金流量明细表!$18:$28,ROW(现金流量明细表!D23)-ROW(现金流量明细表!D18)+1,FALSE))/(HLOOKUP(0,现金流量明细表!$17:$28,ROW(现金流量明细表!D21)-ROW(现金流量明细表!E17)+1,FALSE))</f>
        <v>#N/A</v>
      </c>
      <c r="D16" s="164" t="s">
        <v>30</v>
      </c>
      <c r="E16" s="185" t="s">
        <v>47</v>
      </c>
      <c r="F16" s="186"/>
      <c r="G16" s="165" t="s">
        <v>48</v>
      </c>
      <c r="I16" s="145" t="e">
        <f>(HLOOKUP(0,现金流量明细表!$17:$28,ROW(现金流量明细表!D18)-ROW(现金流量明细表!D17)+1,FALSE)-1)</f>
        <v>#N/A</v>
      </c>
      <c r="J16" s="145" t="e">
        <f>ABS(HLOOKUP((HLOOKUP(0,现金流量明细表!$17:$28,ROW(现金流量明细表!E18)-ROW(现金流量明细表!E17)+1,FALSE)-1),现金流量明细表!$18:$28,ROW(现金流量明细表!D23)-ROW(现金流量明细表!D18)+1,FALSE))</f>
        <v>#N/A</v>
      </c>
      <c r="K16" s="145" t="e">
        <f>(HLOOKUP(0,现金流量明细表!$17:$28,ROW(现金流量明细表!D21)-ROW(现金流量明细表!E17)+1,FALSE))</f>
        <v>#N/A</v>
      </c>
      <c r="L16" s="176" t="e">
        <f>I16+J16/K16</f>
        <v>#N/A</v>
      </c>
    </row>
    <row r="17" spans="1:16" ht="114.9" customHeight="1" x14ac:dyDescent="0.25">
      <c r="B17" s="167" t="s">
        <v>49</v>
      </c>
      <c r="C17" s="163">
        <f>('收入支出明细表（基础数据表）'!T3-'收入支出明细表（基础数据表）'!T96-'收入支出明细表（基础数据表）'!T215)</f>
        <v>0</v>
      </c>
      <c r="D17" s="164" t="s">
        <v>50</v>
      </c>
      <c r="E17" s="185" t="s">
        <v>51</v>
      </c>
      <c r="F17" s="186"/>
      <c r="G17" s="165" t="s">
        <v>52</v>
      </c>
      <c r="L17" s="176"/>
    </row>
    <row r="18" spans="1:16" ht="114.9" customHeight="1" x14ac:dyDescent="0.25">
      <c r="B18" s="162" t="s">
        <v>53</v>
      </c>
      <c r="C18" s="304" t="e">
        <f>('收入支出明细表（基础数据表）'!T3-'收入支出明细表（基础数据表）'!T96-'收入支出明细表（基础数据表）'!T215)/'收入支出明细表（基础数据表）'!T3</f>
        <v>#DIV/0!</v>
      </c>
      <c r="D18" s="164" t="s">
        <v>50</v>
      </c>
      <c r="E18" s="185" t="s">
        <v>54</v>
      </c>
      <c r="F18" s="186"/>
      <c r="G18" s="165" t="s">
        <v>52</v>
      </c>
    </row>
    <row r="19" spans="1:16" customFormat="1" ht="111" customHeight="1" x14ac:dyDescent="0.25">
      <c r="B19" s="162" t="s">
        <v>55</v>
      </c>
      <c r="C19" s="163">
        <f>('收入支出明细表（基础数据表）'!T6-'收入支出明细表（基础数据表）'!T99-'收入支出明细表（基础数据表）'!T140)</f>
        <v>0</v>
      </c>
      <c r="D19" s="164" t="s">
        <v>50</v>
      </c>
      <c r="E19" s="185" t="s">
        <v>56</v>
      </c>
      <c r="F19" s="186"/>
      <c r="G19" s="165" t="s">
        <v>52</v>
      </c>
      <c r="H19" s="145"/>
      <c r="I19" s="145"/>
      <c r="J19" s="145"/>
    </row>
    <row r="20" spans="1:16" customFormat="1" ht="114.9" customHeight="1" x14ac:dyDescent="0.25">
      <c r="B20" s="162" t="s">
        <v>57</v>
      </c>
      <c r="C20" s="305" t="e">
        <f>('收入支出明细表（基础数据表）'!T6-'收入支出明细表（基础数据表）'!T99-'收入支出明细表（基础数据表）'!T140)/'收入支出明细表（基础数据表）'!T6</f>
        <v>#DIV/0!</v>
      </c>
      <c r="D20" s="164" t="s">
        <v>50</v>
      </c>
      <c r="E20" s="187" t="s">
        <v>58</v>
      </c>
      <c r="F20" s="187"/>
      <c r="G20" s="165" t="s">
        <v>52</v>
      </c>
      <c r="I20" s="145"/>
      <c r="J20" s="145"/>
      <c r="K20" s="145"/>
    </row>
    <row r="21" spans="1:16" ht="46.05" customHeight="1" x14ac:dyDescent="0.25">
      <c r="B21" s="168"/>
      <c r="C21" s="168"/>
      <c r="D21" s="169"/>
      <c r="E21" s="170"/>
      <c r="F21" s="170"/>
    </row>
    <row r="22" spans="1:16" ht="45" customHeight="1" x14ac:dyDescent="0.25">
      <c r="B22" s="183" t="s">
        <v>59</v>
      </c>
      <c r="C22" s="183"/>
      <c r="D22" s="183"/>
      <c r="E22" s="183"/>
      <c r="F22" s="183"/>
      <c r="G22" s="183"/>
    </row>
    <row r="23" spans="1:16" ht="39.9" customHeight="1" x14ac:dyDescent="0.25">
      <c r="B23" s="162" t="s">
        <v>24</v>
      </c>
      <c r="C23" s="188" t="s">
        <v>27</v>
      </c>
      <c r="D23" s="188"/>
      <c r="E23" s="188" t="s">
        <v>60</v>
      </c>
      <c r="F23" s="188"/>
      <c r="G23" s="188"/>
    </row>
    <row r="24" spans="1:16" ht="39.9" customHeight="1" x14ac:dyDescent="0.25">
      <c r="B24" s="171" t="s">
        <v>61</v>
      </c>
      <c r="C24" s="189" t="s">
        <v>62</v>
      </c>
      <c r="D24" s="189"/>
      <c r="E24" s="190"/>
      <c r="F24" s="191"/>
      <c r="G24" s="192"/>
    </row>
    <row r="25" spans="1:16" ht="39.9" customHeight="1" x14ac:dyDescent="0.25">
      <c r="B25" s="171" t="s">
        <v>63</v>
      </c>
      <c r="C25" s="189" t="s">
        <v>64</v>
      </c>
      <c r="D25" s="189"/>
      <c r="E25" s="193"/>
      <c r="F25" s="193"/>
      <c r="G25" s="193"/>
    </row>
    <row r="26" spans="1:16" ht="39.9" customHeight="1" x14ac:dyDescent="0.25">
      <c r="B26" s="171" t="s">
        <v>65</v>
      </c>
      <c r="C26" s="189" t="s">
        <v>66</v>
      </c>
      <c r="D26" s="189"/>
      <c r="E26" s="194"/>
      <c r="F26" s="194"/>
      <c r="G26" s="194"/>
    </row>
    <row r="27" spans="1:16" ht="39.9" customHeight="1" x14ac:dyDescent="0.25">
      <c r="B27" s="171" t="s">
        <v>67</v>
      </c>
      <c r="C27" s="189" t="s">
        <v>68</v>
      </c>
      <c r="D27" s="189"/>
      <c r="E27" s="194"/>
      <c r="F27" s="194"/>
      <c r="G27" s="194"/>
    </row>
    <row r="28" spans="1:16" ht="39.9" customHeight="1" x14ac:dyDescent="0.25">
      <c r="B28" s="171" t="s">
        <v>69</v>
      </c>
      <c r="C28" s="189" t="s">
        <v>70</v>
      </c>
      <c r="D28" s="189"/>
      <c r="E28" s="194"/>
      <c r="F28" s="194"/>
      <c r="G28" s="194"/>
    </row>
    <row r="29" spans="1:16" ht="39.9" customHeight="1" x14ac:dyDescent="0.25">
      <c r="B29" s="162" t="s">
        <v>71</v>
      </c>
      <c r="C29" s="195" t="s">
        <v>72</v>
      </c>
      <c r="D29" s="195"/>
      <c r="E29" s="194"/>
      <c r="F29" s="194"/>
      <c r="G29" s="194"/>
    </row>
    <row r="30" spans="1:16" ht="39.9" customHeight="1" x14ac:dyDescent="0.25">
      <c r="B30" s="172"/>
      <c r="C30" s="173"/>
      <c r="D30" s="173"/>
      <c r="E30" s="174"/>
      <c r="F30" s="174"/>
      <c r="G30" s="174"/>
    </row>
    <row r="31" spans="1:16" ht="39.9" customHeight="1" x14ac:dyDescent="0.25">
      <c r="A31" s="196"/>
      <c r="B31" s="197"/>
      <c r="C31" s="197"/>
      <c r="D31" s="197"/>
      <c r="E31" s="197"/>
      <c r="F31" s="197"/>
      <c r="G31" s="197"/>
      <c r="P31" s="177"/>
    </row>
  </sheetData>
  <mergeCells count="29">
    <mergeCell ref="A31:G31"/>
    <mergeCell ref="A1:G3"/>
    <mergeCell ref="C27:D27"/>
    <mergeCell ref="E27:G27"/>
    <mergeCell ref="C28:D28"/>
    <mergeCell ref="E28:G28"/>
    <mergeCell ref="C29:D29"/>
    <mergeCell ref="E29:G29"/>
    <mergeCell ref="C24:D24"/>
    <mergeCell ref="E24:G24"/>
    <mergeCell ref="C25:D25"/>
    <mergeCell ref="E25:G25"/>
    <mergeCell ref="C26:D26"/>
    <mergeCell ref="E26:G26"/>
    <mergeCell ref="E19:F19"/>
    <mergeCell ref="E20:F20"/>
    <mergeCell ref="B22:G22"/>
    <mergeCell ref="C23:D23"/>
    <mergeCell ref="E23:G23"/>
    <mergeCell ref="E14:F14"/>
    <mergeCell ref="E15:F15"/>
    <mergeCell ref="E16:F16"/>
    <mergeCell ref="E17:F17"/>
    <mergeCell ref="E18:F18"/>
    <mergeCell ref="B4:G4"/>
    <mergeCell ref="B10:G10"/>
    <mergeCell ref="E11:F11"/>
    <mergeCell ref="E12:F12"/>
    <mergeCell ref="E13:F13"/>
  </mergeCells>
  <phoneticPr fontId="45" type="noConversion"/>
  <dataValidations count="4">
    <dataValidation type="list" allowBlank="1" showInputMessage="1" showErrorMessage="1" sqref="C6" xr:uid="{00000000-0002-0000-0100-000000000000}">
      <formula1>"主要责任人,代理人"</formula1>
    </dataValidation>
    <dataValidation type="list" allowBlank="1" showInputMessage="1" showErrorMessage="1" sqref="E6" xr:uid="{00000000-0002-0000-0100-000001000000}">
      <formula1>"购销,代理采购,受托代销,自有设备经营租赁,自有设备融资租赁,转租赁（经营租赁）,转租赁（融资租赁）"</formula1>
    </dataValidation>
    <dataValidation type="list" allowBlank="1" showInputMessage="1" showErrorMessage="1" sqref="G6" xr:uid="{00000000-0002-0000-0100-000002000000}">
      <formula1>"我公司,客户,供应商"</formula1>
    </dataValidation>
    <dataValidation type="list" allowBlank="1" showInputMessage="1" showErrorMessage="1" sqref="E7 G7 E8 G8" xr:uid="{00000000-0002-0000-0100-000003000000}">
      <formula1>"是,否"</formula1>
    </dataValidation>
  </dataValidations>
  <pageMargins left="0.70866141732283505" right="0.70866141732283505" top="0.74803149606299202" bottom="0.74803149606299202" header="0.31496062992126" footer="0.31496062992126"/>
  <pageSetup paperSize="9" scale="27" orientation="landscape" horizontalDpi="2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L225"/>
  <sheetViews>
    <sheetView topLeftCell="B1" zoomScale="85" zoomScaleNormal="85" workbookViewId="0">
      <pane xSplit="3" ySplit="2" topLeftCell="E3" activePane="bottomRight" state="frozen"/>
      <selection pane="topRight"/>
      <selection pane="bottomLeft"/>
      <selection pane="bottomRight" activeCell="D1" sqref="D1:S1"/>
    </sheetView>
  </sheetViews>
  <sheetFormatPr defaultColWidth="9" defaultRowHeight="15" x14ac:dyDescent="0.25"/>
  <cols>
    <col min="1" max="1" width="7.6640625" style="75" customWidth="1"/>
    <col min="2" max="2" width="11.6640625" style="75" customWidth="1"/>
    <col min="3" max="3" width="17.88671875" style="75" customWidth="1"/>
    <col min="4" max="4" width="12.33203125" style="75" customWidth="1"/>
    <col min="5" max="5" width="7" style="75" customWidth="1"/>
    <col min="6" max="6" width="7.44140625" style="75" customWidth="1"/>
    <col min="7" max="7" width="10.77734375" style="75" customWidth="1"/>
    <col min="8" max="10" width="11.77734375" style="75" customWidth="1"/>
    <col min="11" max="11" width="11.77734375" style="94" customWidth="1"/>
    <col min="12" max="13" width="11.77734375" style="75" customWidth="1"/>
    <col min="14" max="14" width="11.77734375" style="95" customWidth="1"/>
    <col min="15" max="19" width="11.77734375" style="75" customWidth="1"/>
    <col min="20" max="20" width="14" style="75" hidden="1" customWidth="1"/>
    <col min="21" max="32" width="16.5546875" style="75" hidden="1" customWidth="1"/>
    <col min="33" max="33" width="50" style="75" customWidth="1"/>
    <col min="34" max="34" width="9.77734375" style="75" customWidth="1"/>
    <col min="35" max="16384" width="9" style="75"/>
  </cols>
  <sheetData>
    <row r="1" spans="1:38" s="73" customFormat="1" ht="35.700000000000003" customHeight="1" x14ac:dyDescent="0.25">
      <c r="A1" s="114" t="s">
        <v>73</v>
      </c>
      <c r="B1" s="115" t="s">
        <v>74</v>
      </c>
      <c r="C1" s="116"/>
      <c r="D1" s="199" t="s">
        <v>75</v>
      </c>
      <c r="E1" s="199"/>
      <c r="F1" s="199"/>
      <c r="G1" s="200"/>
      <c r="H1" s="200"/>
      <c r="I1" s="200"/>
      <c r="J1" s="200"/>
      <c r="K1" s="200"/>
      <c r="L1" s="200"/>
      <c r="M1" s="200"/>
      <c r="N1" s="200"/>
      <c r="O1" s="200"/>
      <c r="P1" s="200"/>
      <c r="Q1" s="200"/>
      <c r="R1" s="200"/>
      <c r="S1" s="200"/>
      <c r="T1" s="130"/>
      <c r="U1" s="130"/>
      <c r="V1" s="130"/>
      <c r="W1" s="130"/>
      <c r="X1" s="130"/>
      <c r="Y1" s="130"/>
      <c r="Z1" s="130"/>
      <c r="AA1" s="130"/>
      <c r="AB1" s="130"/>
      <c r="AC1" s="130"/>
      <c r="AD1" s="130"/>
      <c r="AE1" s="130"/>
      <c r="AF1" s="130"/>
    </row>
    <row r="2" spans="1:38" ht="50.7" customHeight="1" x14ac:dyDescent="0.25">
      <c r="A2" s="201" t="s">
        <v>76</v>
      </c>
      <c r="B2" s="202"/>
      <c r="C2" s="203"/>
      <c r="D2" s="96"/>
      <c r="E2" s="97" t="s">
        <v>77</v>
      </c>
      <c r="F2" s="97" t="s">
        <v>78</v>
      </c>
      <c r="G2" s="77" t="s">
        <v>79</v>
      </c>
      <c r="H2" s="78" t="s">
        <v>80</v>
      </c>
      <c r="I2" s="78" t="s">
        <v>81</v>
      </c>
      <c r="J2" s="78" t="s">
        <v>82</v>
      </c>
      <c r="K2" s="78" t="s">
        <v>83</v>
      </c>
      <c r="L2" s="78" t="s">
        <v>84</v>
      </c>
      <c r="M2" s="78" t="s">
        <v>85</v>
      </c>
      <c r="N2" s="78" t="s">
        <v>86</v>
      </c>
      <c r="O2" s="78" t="s">
        <v>87</v>
      </c>
      <c r="P2" s="78" t="s">
        <v>88</v>
      </c>
      <c r="Q2" s="78" t="s">
        <v>89</v>
      </c>
      <c r="R2" s="78" t="s">
        <v>90</v>
      </c>
      <c r="S2" s="78" t="s">
        <v>91</v>
      </c>
      <c r="T2" s="77" t="s">
        <v>92</v>
      </c>
      <c r="U2" s="78" t="s">
        <v>93</v>
      </c>
      <c r="V2" s="78" t="s">
        <v>94</v>
      </c>
      <c r="W2" s="78" t="s">
        <v>95</v>
      </c>
      <c r="X2" s="78" t="s">
        <v>96</v>
      </c>
      <c r="Y2" s="78" t="s">
        <v>97</v>
      </c>
      <c r="Z2" s="78" t="s">
        <v>98</v>
      </c>
      <c r="AA2" s="78" t="s">
        <v>99</v>
      </c>
      <c r="AB2" s="78" t="s">
        <v>100</v>
      </c>
      <c r="AC2" s="78" t="s">
        <v>101</v>
      </c>
      <c r="AD2" s="78" t="s">
        <v>102</v>
      </c>
      <c r="AE2" s="78" t="s">
        <v>90</v>
      </c>
      <c r="AF2" s="78" t="s">
        <v>91</v>
      </c>
      <c r="AG2" s="77" t="s">
        <v>27</v>
      </c>
      <c r="AL2" s="90"/>
    </row>
    <row r="3" spans="1:38" ht="22.05" customHeight="1" x14ac:dyDescent="0.25">
      <c r="A3" s="204" t="s">
        <v>103</v>
      </c>
      <c r="B3" s="263" t="s">
        <v>104</v>
      </c>
      <c r="C3" s="263"/>
      <c r="D3" s="79" t="s">
        <v>103</v>
      </c>
      <c r="E3" s="80"/>
      <c r="F3" s="80"/>
      <c r="G3" s="117">
        <f>G6+G40</f>
        <v>0</v>
      </c>
      <c r="H3" s="117">
        <f t="shared" ref="H3:AF3" si="0">H6+H40</f>
        <v>0</v>
      </c>
      <c r="I3" s="117">
        <f t="shared" si="0"/>
        <v>0</v>
      </c>
      <c r="J3" s="117">
        <f t="shared" si="0"/>
        <v>0</v>
      </c>
      <c r="K3" s="117">
        <f t="shared" si="0"/>
        <v>0</v>
      </c>
      <c r="L3" s="117">
        <f t="shared" si="0"/>
        <v>0</v>
      </c>
      <c r="M3" s="117">
        <f t="shared" si="0"/>
        <v>0</v>
      </c>
      <c r="N3" s="117">
        <f t="shared" si="0"/>
        <v>0</v>
      </c>
      <c r="O3" s="117">
        <f t="shared" si="0"/>
        <v>0</v>
      </c>
      <c r="P3" s="117">
        <f t="shared" si="0"/>
        <v>0</v>
      </c>
      <c r="Q3" s="117">
        <f t="shared" si="0"/>
        <v>0</v>
      </c>
      <c r="R3" s="117">
        <f t="shared" si="0"/>
        <v>0</v>
      </c>
      <c r="S3" s="117">
        <f t="shared" si="0"/>
        <v>0</v>
      </c>
      <c r="T3" s="117">
        <f t="shared" si="0"/>
        <v>0</v>
      </c>
      <c r="U3" s="117">
        <f t="shared" si="0"/>
        <v>0</v>
      </c>
      <c r="V3" s="117">
        <f t="shared" si="0"/>
        <v>0</v>
      </c>
      <c r="W3" s="117">
        <f t="shared" si="0"/>
        <v>0</v>
      </c>
      <c r="X3" s="117">
        <f t="shared" si="0"/>
        <v>0</v>
      </c>
      <c r="Y3" s="117">
        <f t="shared" si="0"/>
        <v>0</v>
      </c>
      <c r="Z3" s="117">
        <f t="shared" si="0"/>
        <v>0</v>
      </c>
      <c r="AA3" s="117">
        <f t="shared" si="0"/>
        <v>0</v>
      </c>
      <c r="AB3" s="117">
        <f t="shared" si="0"/>
        <v>0</v>
      </c>
      <c r="AC3" s="117">
        <f t="shared" si="0"/>
        <v>0</v>
      </c>
      <c r="AD3" s="117">
        <f t="shared" si="0"/>
        <v>0</v>
      </c>
      <c r="AE3" s="117">
        <f t="shared" si="0"/>
        <v>0</v>
      </c>
      <c r="AF3" s="117">
        <f t="shared" si="0"/>
        <v>0</v>
      </c>
      <c r="AG3" s="86"/>
      <c r="AL3" s="90"/>
    </row>
    <row r="4" spans="1:38" ht="22.05" customHeight="1" x14ac:dyDescent="0.25">
      <c r="A4" s="204"/>
      <c r="B4" s="263"/>
      <c r="C4" s="263"/>
      <c r="D4" s="79" t="s">
        <v>105</v>
      </c>
      <c r="E4" s="80"/>
      <c r="F4" s="80"/>
      <c r="G4" s="117">
        <f>G7+G41</f>
        <v>0</v>
      </c>
      <c r="H4" s="117">
        <f t="shared" ref="H4:AF4" si="1">H7+H41</f>
        <v>0</v>
      </c>
      <c r="I4" s="117">
        <f t="shared" si="1"/>
        <v>0</v>
      </c>
      <c r="J4" s="117">
        <f t="shared" si="1"/>
        <v>0</v>
      </c>
      <c r="K4" s="117">
        <f t="shared" si="1"/>
        <v>0</v>
      </c>
      <c r="L4" s="117">
        <f t="shared" si="1"/>
        <v>0</v>
      </c>
      <c r="M4" s="117">
        <f t="shared" si="1"/>
        <v>0</v>
      </c>
      <c r="N4" s="117">
        <f t="shared" si="1"/>
        <v>0</v>
      </c>
      <c r="O4" s="117">
        <f t="shared" si="1"/>
        <v>0</v>
      </c>
      <c r="P4" s="117">
        <f t="shared" si="1"/>
        <v>0</v>
      </c>
      <c r="Q4" s="117">
        <f t="shared" si="1"/>
        <v>0</v>
      </c>
      <c r="R4" s="117">
        <f t="shared" si="1"/>
        <v>0</v>
      </c>
      <c r="S4" s="117">
        <f t="shared" si="1"/>
        <v>0</v>
      </c>
      <c r="T4" s="117">
        <f t="shared" si="1"/>
        <v>0</v>
      </c>
      <c r="U4" s="117">
        <f t="shared" si="1"/>
        <v>0</v>
      </c>
      <c r="V4" s="117">
        <f t="shared" si="1"/>
        <v>0</v>
      </c>
      <c r="W4" s="117">
        <f t="shared" si="1"/>
        <v>0</v>
      </c>
      <c r="X4" s="117">
        <f t="shared" si="1"/>
        <v>0</v>
      </c>
      <c r="Y4" s="117">
        <f t="shared" si="1"/>
        <v>0</v>
      </c>
      <c r="Z4" s="117">
        <f t="shared" si="1"/>
        <v>0</v>
      </c>
      <c r="AA4" s="117">
        <f t="shared" si="1"/>
        <v>0</v>
      </c>
      <c r="AB4" s="117">
        <f t="shared" si="1"/>
        <v>0</v>
      </c>
      <c r="AC4" s="117">
        <f t="shared" si="1"/>
        <v>0</v>
      </c>
      <c r="AD4" s="117">
        <f t="shared" si="1"/>
        <v>0</v>
      </c>
      <c r="AE4" s="117">
        <f t="shared" si="1"/>
        <v>0</v>
      </c>
      <c r="AF4" s="117">
        <f t="shared" si="1"/>
        <v>0</v>
      </c>
      <c r="AG4" s="86"/>
      <c r="AL4" s="90"/>
    </row>
    <row r="5" spans="1:38" ht="22.05" customHeight="1" x14ac:dyDescent="0.25">
      <c r="A5" s="204"/>
      <c r="B5" s="263"/>
      <c r="C5" s="263"/>
      <c r="D5" s="79" t="s">
        <v>106</v>
      </c>
      <c r="E5" s="80"/>
      <c r="F5" s="80"/>
      <c r="G5" s="117"/>
      <c r="H5" s="118" t="e">
        <f t="shared" ref="H5:S5" si="2">H4/$G4</f>
        <v>#DIV/0!</v>
      </c>
      <c r="I5" s="118" t="e">
        <f t="shared" si="2"/>
        <v>#DIV/0!</v>
      </c>
      <c r="J5" s="118" t="e">
        <f t="shared" si="2"/>
        <v>#DIV/0!</v>
      </c>
      <c r="K5" s="118" t="e">
        <f t="shared" si="2"/>
        <v>#DIV/0!</v>
      </c>
      <c r="L5" s="118" t="e">
        <f t="shared" si="2"/>
        <v>#DIV/0!</v>
      </c>
      <c r="M5" s="118" t="e">
        <f t="shared" si="2"/>
        <v>#DIV/0!</v>
      </c>
      <c r="N5" s="118" t="e">
        <f t="shared" si="2"/>
        <v>#DIV/0!</v>
      </c>
      <c r="O5" s="118" t="e">
        <f t="shared" si="2"/>
        <v>#DIV/0!</v>
      </c>
      <c r="P5" s="118" t="e">
        <f t="shared" si="2"/>
        <v>#DIV/0!</v>
      </c>
      <c r="Q5" s="118" t="e">
        <f t="shared" si="2"/>
        <v>#DIV/0!</v>
      </c>
      <c r="R5" s="118" t="e">
        <f t="shared" si="2"/>
        <v>#DIV/0!</v>
      </c>
      <c r="S5" s="118" t="e">
        <f t="shared" si="2"/>
        <v>#DIV/0!</v>
      </c>
      <c r="T5" s="118"/>
      <c r="U5" s="118"/>
      <c r="V5" s="118"/>
      <c r="W5" s="118"/>
      <c r="X5" s="118"/>
      <c r="Y5" s="118"/>
      <c r="Z5" s="118"/>
      <c r="AA5" s="118"/>
      <c r="AB5" s="118"/>
      <c r="AC5" s="118"/>
      <c r="AD5" s="118"/>
      <c r="AE5" s="118"/>
      <c r="AF5" s="117"/>
      <c r="AG5" s="86"/>
      <c r="AL5" s="90"/>
    </row>
    <row r="6" spans="1:38" ht="22.05" customHeight="1" x14ac:dyDescent="0.25">
      <c r="A6" s="204"/>
      <c r="B6" s="207" t="s">
        <v>107</v>
      </c>
      <c r="C6" s="218" t="s">
        <v>108</v>
      </c>
      <c r="D6" s="79" t="s">
        <v>103</v>
      </c>
      <c r="E6" s="79"/>
      <c r="F6" s="80"/>
      <c r="G6" s="117">
        <f>SUM(G9+G27+G30+G33+G36)</f>
        <v>0</v>
      </c>
      <c r="H6" s="117">
        <f t="shared" ref="H6:AF6" si="3">SUM(H9+H27+H30+H33+H36)</f>
        <v>0</v>
      </c>
      <c r="I6" s="117">
        <f t="shared" si="3"/>
        <v>0</v>
      </c>
      <c r="J6" s="117">
        <f t="shared" si="3"/>
        <v>0</v>
      </c>
      <c r="K6" s="117">
        <f t="shared" si="3"/>
        <v>0</v>
      </c>
      <c r="L6" s="117">
        <f t="shared" si="3"/>
        <v>0</v>
      </c>
      <c r="M6" s="117">
        <f t="shared" si="3"/>
        <v>0</v>
      </c>
      <c r="N6" s="117">
        <f t="shared" si="3"/>
        <v>0</v>
      </c>
      <c r="O6" s="117">
        <f t="shared" si="3"/>
        <v>0</v>
      </c>
      <c r="P6" s="117">
        <f t="shared" si="3"/>
        <v>0</v>
      </c>
      <c r="Q6" s="117">
        <f t="shared" si="3"/>
        <v>0</v>
      </c>
      <c r="R6" s="117">
        <f t="shared" si="3"/>
        <v>0</v>
      </c>
      <c r="S6" s="117">
        <f t="shared" si="3"/>
        <v>0</v>
      </c>
      <c r="T6" s="117">
        <f t="shared" si="3"/>
        <v>0</v>
      </c>
      <c r="U6" s="117">
        <f t="shared" si="3"/>
        <v>0</v>
      </c>
      <c r="V6" s="117">
        <f t="shared" si="3"/>
        <v>0</v>
      </c>
      <c r="W6" s="117">
        <f t="shared" si="3"/>
        <v>0</v>
      </c>
      <c r="X6" s="117">
        <f t="shared" si="3"/>
        <v>0</v>
      </c>
      <c r="Y6" s="117">
        <f t="shared" si="3"/>
        <v>0</v>
      </c>
      <c r="Z6" s="117">
        <f t="shared" si="3"/>
        <v>0</v>
      </c>
      <c r="AA6" s="117">
        <f t="shared" si="3"/>
        <v>0</v>
      </c>
      <c r="AB6" s="117">
        <f t="shared" si="3"/>
        <v>0</v>
      </c>
      <c r="AC6" s="117">
        <f t="shared" si="3"/>
        <v>0</v>
      </c>
      <c r="AD6" s="117">
        <f t="shared" si="3"/>
        <v>0</v>
      </c>
      <c r="AE6" s="117">
        <f t="shared" si="3"/>
        <v>0</v>
      </c>
      <c r="AF6" s="117">
        <f t="shared" si="3"/>
        <v>0</v>
      </c>
      <c r="AG6" s="86"/>
      <c r="AL6" s="90"/>
    </row>
    <row r="7" spans="1:38" ht="22.05" customHeight="1" x14ac:dyDescent="0.25">
      <c r="A7" s="204"/>
      <c r="B7" s="208"/>
      <c r="C7" s="218"/>
      <c r="D7" s="79" t="s">
        <v>105</v>
      </c>
      <c r="E7" s="79"/>
      <c r="F7" s="80"/>
      <c r="G7" s="117">
        <f>SUM(G10+G28+G31+G34+G37)</f>
        <v>0</v>
      </c>
      <c r="H7" s="117">
        <f t="shared" ref="H7:AF7" si="4">SUM(H10+H28+H31+H34+H37)</f>
        <v>0</v>
      </c>
      <c r="I7" s="117">
        <f t="shared" si="4"/>
        <v>0</v>
      </c>
      <c r="J7" s="117">
        <f t="shared" si="4"/>
        <v>0</v>
      </c>
      <c r="K7" s="117">
        <f t="shared" si="4"/>
        <v>0</v>
      </c>
      <c r="L7" s="117">
        <f t="shared" si="4"/>
        <v>0</v>
      </c>
      <c r="M7" s="117">
        <f t="shared" si="4"/>
        <v>0</v>
      </c>
      <c r="N7" s="117">
        <f t="shared" si="4"/>
        <v>0</v>
      </c>
      <c r="O7" s="117">
        <f t="shared" si="4"/>
        <v>0</v>
      </c>
      <c r="P7" s="117">
        <f t="shared" si="4"/>
        <v>0</v>
      </c>
      <c r="Q7" s="117">
        <f t="shared" si="4"/>
        <v>0</v>
      </c>
      <c r="R7" s="117">
        <f t="shared" si="4"/>
        <v>0</v>
      </c>
      <c r="S7" s="117">
        <f t="shared" si="4"/>
        <v>0</v>
      </c>
      <c r="T7" s="117">
        <f t="shared" si="4"/>
        <v>0</v>
      </c>
      <c r="U7" s="117">
        <f t="shared" si="4"/>
        <v>0</v>
      </c>
      <c r="V7" s="117">
        <f t="shared" si="4"/>
        <v>0</v>
      </c>
      <c r="W7" s="117">
        <f t="shared" si="4"/>
        <v>0</v>
      </c>
      <c r="X7" s="117">
        <f t="shared" si="4"/>
        <v>0</v>
      </c>
      <c r="Y7" s="117">
        <f t="shared" si="4"/>
        <v>0</v>
      </c>
      <c r="Z7" s="117">
        <f t="shared" si="4"/>
        <v>0</v>
      </c>
      <c r="AA7" s="117">
        <f t="shared" si="4"/>
        <v>0</v>
      </c>
      <c r="AB7" s="117">
        <f t="shared" si="4"/>
        <v>0</v>
      </c>
      <c r="AC7" s="117">
        <f t="shared" si="4"/>
        <v>0</v>
      </c>
      <c r="AD7" s="117">
        <f t="shared" si="4"/>
        <v>0</v>
      </c>
      <c r="AE7" s="117">
        <f t="shared" si="4"/>
        <v>0</v>
      </c>
      <c r="AF7" s="117">
        <f t="shared" si="4"/>
        <v>0</v>
      </c>
      <c r="AG7" s="86"/>
      <c r="AL7" s="90"/>
    </row>
    <row r="8" spans="1:38" ht="22.05" customHeight="1" x14ac:dyDescent="0.25">
      <c r="A8" s="204"/>
      <c r="B8" s="208"/>
      <c r="C8" s="219"/>
      <c r="D8" s="79" t="s">
        <v>106</v>
      </c>
      <c r="E8" s="79"/>
      <c r="F8" s="80"/>
      <c r="G8" s="117"/>
      <c r="H8" s="118" t="e">
        <f>H7/$G7</f>
        <v>#DIV/0!</v>
      </c>
      <c r="I8" s="118" t="e">
        <f>I7/$G7</f>
        <v>#DIV/0!</v>
      </c>
      <c r="J8" s="118" t="e">
        <f t="shared" ref="J8:S8" si="5">J7/$G7</f>
        <v>#DIV/0!</v>
      </c>
      <c r="K8" s="118" t="e">
        <f t="shared" si="5"/>
        <v>#DIV/0!</v>
      </c>
      <c r="L8" s="118" t="e">
        <f t="shared" si="5"/>
        <v>#DIV/0!</v>
      </c>
      <c r="M8" s="118" t="e">
        <f t="shared" si="5"/>
        <v>#DIV/0!</v>
      </c>
      <c r="N8" s="118" t="e">
        <f t="shared" si="5"/>
        <v>#DIV/0!</v>
      </c>
      <c r="O8" s="118" t="e">
        <f t="shared" si="5"/>
        <v>#DIV/0!</v>
      </c>
      <c r="P8" s="118" t="e">
        <f t="shared" si="5"/>
        <v>#DIV/0!</v>
      </c>
      <c r="Q8" s="118" t="e">
        <f t="shared" si="5"/>
        <v>#DIV/0!</v>
      </c>
      <c r="R8" s="118" t="e">
        <f t="shared" si="5"/>
        <v>#DIV/0!</v>
      </c>
      <c r="S8" s="118" t="e">
        <f t="shared" si="5"/>
        <v>#DIV/0!</v>
      </c>
      <c r="T8" s="117"/>
      <c r="U8" s="117"/>
      <c r="V8" s="117"/>
      <c r="W8" s="117"/>
      <c r="X8" s="117"/>
      <c r="Y8" s="117"/>
      <c r="Z8" s="117"/>
      <c r="AA8" s="117"/>
      <c r="AB8" s="117"/>
      <c r="AC8" s="117"/>
      <c r="AD8" s="117"/>
      <c r="AE8" s="117"/>
      <c r="AF8" s="117"/>
      <c r="AG8" s="86"/>
      <c r="AL8" s="90"/>
    </row>
    <row r="9" spans="1:38" ht="22.05" customHeight="1" x14ac:dyDescent="0.25">
      <c r="A9" s="204"/>
      <c r="B9" s="208"/>
      <c r="C9" s="220" t="s">
        <v>109</v>
      </c>
      <c r="D9" s="79" t="s">
        <v>103</v>
      </c>
      <c r="E9" s="79"/>
      <c r="F9" s="84">
        <v>0.06</v>
      </c>
      <c r="G9" s="117">
        <f>SUM(G12+G15+G18+G21+G24)</f>
        <v>0</v>
      </c>
      <c r="H9" s="117">
        <f t="shared" ref="H9:S9" si="6">SUM(H12+H15+H18+H21+H24)</f>
        <v>0</v>
      </c>
      <c r="I9" s="117">
        <f t="shared" si="6"/>
        <v>0</v>
      </c>
      <c r="J9" s="117">
        <f t="shared" si="6"/>
        <v>0</v>
      </c>
      <c r="K9" s="117">
        <f t="shared" si="6"/>
        <v>0</v>
      </c>
      <c r="L9" s="117">
        <f t="shared" si="6"/>
        <v>0</v>
      </c>
      <c r="M9" s="117">
        <f t="shared" si="6"/>
        <v>0</v>
      </c>
      <c r="N9" s="117">
        <f t="shared" si="6"/>
        <v>0</v>
      </c>
      <c r="O9" s="117">
        <f t="shared" si="6"/>
        <v>0</v>
      </c>
      <c r="P9" s="117">
        <f t="shared" si="6"/>
        <v>0</v>
      </c>
      <c r="Q9" s="117">
        <f t="shared" si="6"/>
        <v>0</v>
      </c>
      <c r="R9" s="117">
        <f t="shared" si="6"/>
        <v>0</v>
      </c>
      <c r="S9" s="117">
        <f t="shared" si="6"/>
        <v>0</v>
      </c>
      <c r="T9" s="117">
        <f t="shared" ref="T9:AF9" si="7">SUM(T12+T15+T18+T21+T24)</f>
        <v>0</v>
      </c>
      <c r="U9" s="117">
        <f t="shared" si="7"/>
        <v>0</v>
      </c>
      <c r="V9" s="117">
        <f t="shared" si="7"/>
        <v>0</v>
      </c>
      <c r="W9" s="117">
        <f t="shared" si="7"/>
        <v>0</v>
      </c>
      <c r="X9" s="117">
        <f t="shared" si="7"/>
        <v>0</v>
      </c>
      <c r="Y9" s="117">
        <f t="shared" si="7"/>
        <v>0</v>
      </c>
      <c r="Z9" s="117">
        <f t="shared" si="7"/>
        <v>0</v>
      </c>
      <c r="AA9" s="117">
        <f t="shared" si="7"/>
        <v>0</v>
      </c>
      <c r="AB9" s="117">
        <f t="shared" si="7"/>
        <v>0</v>
      </c>
      <c r="AC9" s="117">
        <f t="shared" si="7"/>
        <v>0</v>
      </c>
      <c r="AD9" s="117">
        <f t="shared" si="7"/>
        <v>0</v>
      </c>
      <c r="AE9" s="117">
        <f t="shared" si="7"/>
        <v>0</v>
      </c>
      <c r="AF9" s="117">
        <f t="shared" si="7"/>
        <v>0</v>
      </c>
      <c r="AG9" s="86"/>
    </row>
    <row r="10" spans="1:38" ht="22.05" customHeight="1" x14ac:dyDescent="0.25">
      <c r="A10" s="204"/>
      <c r="B10" s="208"/>
      <c r="C10" s="221"/>
      <c r="D10" s="79" t="s">
        <v>105</v>
      </c>
      <c r="E10" s="79"/>
      <c r="F10" s="80"/>
      <c r="G10" s="117">
        <f>SUM(G13+G16+G19+G22+G25)</f>
        <v>0</v>
      </c>
      <c r="H10" s="117">
        <f>SUM(H13+H16+H19+H22+H25)</f>
        <v>0</v>
      </c>
      <c r="I10" s="117">
        <f t="shared" ref="I10:S10" si="8">SUM(I13+I16+I19+I22+I25)</f>
        <v>0</v>
      </c>
      <c r="J10" s="117">
        <f t="shared" si="8"/>
        <v>0</v>
      </c>
      <c r="K10" s="117">
        <f t="shared" si="8"/>
        <v>0</v>
      </c>
      <c r="L10" s="117">
        <f t="shared" si="8"/>
        <v>0</v>
      </c>
      <c r="M10" s="117">
        <f t="shared" si="8"/>
        <v>0</v>
      </c>
      <c r="N10" s="117">
        <f t="shared" si="8"/>
        <v>0</v>
      </c>
      <c r="O10" s="117">
        <f t="shared" si="8"/>
        <v>0</v>
      </c>
      <c r="P10" s="117">
        <f t="shared" si="8"/>
        <v>0</v>
      </c>
      <c r="Q10" s="117">
        <f t="shared" si="8"/>
        <v>0</v>
      </c>
      <c r="R10" s="117">
        <f t="shared" si="8"/>
        <v>0</v>
      </c>
      <c r="S10" s="117">
        <f t="shared" si="8"/>
        <v>0</v>
      </c>
      <c r="T10" s="117">
        <f t="shared" ref="T10:AF10" si="9">SUM(T13+T16+T19+T22)</f>
        <v>0</v>
      </c>
      <c r="U10" s="117">
        <f t="shared" si="9"/>
        <v>0</v>
      </c>
      <c r="V10" s="117">
        <f t="shared" si="9"/>
        <v>0</v>
      </c>
      <c r="W10" s="117">
        <f t="shared" si="9"/>
        <v>0</v>
      </c>
      <c r="X10" s="117">
        <f t="shared" si="9"/>
        <v>0</v>
      </c>
      <c r="Y10" s="117">
        <f t="shared" si="9"/>
        <v>0</v>
      </c>
      <c r="Z10" s="117">
        <f t="shared" si="9"/>
        <v>0</v>
      </c>
      <c r="AA10" s="117">
        <f t="shared" si="9"/>
        <v>0</v>
      </c>
      <c r="AB10" s="117">
        <f t="shared" si="9"/>
        <v>0</v>
      </c>
      <c r="AC10" s="117">
        <f t="shared" si="9"/>
        <v>0</v>
      </c>
      <c r="AD10" s="117">
        <f t="shared" si="9"/>
        <v>0</v>
      </c>
      <c r="AE10" s="117">
        <f t="shared" si="9"/>
        <v>0</v>
      </c>
      <c r="AF10" s="117">
        <f t="shared" si="9"/>
        <v>0</v>
      </c>
      <c r="AG10" s="86"/>
    </row>
    <row r="11" spans="1:38" ht="22.05" customHeight="1" x14ac:dyDescent="0.25">
      <c r="A11" s="204"/>
      <c r="B11" s="208"/>
      <c r="C11" s="222"/>
      <c r="D11" s="79" t="s">
        <v>106</v>
      </c>
      <c r="E11" s="79"/>
      <c r="F11" s="80"/>
      <c r="G11" s="117"/>
      <c r="H11" s="118" t="e">
        <f>H10/$G10</f>
        <v>#DIV/0!</v>
      </c>
      <c r="I11" s="118" t="e">
        <f t="shared" ref="I11:S11" si="10">I10/$G10</f>
        <v>#DIV/0!</v>
      </c>
      <c r="J11" s="118" t="e">
        <f t="shared" si="10"/>
        <v>#DIV/0!</v>
      </c>
      <c r="K11" s="118" t="e">
        <f t="shared" si="10"/>
        <v>#DIV/0!</v>
      </c>
      <c r="L11" s="118" t="e">
        <f t="shared" si="10"/>
        <v>#DIV/0!</v>
      </c>
      <c r="M11" s="118" t="e">
        <f t="shared" si="10"/>
        <v>#DIV/0!</v>
      </c>
      <c r="N11" s="118" t="e">
        <f t="shared" si="10"/>
        <v>#DIV/0!</v>
      </c>
      <c r="O11" s="118" t="e">
        <f t="shared" si="10"/>
        <v>#DIV/0!</v>
      </c>
      <c r="P11" s="118" t="e">
        <f t="shared" si="10"/>
        <v>#DIV/0!</v>
      </c>
      <c r="Q11" s="118" t="e">
        <f t="shared" si="10"/>
        <v>#DIV/0!</v>
      </c>
      <c r="R11" s="118" t="e">
        <f t="shared" si="10"/>
        <v>#DIV/0!</v>
      </c>
      <c r="S11" s="118" t="e">
        <f t="shared" si="10"/>
        <v>#DIV/0!</v>
      </c>
      <c r="T11" s="117"/>
      <c r="U11" s="117"/>
      <c r="V11" s="117"/>
      <c r="W11" s="117"/>
      <c r="X11" s="117"/>
      <c r="Y11" s="117"/>
      <c r="Z11" s="117"/>
      <c r="AA11" s="117"/>
      <c r="AB11" s="117"/>
      <c r="AC11" s="117"/>
      <c r="AD11" s="117"/>
      <c r="AE11" s="117"/>
      <c r="AF11" s="117"/>
      <c r="AG11" s="86"/>
    </row>
    <row r="12" spans="1:38" ht="22.05" customHeight="1" x14ac:dyDescent="0.25">
      <c r="A12" s="204"/>
      <c r="B12" s="208"/>
      <c r="C12" s="223" t="s">
        <v>110</v>
      </c>
      <c r="D12" s="79" t="s">
        <v>103</v>
      </c>
      <c r="E12" s="79"/>
      <c r="F12" s="84">
        <v>0.06</v>
      </c>
      <c r="G12" s="119">
        <f>SUM(H12:S12)</f>
        <v>0</v>
      </c>
      <c r="H12" s="120"/>
      <c r="I12" s="126"/>
      <c r="J12" s="127"/>
      <c r="K12" s="127"/>
      <c r="L12" s="127"/>
      <c r="M12" s="127"/>
      <c r="N12" s="127"/>
      <c r="O12" s="120"/>
      <c r="P12" s="120"/>
      <c r="Q12" s="120"/>
      <c r="R12" s="120"/>
      <c r="S12" s="120"/>
      <c r="T12" s="125">
        <f>SUM(U12:AF12)</f>
        <v>0</v>
      </c>
      <c r="U12" s="125">
        <f t="shared" ref="U12:AF12" si="11">H12/(1+$F$12)</f>
        <v>0</v>
      </c>
      <c r="V12" s="125">
        <f t="shared" si="11"/>
        <v>0</v>
      </c>
      <c r="W12" s="125">
        <f t="shared" si="11"/>
        <v>0</v>
      </c>
      <c r="X12" s="125">
        <f t="shared" si="11"/>
        <v>0</v>
      </c>
      <c r="Y12" s="125">
        <f t="shared" si="11"/>
        <v>0</v>
      </c>
      <c r="Z12" s="125">
        <f t="shared" si="11"/>
        <v>0</v>
      </c>
      <c r="AA12" s="125">
        <f t="shared" si="11"/>
        <v>0</v>
      </c>
      <c r="AB12" s="125">
        <f t="shared" si="11"/>
        <v>0</v>
      </c>
      <c r="AC12" s="125">
        <f t="shared" si="11"/>
        <v>0</v>
      </c>
      <c r="AD12" s="125">
        <f t="shared" si="11"/>
        <v>0</v>
      </c>
      <c r="AE12" s="125">
        <f t="shared" si="11"/>
        <v>0</v>
      </c>
      <c r="AF12" s="125">
        <f t="shared" si="11"/>
        <v>0</v>
      </c>
      <c r="AG12" s="260" t="s">
        <v>111</v>
      </c>
    </row>
    <row r="13" spans="1:38" ht="22.05" customHeight="1" x14ac:dyDescent="0.25">
      <c r="A13" s="204"/>
      <c r="B13" s="208"/>
      <c r="C13" s="224"/>
      <c r="D13" s="79" t="s">
        <v>105</v>
      </c>
      <c r="E13" s="79"/>
      <c r="F13" s="84"/>
      <c r="G13" s="119">
        <f t="shared" ref="G13:G15" si="12">SUM(H13:S13)</f>
        <v>0</v>
      </c>
      <c r="H13" s="120"/>
      <c r="I13" s="128"/>
      <c r="J13" s="127"/>
      <c r="K13" s="127"/>
      <c r="L13" s="127"/>
      <c r="M13" s="127"/>
      <c r="N13" s="127"/>
      <c r="O13" s="120"/>
      <c r="P13" s="120"/>
      <c r="Q13" s="120"/>
      <c r="R13" s="120"/>
      <c r="S13" s="120"/>
      <c r="T13" s="125"/>
      <c r="U13" s="125"/>
      <c r="V13" s="125"/>
      <c r="W13" s="125"/>
      <c r="X13" s="125"/>
      <c r="Y13" s="125"/>
      <c r="Z13" s="125"/>
      <c r="AA13" s="125"/>
      <c r="AB13" s="125"/>
      <c r="AC13" s="125"/>
      <c r="AD13" s="125"/>
      <c r="AE13" s="125"/>
      <c r="AF13" s="125"/>
      <c r="AG13" s="261"/>
    </row>
    <row r="14" spans="1:38" ht="22.05" customHeight="1" x14ac:dyDescent="0.25">
      <c r="A14" s="204"/>
      <c r="B14" s="208"/>
      <c r="C14" s="225"/>
      <c r="D14" s="79" t="s">
        <v>106</v>
      </c>
      <c r="E14" s="79"/>
      <c r="F14" s="84"/>
      <c r="G14" s="121"/>
      <c r="H14" s="118" t="e">
        <f>H13/$G13</f>
        <v>#DIV/0!</v>
      </c>
      <c r="I14" s="118" t="e">
        <f>I13/$G13</f>
        <v>#DIV/0!</v>
      </c>
      <c r="J14" s="118" t="e">
        <f>J13/$G13</f>
        <v>#DIV/0!</v>
      </c>
      <c r="K14" s="118" t="e">
        <f t="shared" ref="K14:S14" si="13">K13/$G13</f>
        <v>#DIV/0!</v>
      </c>
      <c r="L14" s="118" t="e">
        <f t="shared" si="13"/>
        <v>#DIV/0!</v>
      </c>
      <c r="M14" s="118" t="e">
        <f t="shared" si="13"/>
        <v>#DIV/0!</v>
      </c>
      <c r="N14" s="118" t="e">
        <f t="shared" si="13"/>
        <v>#DIV/0!</v>
      </c>
      <c r="O14" s="118" t="e">
        <f t="shared" si="13"/>
        <v>#DIV/0!</v>
      </c>
      <c r="P14" s="118" t="e">
        <f t="shared" si="13"/>
        <v>#DIV/0!</v>
      </c>
      <c r="Q14" s="118" t="e">
        <f t="shared" si="13"/>
        <v>#DIV/0!</v>
      </c>
      <c r="R14" s="118" t="e">
        <f t="shared" si="13"/>
        <v>#DIV/0!</v>
      </c>
      <c r="S14" s="118" t="e">
        <f t="shared" si="13"/>
        <v>#DIV/0!</v>
      </c>
      <c r="T14" s="121"/>
      <c r="U14" s="121"/>
      <c r="V14" s="121"/>
      <c r="W14" s="125"/>
      <c r="X14" s="125"/>
      <c r="Y14" s="125"/>
      <c r="Z14" s="125"/>
      <c r="AA14" s="125"/>
      <c r="AB14" s="125"/>
      <c r="AC14" s="125"/>
      <c r="AD14" s="125"/>
      <c r="AE14" s="125"/>
      <c r="AF14" s="125"/>
      <c r="AG14" s="261"/>
    </row>
    <row r="15" spans="1:38" ht="22.05" customHeight="1" x14ac:dyDescent="0.25">
      <c r="A15" s="204"/>
      <c r="B15" s="208"/>
      <c r="C15" s="223" t="s">
        <v>112</v>
      </c>
      <c r="D15" s="79" t="s">
        <v>103</v>
      </c>
      <c r="E15" s="79"/>
      <c r="F15" s="84">
        <v>0.09</v>
      </c>
      <c r="G15" s="119">
        <f t="shared" si="12"/>
        <v>0</v>
      </c>
      <c r="H15" s="122"/>
      <c r="I15" s="122"/>
      <c r="J15" s="122"/>
      <c r="K15" s="122"/>
      <c r="L15" s="122"/>
      <c r="M15" s="122"/>
      <c r="N15" s="122"/>
      <c r="O15" s="122"/>
      <c r="P15" s="122"/>
      <c r="Q15" s="122"/>
      <c r="R15" s="122"/>
      <c r="S15" s="122"/>
      <c r="T15" s="125">
        <f>SUM(U15:AF15)</f>
        <v>0</v>
      </c>
      <c r="U15" s="125">
        <f t="shared" ref="U15:AF15" si="14">H15/(1+$F$15)</f>
        <v>0</v>
      </c>
      <c r="V15" s="125">
        <f t="shared" si="14"/>
        <v>0</v>
      </c>
      <c r="W15" s="125">
        <f t="shared" si="14"/>
        <v>0</v>
      </c>
      <c r="X15" s="125">
        <f t="shared" si="14"/>
        <v>0</v>
      </c>
      <c r="Y15" s="125">
        <f t="shared" si="14"/>
        <v>0</v>
      </c>
      <c r="Z15" s="125">
        <f t="shared" si="14"/>
        <v>0</v>
      </c>
      <c r="AA15" s="125">
        <f t="shared" si="14"/>
        <v>0</v>
      </c>
      <c r="AB15" s="125">
        <f t="shared" si="14"/>
        <v>0</v>
      </c>
      <c r="AC15" s="125">
        <f t="shared" si="14"/>
        <v>0</v>
      </c>
      <c r="AD15" s="125">
        <f t="shared" si="14"/>
        <v>0</v>
      </c>
      <c r="AE15" s="125">
        <f t="shared" si="14"/>
        <v>0</v>
      </c>
      <c r="AF15" s="125">
        <f t="shared" si="14"/>
        <v>0</v>
      </c>
      <c r="AG15" s="261"/>
    </row>
    <row r="16" spans="1:38" ht="22.05" customHeight="1" x14ac:dyDescent="0.25">
      <c r="A16" s="204"/>
      <c r="B16" s="208"/>
      <c r="C16" s="224"/>
      <c r="D16" s="79" t="s">
        <v>105</v>
      </c>
      <c r="E16" s="79"/>
      <c r="F16" s="84"/>
      <c r="G16" s="119">
        <f t="shared" ref="G16:G19" si="15">SUM(H16:S16)</f>
        <v>0</v>
      </c>
      <c r="H16" s="122"/>
      <c r="I16" s="129"/>
      <c r="J16" s="129"/>
      <c r="K16" s="129"/>
      <c r="L16" s="129"/>
      <c r="M16" s="122"/>
      <c r="N16" s="122"/>
      <c r="O16" s="122"/>
      <c r="P16" s="122"/>
      <c r="Q16" s="122"/>
      <c r="R16" s="122"/>
      <c r="S16" s="122"/>
      <c r="T16" s="125"/>
      <c r="U16" s="125"/>
      <c r="V16" s="125"/>
      <c r="W16" s="125"/>
      <c r="X16" s="125"/>
      <c r="Y16" s="125"/>
      <c r="Z16" s="125"/>
      <c r="AA16" s="125"/>
      <c r="AB16" s="125"/>
      <c r="AC16" s="125"/>
      <c r="AD16" s="125"/>
      <c r="AE16" s="125"/>
      <c r="AF16" s="125"/>
      <c r="AG16" s="261"/>
    </row>
    <row r="17" spans="1:33" ht="22.05" customHeight="1" x14ac:dyDescent="0.25">
      <c r="A17" s="204"/>
      <c r="B17" s="208"/>
      <c r="C17" s="225"/>
      <c r="D17" s="79" t="s">
        <v>106</v>
      </c>
      <c r="E17" s="79"/>
      <c r="F17" s="84"/>
      <c r="G17" s="121"/>
      <c r="H17" s="118" t="e">
        <f>H16/$G16</f>
        <v>#DIV/0!</v>
      </c>
      <c r="I17" s="118" t="e">
        <f t="shared" ref="I17:S17" si="16">I16/$G16</f>
        <v>#DIV/0!</v>
      </c>
      <c r="J17" s="118" t="e">
        <f t="shared" si="16"/>
        <v>#DIV/0!</v>
      </c>
      <c r="K17" s="118" t="e">
        <f t="shared" si="16"/>
        <v>#DIV/0!</v>
      </c>
      <c r="L17" s="118" t="e">
        <f t="shared" si="16"/>
        <v>#DIV/0!</v>
      </c>
      <c r="M17" s="118" t="e">
        <f t="shared" si="16"/>
        <v>#DIV/0!</v>
      </c>
      <c r="N17" s="118" t="e">
        <f t="shared" si="16"/>
        <v>#DIV/0!</v>
      </c>
      <c r="O17" s="118" t="e">
        <f t="shared" si="16"/>
        <v>#DIV/0!</v>
      </c>
      <c r="P17" s="118" t="e">
        <f t="shared" si="16"/>
        <v>#DIV/0!</v>
      </c>
      <c r="Q17" s="118" t="e">
        <f t="shared" si="16"/>
        <v>#DIV/0!</v>
      </c>
      <c r="R17" s="118" t="e">
        <f t="shared" si="16"/>
        <v>#DIV/0!</v>
      </c>
      <c r="S17" s="118" t="e">
        <f t="shared" si="16"/>
        <v>#DIV/0!</v>
      </c>
      <c r="T17" s="121"/>
      <c r="U17" s="125"/>
      <c r="V17" s="125"/>
      <c r="W17" s="125"/>
      <c r="X17" s="125"/>
      <c r="Y17" s="125"/>
      <c r="Z17" s="125"/>
      <c r="AA17" s="125"/>
      <c r="AB17" s="125"/>
      <c r="AC17" s="125"/>
      <c r="AD17" s="125"/>
      <c r="AE17" s="125"/>
      <c r="AF17" s="125"/>
      <c r="AG17" s="262"/>
    </row>
    <row r="18" spans="1:33" ht="22.05" customHeight="1" x14ac:dyDescent="0.25">
      <c r="A18" s="204"/>
      <c r="B18" s="208"/>
      <c r="C18" s="223" t="s">
        <v>113</v>
      </c>
      <c r="D18" s="79" t="s">
        <v>103</v>
      </c>
      <c r="E18" s="79"/>
      <c r="F18" s="84">
        <v>0.06</v>
      </c>
      <c r="G18" s="119">
        <f t="shared" si="15"/>
        <v>0</v>
      </c>
      <c r="H18" s="122"/>
      <c r="I18" s="129"/>
      <c r="J18" s="129"/>
      <c r="K18" s="129"/>
      <c r="L18" s="129"/>
      <c r="M18" s="129"/>
      <c r="N18" s="129"/>
      <c r="O18" s="122"/>
      <c r="P18" s="122"/>
      <c r="Q18" s="122"/>
      <c r="R18" s="122"/>
      <c r="S18" s="122"/>
      <c r="T18" s="125">
        <f>SUM(U18:AF18)</f>
        <v>0</v>
      </c>
      <c r="U18" s="125">
        <f t="shared" ref="U18:AF18" si="17">H18/(1+$F$18)</f>
        <v>0</v>
      </c>
      <c r="V18" s="125">
        <f t="shared" si="17"/>
        <v>0</v>
      </c>
      <c r="W18" s="125">
        <f t="shared" si="17"/>
        <v>0</v>
      </c>
      <c r="X18" s="125">
        <f t="shared" si="17"/>
        <v>0</v>
      </c>
      <c r="Y18" s="125">
        <f t="shared" si="17"/>
        <v>0</v>
      </c>
      <c r="Z18" s="125">
        <f t="shared" si="17"/>
        <v>0</v>
      </c>
      <c r="AA18" s="125">
        <f t="shared" si="17"/>
        <v>0</v>
      </c>
      <c r="AB18" s="125">
        <f t="shared" si="17"/>
        <v>0</v>
      </c>
      <c r="AC18" s="125">
        <f t="shared" si="17"/>
        <v>0</v>
      </c>
      <c r="AD18" s="125">
        <f t="shared" si="17"/>
        <v>0</v>
      </c>
      <c r="AE18" s="125">
        <f t="shared" si="17"/>
        <v>0</v>
      </c>
      <c r="AF18" s="125">
        <f t="shared" si="17"/>
        <v>0</v>
      </c>
      <c r="AG18" s="260" t="s">
        <v>114</v>
      </c>
    </row>
    <row r="19" spans="1:33" ht="22.05" customHeight="1" x14ac:dyDescent="0.25">
      <c r="A19" s="204"/>
      <c r="B19" s="208"/>
      <c r="C19" s="224"/>
      <c r="D19" s="79" t="s">
        <v>105</v>
      </c>
      <c r="E19" s="79"/>
      <c r="F19" s="84"/>
      <c r="G19" s="119">
        <f t="shared" si="15"/>
        <v>0</v>
      </c>
      <c r="H19" s="122"/>
      <c r="I19" s="129"/>
      <c r="J19" s="129"/>
      <c r="K19" s="129"/>
      <c r="L19" s="129"/>
      <c r="M19" s="129"/>
      <c r="N19" s="129"/>
      <c r="O19" s="122"/>
      <c r="P19" s="122"/>
      <c r="Q19" s="122"/>
      <c r="R19" s="122"/>
      <c r="S19" s="122"/>
      <c r="T19" s="125"/>
      <c r="U19" s="125"/>
      <c r="V19" s="125"/>
      <c r="W19" s="125"/>
      <c r="X19" s="125"/>
      <c r="Y19" s="125"/>
      <c r="Z19" s="125"/>
      <c r="AA19" s="125"/>
      <c r="AB19" s="125"/>
      <c r="AC19" s="125"/>
      <c r="AD19" s="125"/>
      <c r="AE19" s="125"/>
      <c r="AF19" s="125"/>
      <c r="AG19" s="261"/>
    </row>
    <row r="20" spans="1:33" ht="22.05" customHeight="1" x14ac:dyDescent="0.25">
      <c r="A20" s="204"/>
      <c r="B20" s="208"/>
      <c r="C20" s="225"/>
      <c r="D20" s="79" t="s">
        <v>106</v>
      </c>
      <c r="E20" s="79"/>
      <c r="F20" s="84"/>
      <c r="G20" s="121"/>
      <c r="H20" s="118" t="e">
        <f>H19/$G19</f>
        <v>#DIV/0!</v>
      </c>
      <c r="I20" s="118" t="e">
        <f t="shared" ref="I20:S20" si="18">I19/$G19</f>
        <v>#DIV/0!</v>
      </c>
      <c r="J20" s="118" t="e">
        <f t="shared" si="18"/>
        <v>#DIV/0!</v>
      </c>
      <c r="K20" s="118" t="e">
        <f t="shared" si="18"/>
        <v>#DIV/0!</v>
      </c>
      <c r="L20" s="118" t="e">
        <f t="shared" si="18"/>
        <v>#DIV/0!</v>
      </c>
      <c r="M20" s="118" t="e">
        <f t="shared" si="18"/>
        <v>#DIV/0!</v>
      </c>
      <c r="N20" s="118" t="e">
        <f t="shared" si="18"/>
        <v>#DIV/0!</v>
      </c>
      <c r="O20" s="118" t="e">
        <f t="shared" si="18"/>
        <v>#DIV/0!</v>
      </c>
      <c r="P20" s="118" t="e">
        <f t="shared" si="18"/>
        <v>#DIV/0!</v>
      </c>
      <c r="Q20" s="118" t="e">
        <f t="shared" si="18"/>
        <v>#DIV/0!</v>
      </c>
      <c r="R20" s="118" t="e">
        <f t="shared" si="18"/>
        <v>#DIV/0!</v>
      </c>
      <c r="S20" s="118" t="e">
        <f t="shared" si="18"/>
        <v>#DIV/0!</v>
      </c>
      <c r="T20" s="125"/>
      <c r="U20" s="125"/>
      <c r="V20" s="125"/>
      <c r="W20" s="125"/>
      <c r="X20" s="125"/>
      <c r="Y20" s="125"/>
      <c r="Z20" s="125"/>
      <c r="AA20" s="125"/>
      <c r="AB20" s="125"/>
      <c r="AC20" s="125"/>
      <c r="AD20" s="125"/>
      <c r="AE20" s="125"/>
      <c r="AF20" s="125"/>
      <c r="AG20" s="261"/>
    </row>
    <row r="21" spans="1:33" ht="22.05" customHeight="1" x14ac:dyDescent="0.25">
      <c r="A21" s="204"/>
      <c r="B21" s="208"/>
      <c r="C21" s="220" t="s">
        <v>115</v>
      </c>
      <c r="D21" s="79" t="s">
        <v>103</v>
      </c>
      <c r="E21" s="79"/>
      <c r="F21" s="84">
        <v>0.09</v>
      </c>
      <c r="G21" s="119">
        <f t="shared" ref="G21:G25" si="19">SUM(H21:S21)</f>
        <v>0</v>
      </c>
      <c r="H21" s="122"/>
      <c r="I21" s="122"/>
      <c r="J21" s="122"/>
      <c r="K21" s="122"/>
      <c r="L21" s="122"/>
      <c r="M21" s="122"/>
      <c r="N21" s="122"/>
      <c r="O21" s="122"/>
      <c r="P21" s="122"/>
      <c r="Q21" s="122"/>
      <c r="R21" s="122"/>
      <c r="S21" s="122"/>
      <c r="T21" s="125">
        <f>SUM(U21:AF21)</f>
        <v>0</v>
      </c>
      <c r="U21" s="125">
        <f>H21/(1+$F$21)</f>
        <v>0</v>
      </c>
      <c r="V21" s="125">
        <f t="shared" ref="V21:AF21" si="20">I21/(1+$F$21)</f>
        <v>0</v>
      </c>
      <c r="W21" s="125">
        <f t="shared" si="20"/>
        <v>0</v>
      </c>
      <c r="X21" s="125">
        <f t="shared" si="20"/>
        <v>0</v>
      </c>
      <c r="Y21" s="125">
        <f t="shared" si="20"/>
        <v>0</v>
      </c>
      <c r="Z21" s="125">
        <f t="shared" si="20"/>
        <v>0</v>
      </c>
      <c r="AA21" s="125">
        <f t="shared" si="20"/>
        <v>0</v>
      </c>
      <c r="AB21" s="125">
        <f t="shared" si="20"/>
        <v>0</v>
      </c>
      <c r="AC21" s="125">
        <f t="shared" si="20"/>
        <v>0</v>
      </c>
      <c r="AD21" s="125">
        <f t="shared" si="20"/>
        <v>0</v>
      </c>
      <c r="AE21" s="125">
        <f t="shared" si="20"/>
        <v>0</v>
      </c>
      <c r="AF21" s="125">
        <f t="shared" si="20"/>
        <v>0</v>
      </c>
      <c r="AG21" s="261"/>
    </row>
    <row r="22" spans="1:33" ht="22.05" customHeight="1" x14ac:dyDescent="0.25">
      <c r="A22" s="204"/>
      <c r="B22" s="208"/>
      <c r="C22" s="221"/>
      <c r="D22" s="79" t="s">
        <v>105</v>
      </c>
      <c r="E22" s="79"/>
      <c r="F22" s="84"/>
      <c r="G22" s="119">
        <f t="shared" si="19"/>
        <v>0</v>
      </c>
      <c r="H22" s="122"/>
      <c r="I22" s="122"/>
      <c r="J22" s="122"/>
      <c r="K22" s="122"/>
      <c r="L22" s="122"/>
      <c r="M22" s="122"/>
      <c r="N22" s="122"/>
      <c r="O22" s="122"/>
      <c r="P22" s="122"/>
      <c r="Q22" s="122"/>
      <c r="R22" s="122"/>
      <c r="S22" s="122"/>
      <c r="T22" s="125"/>
      <c r="U22" s="125"/>
      <c r="V22" s="125"/>
      <c r="W22" s="125"/>
      <c r="X22" s="125"/>
      <c r="Y22" s="125"/>
      <c r="Z22" s="125"/>
      <c r="AA22" s="125"/>
      <c r="AB22" s="125"/>
      <c r="AC22" s="125"/>
      <c r="AD22" s="125"/>
      <c r="AE22" s="125"/>
      <c r="AF22" s="125"/>
      <c r="AG22" s="261"/>
    </row>
    <row r="23" spans="1:33" ht="22.05" customHeight="1" x14ac:dyDescent="0.25">
      <c r="A23" s="204"/>
      <c r="B23" s="208"/>
      <c r="C23" s="222"/>
      <c r="D23" s="79" t="s">
        <v>106</v>
      </c>
      <c r="E23" s="79"/>
      <c r="F23" s="84"/>
      <c r="G23" s="121"/>
      <c r="H23" s="118" t="e">
        <f>H22/$G22</f>
        <v>#DIV/0!</v>
      </c>
      <c r="I23" s="118" t="e">
        <f t="shared" ref="I23:S23" si="21">I22/$G22</f>
        <v>#DIV/0!</v>
      </c>
      <c r="J23" s="118" t="e">
        <f t="shared" si="21"/>
        <v>#DIV/0!</v>
      </c>
      <c r="K23" s="118" t="e">
        <f t="shared" si="21"/>
        <v>#DIV/0!</v>
      </c>
      <c r="L23" s="118" t="e">
        <f t="shared" si="21"/>
        <v>#DIV/0!</v>
      </c>
      <c r="M23" s="118" t="e">
        <f t="shared" si="21"/>
        <v>#DIV/0!</v>
      </c>
      <c r="N23" s="118" t="e">
        <f t="shared" si="21"/>
        <v>#DIV/0!</v>
      </c>
      <c r="O23" s="118" t="e">
        <f t="shared" si="21"/>
        <v>#DIV/0!</v>
      </c>
      <c r="P23" s="118" t="e">
        <f t="shared" si="21"/>
        <v>#DIV/0!</v>
      </c>
      <c r="Q23" s="118" t="e">
        <f t="shared" si="21"/>
        <v>#DIV/0!</v>
      </c>
      <c r="R23" s="118" t="e">
        <f t="shared" si="21"/>
        <v>#DIV/0!</v>
      </c>
      <c r="S23" s="118" t="e">
        <f t="shared" si="21"/>
        <v>#DIV/0!</v>
      </c>
      <c r="T23" s="125"/>
      <c r="U23" s="125"/>
      <c r="V23" s="125"/>
      <c r="W23" s="125"/>
      <c r="X23" s="125"/>
      <c r="Y23" s="125"/>
      <c r="Z23" s="125"/>
      <c r="AA23" s="125"/>
      <c r="AB23" s="125"/>
      <c r="AC23" s="125"/>
      <c r="AD23" s="125"/>
      <c r="AE23" s="125"/>
      <c r="AF23" s="125"/>
      <c r="AG23" s="262"/>
    </row>
    <row r="24" spans="1:33" ht="22.05" customHeight="1" x14ac:dyDescent="0.25">
      <c r="A24" s="204"/>
      <c r="B24" s="208"/>
      <c r="C24" s="226" t="s">
        <v>116</v>
      </c>
      <c r="D24" s="79" t="s">
        <v>103</v>
      </c>
      <c r="E24" s="79"/>
      <c r="F24" s="84">
        <v>0.13</v>
      </c>
      <c r="G24" s="119">
        <f t="shared" si="19"/>
        <v>0</v>
      </c>
      <c r="H24" s="122"/>
      <c r="I24" s="122"/>
      <c r="J24" s="122"/>
      <c r="K24" s="122"/>
      <c r="L24" s="122"/>
      <c r="M24" s="122"/>
      <c r="N24" s="122"/>
      <c r="O24" s="122"/>
      <c r="P24" s="122"/>
      <c r="Q24" s="122"/>
      <c r="R24" s="122"/>
      <c r="S24" s="122"/>
      <c r="T24" s="125">
        <f>SUM(U24:AF24)</f>
        <v>0</v>
      </c>
      <c r="U24" s="125">
        <f>H24/(1+$F$24)</f>
        <v>0</v>
      </c>
      <c r="V24" s="125">
        <f t="shared" ref="V24:AF24" si="22">I24/(1+$F$24)</f>
        <v>0</v>
      </c>
      <c r="W24" s="125">
        <f t="shared" si="22"/>
        <v>0</v>
      </c>
      <c r="X24" s="125">
        <f t="shared" si="22"/>
        <v>0</v>
      </c>
      <c r="Y24" s="125">
        <f t="shared" si="22"/>
        <v>0</v>
      </c>
      <c r="Z24" s="125">
        <f t="shared" si="22"/>
        <v>0</v>
      </c>
      <c r="AA24" s="125">
        <f t="shared" si="22"/>
        <v>0</v>
      </c>
      <c r="AB24" s="125">
        <f t="shared" si="22"/>
        <v>0</v>
      </c>
      <c r="AC24" s="125">
        <f t="shared" si="22"/>
        <v>0</v>
      </c>
      <c r="AD24" s="125">
        <f t="shared" si="22"/>
        <v>0</v>
      </c>
      <c r="AE24" s="125">
        <f t="shared" si="22"/>
        <v>0</v>
      </c>
      <c r="AF24" s="125">
        <f t="shared" si="22"/>
        <v>0</v>
      </c>
      <c r="AG24" s="131"/>
    </row>
    <row r="25" spans="1:33" ht="22.05" customHeight="1" x14ac:dyDescent="0.25">
      <c r="A25" s="204"/>
      <c r="B25" s="208"/>
      <c r="C25" s="227"/>
      <c r="D25" s="79" t="s">
        <v>105</v>
      </c>
      <c r="E25" s="79"/>
      <c r="F25" s="84"/>
      <c r="G25" s="119">
        <f t="shared" si="19"/>
        <v>0</v>
      </c>
      <c r="H25" s="122"/>
      <c r="I25" s="122"/>
      <c r="J25" s="122"/>
      <c r="K25" s="122"/>
      <c r="L25" s="122"/>
      <c r="M25" s="122"/>
      <c r="N25" s="122"/>
      <c r="O25" s="122"/>
      <c r="P25" s="122"/>
      <c r="Q25" s="122"/>
      <c r="R25" s="122"/>
      <c r="S25" s="122"/>
      <c r="T25" s="125"/>
      <c r="U25" s="125"/>
      <c r="V25" s="125"/>
      <c r="W25" s="125"/>
      <c r="X25" s="125"/>
      <c r="Y25" s="125"/>
      <c r="Z25" s="125"/>
      <c r="AA25" s="125"/>
      <c r="AB25" s="125"/>
      <c r="AC25" s="125"/>
      <c r="AD25" s="125"/>
      <c r="AE25" s="125"/>
      <c r="AF25" s="125"/>
      <c r="AG25" s="131"/>
    </row>
    <row r="26" spans="1:33" ht="22.05" customHeight="1" x14ac:dyDescent="0.25">
      <c r="A26" s="204"/>
      <c r="B26" s="208"/>
      <c r="C26" s="228"/>
      <c r="D26" s="79" t="s">
        <v>106</v>
      </c>
      <c r="E26" s="79"/>
      <c r="F26" s="84"/>
      <c r="G26" s="121"/>
      <c r="H26" s="118" t="e">
        <f t="shared" ref="H26:S26" si="23">H25/$G25</f>
        <v>#DIV/0!</v>
      </c>
      <c r="I26" s="118" t="e">
        <f t="shared" si="23"/>
        <v>#DIV/0!</v>
      </c>
      <c r="J26" s="118" t="e">
        <f t="shared" si="23"/>
        <v>#DIV/0!</v>
      </c>
      <c r="K26" s="118" t="e">
        <f t="shared" si="23"/>
        <v>#DIV/0!</v>
      </c>
      <c r="L26" s="118" t="e">
        <f t="shared" si="23"/>
        <v>#DIV/0!</v>
      </c>
      <c r="M26" s="118" t="e">
        <f t="shared" si="23"/>
        <v>#DIV/0!</v>
      </c>
      <c r="N26" s="118" t="e">
        <f t="shared" si="23"/>
        <v>#DIV/0!</v>
      </c>
      <c r="O26" s="118" t="e">
        <f t="shared" si="23"/>
        <v>#DIV/0!</v>
      </c>
      <c r="P26" s="118" t="e">
        <f t="shared" si="23"/>
        <v>#DIV/0!</v>
      </c>
      <c r="Q26" s="118" t="e">
        <f t="shared" si="23"/>
        <v>#DIV/0!</v>
      </c>
      <c r="R26" s="118" t="e">
        <f t="shared" si="23"/>
        <v>#DIV/0!</v>
      </c>
      <c r="S26" s="118" t="e">
        <f t="shared" si="23"/>
        <v>#DIV/0!</v>
      </c>
      <c r="T26" s="125"/>
      <c r="U26" s="125"/>
      <c r="V26" s="125"/>
      <c r="W26" s="125"/>
      <c r="X26" s="125"/>
      <c r="Y26" s="125"/>
      <c r="Z26" s="125"/>
      <c r="AA26" s="125"/>
      <c r="AB26" s="125"/>
      <c r="AC26" s="125"/>
      <c r="AD26" s="125"/>
      <c r="AE26" s="125"/>
      <c r="AF26" s="125"/>
      <c r="AG26" s="131"/>
    </row>
    <row r="27" spans="1:33" ht="22.05" customHeight="1" x14ac:dyDescent="0.25">
      <c r="A27" s="204"/>
      <c r="B27" s="208"/>
      <c r="C27" s="223" t="s">
        <v>117</v>
      </c>
      <c r="D27" s="79" t="s">
        <v>103</v>
      </c>
      <c r="E27" s="79"/>
      <c r="F27" s="84">
        <v>0.13</v>
      </c>
      <c r="G27" s="119">
        <f>SUM(H27:S27)</f>
        <v>0</v>
      </c>
      <c r="H27" s="122"/>
      <c r="I27" s="122"/>
      <c r="J27" s="122"/>
      <c r="K27" s="122"/>
      <c r="L27" s="122"/>
      <c r="M27" s="122"/>
      <c r="N27" s="122"/>
      <c r="O27" s="122"/>
      <c r="P27" s="122"/>
      <c r="Q27" s="122"/>
      <c r="R27" s="122"/>
      <c r="S27" s="122"/>
      <c r="T27" s="125">
        <f>SUM(U27:AF27)</f>
        <v>0</v>
      </c>
      <c r="U27" s="125">
        <f t="shared" ref="U27:AF27" si="24">H27/(1+$F$27)</f>
        <v>0</v>
      </c>
      <c r="V27" s="125">
        <f t="shared" si="24"/>
        <v>0</v>
      </c>
      <c r="W27" s="125">
        <f t="shared" si="24"/>
        <v>0</v>
      </c>
      <c r="X27" s="125">
        <f t="shared" si="24"/>
        <v>0</v>
      </c>
      <c r="Y27" s="125">
        <f t="shared" si="24"/>
        <v>0</v>
      </c>
      <c r="Z27" s="125">
        <f t="shared" si="24"/>
        <v>0</v>
      </c>
      <c r="AA27" s="125">
        <f t="shared" si="24"/>
        <v>0</v>
      </c>
      <c r="AB27" s="125">
        <f t="shared" si="24"/>
        <v>0</v>
      </c>
      <c r="AC27" s="125">
        <f t="shared" si="24"/>
        <v>0</v>
      </c>
      <c r="AD27" s="125">
        <f t="shared" si="24"/>
        <v>0</v>
      </c>
      <c r="AE27" s="125">
        <f t="shared" si="24"/>
        <v>0</v>
      </c>
      <c r="AF27" s="125">
        <f t="shared" si="24"/>
        <v>0</v>
      </c>
      <c r="AG27" s="92" t="s">
        <v>118</v>
      </c>
    </row>
    <row r="28" spans="1:33" ht="22.05" customHeight="1" x14ac:dyDescent="0.25">
      <c r="A28" s="204"/>
      <c r="B28" s="208"/>
      <c r="C28" s="224"/>
      <c r="D28" s="79" t="s">
        <v>105</v>
      </c>
      <c r="E28" s="79"/>
      <c r="F28" s="84"/>
      <c r="G28" s="119">
        <f>SUM(H28:S28)</f>
        <v>0</v>
      </c>
      <c r="H28" s="122"/>
      <c r="I28" s="122"/>
      <c r="J28" s="122"/>
      <c r="K28" s="122"/>
      <c r="L28" s="122"/>
      <c r="M28" s="122"/>
      <c r="N28" s="122"/>
      <c r="O28" s="122"/>
      <c r="P28" s="122"/>
      <c r="Q28" s="122"/>
      <c r="R28" s="122"/>
      <c r="S28" s="122"/>
      <c r="T28" s="125"/>
      <c r="U28" s="125"/>
      <c r="V28" s="125"/>
      <c r="W28" s="125"/>
      <c r="X28" s="125"/>
      <c r="Y28" s="125"/>
      <c r="Z28" s="125"/>
      <c r="AA28" s="125"/>
      <c r="AB28" s="125"/>
      <c r="AC28" s="125"/>
      <c r="AD28" s="125"/>
      <c r="AE28" s="125"/>
      <c r="AF28" s="125"/>
      <c r="AG28" s="92"/>
    </row>
    <row r="29" spans="1:33" ht="22.05" customHeight="1" x14ac:dyDescent="0.25">
      <c r="A29" s="204"/>
      <c r="B29" s="208"/>
      <c r="C29" s="225"/>
      <c r="D29" s="79" t="s">
        <v>106</v>
      </c>
      <c r="E29" s="79"/>
      <c r="F29" s="84"/>
      <c r="G29" s="121"/>
      <c r="H29" s="118" t="e">
        <f>H28/$G28</f>
        <v>#DIV/0!</v>
      </c>
      <c r="I29" s="118" t="e">
        <f t="shared" ref="I29:S29" si="25">I28/$G28</f>
        <v>#DIV/0!</v>
      </c>
      <c r="J29" s="118" t="e">
        <f t="shared" si="25"/>
        <v>#DIV/0!</v>
      </c>
      <c r="K29" s="118" t="e">
        <f t="shared" si="25"/>
        <v>#DIV/0!</v>
      </c>
      <c r="L29" s="118" t="e">
        <f t="shared" si="25"/>
        <v>#DIV/0!</v>
      </c>
      <c r="M29" s="118" t="e">
        <f t="shared" si="25"/>
        <v>#DIV/0!</v>
      </c>
      <c r="N29" s="118" t="e">
        <f t="shared" si="25"/>
        <v>#DIV/0!</v>
      </c>
      <c r="O29" s="118" t="e">
        <f t="shared" si="25"/>
        <v>#DIV/0!</v>
      </c>
      <c r="P29" s="118" t="e">
        <f t="shared" si="25"/>
        <v>#DIV/0!</v>
      </c>
      <c r="Q29" s="118" t="e">
        <f t="shared" si="25"/>
        <v>#DIV/0!</v>
      </c>
      <c r="R29" s="118" t="e">
        <f t="shared" si="25"/>
        <v>#DIV/0!</v>
      </c>
      <c r="S29" s="118" t="e">
        <f t="shared" si="25"/>
        <v>#DIV/0!</v>
      </c>
      <c r="T29" s="125"/>
      <c r="U29" s="125"/>
      <c r="V29" s="125"/>
      <c r="W29" s="125"/>
      <c r="X29" s="125"/>
      <c r="Y29" s="125"/>
      <c r="Z29" s="125"/>
      <c r="AA29" s="125"/>
      <c r="AB29" s="125"/>
      <c r="AC29" s="125"/>
      <c r="AD29" s="125"/>
      <c r="AE29" s="125"/>
      <c r="AF29" s="125"/>
      <c r="AG29" s="92"/>
    </row>
    <row r="30" spans="1:33" ht="22.05" customHeight="1" x14ac:dyDescent="0.25">
      <c r="A30" s="204"/>
      <c r="B30" s="208"/>
      <c r="C30" s="229" t="s">
        <v>119</v>
      </c>
      <c r="D30" s="79" t="s">
        <v>103</v>
      </c>
      <c r="E30" s="86"/>
      <c r="F30" s="84">
        <v>0.13</v>
      </c>
      <c r="G30" s="119">
        <f t="shared" ref="G30:G34" si="26">SUM(H30:S30)</f>
        <v>0</v>
      </c>
      <c r="H30" s="122"/>
      <c r="I30" s="122"/>
      <c r="J30" s="122"/>
      <c r="K30" s="122"/>
      <c r="L30" s="122"/>
      <c r="M30" s="122"/>
      <c r="N30" s="122"/>
      <c r="O30" s="122"/>
      <c r="P30" s="122"/>
      <c r="Q30" s="122"/>
      <c r="R30" s="122"/>
      <c r="S30" s="122"/>
      <c r="T30" s="125">
        <f>SUM(U30:AF30)</f>
        <v>0</v>
      </c>
      <c r="U30" s="125">
        <f t="shared" ref="U30:AF30" si="27">H30/(1+$F$30)</f>
        <v>0</v>
      </c>
      <c r="V30" s="125">
        <f t="shared" si="27"/>
        <v>0</v>
      </c>
      <c r="W30" s="125">
        <f t="shared" si="27"/>
        <v>0</v>
      </c>
      <c r="X30" s="125">
        <f t="shared" si="27"/>
        <v>0</v>
      </c>
      <c r="Y30" s="125">
        <f t="shared" si="27"/>
        <v>0</v>
      </c>
      <c r="Z30" s="125">
        <f t="shared" si="27"/>
        <v>0</v>
      </c>
      <c r="AA30" s="125">
        <f t="shared" si="27"/>
        <v>0</v>
      </c>
      <c r="AB30" s="125">
        <f t="shared" si="27"/>
        <v>0</v>
      </c>
      <c r="AC30" s="125">
        <f t="shared" si="27"/>
        <v>0</v>
      </c>
      <c r="AD30" s="125">
        <f t="shared" si="27"/>
        <v>0</v>
      </c>
      <c r="AE30" s="125">
        <f t="shared" si="27"/>
        <v>0</v>
      </c>
      <c r="AF30" s="125">
        <f t="shared" si="27"/>
        <v>0</v>
      </c>
      <c r="AG30" s="92" t="s">
        <v>120</v>
      </c>
    </row>
    <row r="31" spans="1:33" ht="22.05" customHeight="1" x14ac:dyDescent="0.25">
      <c r="A31" s="204"/>
      <c r="B31" s="208"/>
      <c r="C31" s="230"/>
      <c r="D31" s="79" t="s">
        <v>105</v>
      </c>
      <c r="E31" s="86"/>
      <c r="F31" s="84"/>
      <c r="G31" s="119">
        <f t="shared" si="26"/>
        <v>0</v>
      </c>
      <c r="H31" s="122"/>
      <c r="I31" s="122"/>
      <c r="J31" s="122"/>
      <c r="K31" s="122"/>
      <c r="L31" s="122"/>
      <c r="M31" s="122"/>
      <c r="N31" s="122"/>
      <c r="O31" s="122"/>
      <c r="P31" s="122"/>
      <c r="Q31" s="122"/>
      <c r="R31" s="122"/>
      <c r="S31" s="122"/>
      <c r="T31" s="125"/>
      <c r="U31" s="125"/>
      <c r="V31" s="125"/>
      <c r="W31" s="125"/>
      <c r="X31" s="125"/>
      <c r="Y31" s="125"/>
      <c r="Z31" s="125"/>
      <c r="AA31" s="125"/>
      <c r="AB31" s="125"/>
      <c r="AC31" s="125"/>
      <c r="AD31" s="125"/>
      <c r="AE31" s="125"/>
      <c r="AF31" s="125"/>
      <c r="AG31" s="92"/>
    </row>
    <row r="32" spans="1:33" ht="22.05" customHeight="1" x14ac:dyDescent="0.25">
      <c r="A32" s="204"/>
      <c r="B32" s="208"/>
      <c r="C32" s="231"/>
      <c r="D32" s="79" t="s">
        <v>106</v>
      </c>
      <c r="E32" s="86"/>
      <c r="F32" s="84"/>
      <c r="G32" s="121"/>
      <c r="H32" s="118" t="e">
        <f>H31/$G31</f>
        <v>#DIV/0!</v>
      </c>
      <c r="I32" s="118" t="e">
        <f t="shared" ref="I32:S32" si="28">I31/$G31</f>
        <v>#DIV/0!</v>
      </c>
      <c r="J32" s="118" t="e">
        <f t="shared" si="28"/>
        <v>#DIV/0!</v>
      </c>
      <c r="K32" s="118" t="e">
        <f t="shared" si="28"/>
        <v>#DIV/0!</v>
      </c>
      <c r="L32" s="118" t="e">
        <f t="shared" si="28"/>
        <v>#DIV/0!</v>
      </c>
      <c r="M32" s="118" t="e">
        <f t="shared" si="28"/>
        <v>#DIV/0!</v>
      </c>
      <c r="N32" s="118" t="e">
        <f t="shared" si="28"/>
        <v>#DIV/0!</v>
      </c>
      <c r="O32" s="118" t="e">
        <f t="shared" si="28"/>
        <v>#DIV/0!</v>
      </c>
      <c r="P32" s="118" t="e">
        <f t="shared" si="28"/>
        <v>#DIV/0!</v>
      </c>
      <c r="Q32" s="118" t="e">
        <f t="shared" si="28"/>
        <v>#DIV/0!</v>
      </c>
      <c r="R32" s="118" t="e">
        <f t="shared" si="28"/>
        <v>#DIV/0!</v>
      </c>
      <c r="S32" s="118" t="e">
        <f t="shared" si="28"/>
        <v>#DIV/0!</v>
      </c>
      <c r="T32" s="125"/>
      <c r="U32" s="125"/>
      <c r="V32" s="125"/>
      <c r="W32" s="125"/>
      <c r="X32" s="125"/>
      <c r="Y32" s="125"/>
      <c r="Z32" s="125"/>
      <c r="AA32" s="125"/>
      <c r="AB32" s="125"/>
      <c r="AC32" s="125"/>
      <c r="AD32" s="125"/>
      <c r="AE32" s="125"/>
      <c r="AF32" s="125"/>
      <c r="AG32" s="92"/>
    </row>
    <row r="33" spans="1:33" ht="22.05" customHeight="1" x14ac:dyDescent="0.25">
      <c r="A33" s="204"/>
      <c r="B33" s="208"/>
      <c r="C33" s="229" t="s">
        <v>121</v>
      </c>
      <c r="D33" s="79" t="s">
        <v>103</v>
      </c>
      <c r="E33" s="86"/>
      <c r="F33" s="84">
        <v>0.13</v>
      </c>
      <c r="G33" s="119">
        <f t="shared" si="26"/>
        <v>0</v>
      </c>
      <c r="H33" s="122"/>
      <c r="I33" s="122"/>
      <c r="J33" s="122"/>
      <c r="K33" s="122"/>
      <c r="L33" s="122"/>
      <c r="M33" s="122"/>
      <c r="N33" s="122"/>
      <c r="O33" s="122"/>
      <c r="P33" s="122"/>
      <c r="Q33" s="122"/>
      <c r="R33" s="122"/>
      <c r="S33" s="122"/>
      <c r="T33" s="125">
        <f>SUM(U33:AF33)</f>
        <v>0</v>
      </c>
      <c r="U33" s="125">
        <f t="shared" ref="U33:AF33" si="29">H33/(1+$F$33)</f>
        <v>0</v>
      </c>
      <c r="V33" s="125">
        <f t="shared" si="29"/>
        <v>0</v>
      </c>
      <c r="W33" s="125">
        <f t="shared" si="29"/>
        <v>0</v>
      </c>
      <c r="X33" s="125">
        <f t="shared" si="29"/>
        <v>0</v>
      </c>
      <c r="Y33" s="125">
        <f t="shared" si="29"/>
        <v>0</v>
      </c>
      <c r="Z33" s="125">
        <f t="shared" si="29"/>
        <v>0</v>
      </c>
      <c r="AA33" s="125">
        <f t="shared" si="29"/>
        <v>0</v>
      </c>
      <c r="AB33" s="125">
        <f t="shared" si="29"/>
        <v>0</v>
      </c>
      <c r="AC33" s="125">
        <f t="shared" si="29"/>
        <v>0</v>
      </c>
      <c r="AD33" s="125">
        <f t="shared" si="29"/>
        <v>0</v>
      </c>
      <c r="AE33" s="125">
        <f t="shared" si="29"/>
        <v>0</v>
      </c>
      <c r="AF33" s="125">
        <f t="shared" si="29"/>
        <v>0</v>
      </c>
      <c r="AG33" s="92" t="s">
        <v>122</v>
      </c>
    </row>
    <row r="34" spans="1:33" ht="22.05" customHeight="1" x14ac:dyDescent="0.25">
      <c r="A34" s="204"/>
      <c r="B34" s="208"/>
      <c r="C34" s="230"/>
      <c r="D34" s="79" t="s">
        <v>105</v>
      </c>
      <c r="E34" s="86"/>
      <c r="F34" s="84"/>
      <c r="G34" s="119">
        <f t="shared" si="26"/>
        <v>0</v>
      </c>
      <c r="H34" s="122"/>
      <c r="I34" s="122"/>
      <c r="J34" s="122"/>
      <c r="K34" s="122"/>
      <c r="L34" s="122"/>
      <c r="M34" s="122"/>
      <c r="N34" s="122"/>
      <c r="O34" s="122"/>
      <c r="P34" s="122"/>
      <c r="Q34" s="122"/>
      <c r="R34" s="122"/>
      <c r="S34" s="122"/>
      <c r="T34" s="125"/>
      <c r="U34" s="125"/>
      <c r="V34" s="125"/>
      <c r="W34" s="125"/>
      <c r="X34" s="125"/>
      <c r="Y34" s="125"/>
      <c r="Z34" s="125"/>
      <c r="AA34" s="125"/>
      <c r="AB34" s="125"/>
      <c r="AC34" s="125"/>
      <c r="AD34" s="125"/>
      <c r="AE34" s="125"/>
      <c r="AF34" s="125"/>
      <c r="AG34" s="92"/>
    </row>
    <row r="35" spans="1:33" ht="22.05" customHeight="1" x14ac:dyDescent="0.25">
      <c r="A35" s="204"/>
      <c r="B35" s="208"/>
      <c r="C35" s="231"/>
      <c r="D35" s="79" t="s">
        <v>106</v>
      </c>
      <c r="E35" s="86"/>
      <c r="F35" s="84"/>
      <c r="G35" s="121"/>
      <c r="H35" s="118" t="e">
        <f>H34/$G34</f>
        <v>#DIV/0!</v>
      </c>
      <c r="I35" s="118" t="e">
        <f t="shared" ref="I35:S35" si="30">I34/$G34</f>
        <v>#DIV/0!</v>
      </c>
      <c r="J35" s="118" t="e">
        <f t="shared" si="30"/>
        <v>#DIV/0!</v>
      </c>
      <c r="K35" s="118" t="e">
        <f t="shared" si="30"/>
        <v>#DIV/0!</v>
      </c>
      <c r="L35" s="118" t="e">
        <f t="shared" si="30"/>
        <v>#DIV/0!</v>
      </c>
      <c r="M35" s="118" t="e">
        <f t="shared" si="30"/>
        <v>#DIV/0!</v>
      </c>
      <c r="N35" s="118" t="e">
        <f t="shared" si="30"/>
        <v>#DIV/0!</v>
      </c>
      <c r="O35" s="118" t="e">
        <f t="shared" si="30"/>
        <v>#DIV/0!</v>
      </c>
      <c r="P35" s="118" t="e">
        <f t="shared" si="30"/>
        <v>#DIV/0!</v>
      </c>
      <c r="Q35" s="118" t="e">
        <f t="shared" si="30"/>
        <v>#DIV/0!</v>
      </c>
      <c r="R35" s="118" t="e">
        <f t="shared" si="30"/>
        <v>#DIV/0!</v>
      </c>
      <c r="S35" s="118" t="e">
        <f t="shared" si="30"/>
        <v>#DIV/0!</v>
      </c>
      <c r="T35" s="125"/>
      <c r="U35" s="125"/>
      <c r="V35" s="125"/>
      <c r="W35" s="125"/>
      <c r="X35" s="125"/>
      <c r="Y35" s="125"/>
      <c r="Z35" s="125"/>
      <c r="AA35" s="125"/>
      <c r="AB35" s="125"/>
      <c r="AC35" s="125"/>
      <c r="AD35" s="125"/>
      <c r="AE35" s="125"/>
      <c r="AF35" s="125"/>
      <c r="AG35" s="92"/>
    </row>
    <row r="36" spans="1:33" ht="22.05" customHeight="1" x14ac:dyDescent="0.25">
      <c r="A36" s="204"/>
      <c r="B36" s="208"/>
      <c r="C36" s="229" t="s">
        <v>123</v>
      </c>
      <c r="D36" s="79" t="s">
        <v>103</v>
      </c>
      <c r="E36" s="86"/>
      <c r="F36" s="87">
        <v>0.09</v>
      </c>
      <c r="G36" s="119">
        <f>SUM(H36:S36)</f>
        <v>0</v>
      </c>
      <c r="H36" s="122"/>
      <c r="I36" s="122"/>
      <c r="J36" s="122"/>
      <c r="K36" s="122"/>
      <c r="L36" s="122"/>
      <c r="M36" s="122"/>
      <c r="N36" s="122"/>
      <c r="O36" s="122"/>
      <c r="P36" s="122"/>
      <c r="Q36" s="122"/>
      <c r="R36" s="122"/>
      <c r="S36" s="122"/>
      <c r="T36" s="125">
        <f>SUM(U36:AF36)</f>
        <v>0</v>
      </c>
      <c r="U36" s="125">
        <f t="shared" ref="U36:AF36" si="31">H36/(1+$F$36)</f>
        <v>0</v>
      </c>
      <c r="V36" s="125">
        <f t="shared" si="31"/>
        <v>0</v>
      </c>
      <c r="W36" s="125">
        <f t="shared" si="31"/>
        <v>0</v>
      </c>
      <c r="X36" s="125">
        <f t="shared" si="31"/>
        <v>0</v>
      </c>
      <c r="Y36" s="125">
        <f t="shared" si="31"/>
        <v>0</v>
      </c>
      <c r="Z36" s="125">
        <f t="shared" si="31"/>
        <v>0</v>
      </c>
      <c r="AA36" s="125">
        <f t="shared" si="31"/>
        <v>0</v>
      </c>
      <c r="AB36" s="125">
        <f t="shared" si="31"/>
        <v>0</v>
      </c>
      <c r="AC36" s="125">
        <f t="shared" si="31"/>
        <v>0</v>
      </c>
      <c r="AD36" s="125">
        <f t="shared" si="31"/>
        <v>0</v>
      </c>
      <c r="AE36" s="125">
        <f t="shared" si="31"/>
        <v>0</v>
      </c>
      <c r="AF36" s="125">
        <f t="shared" si="31"/>
        <v>0</v>
      </c>
      <c r="AG36" s="92" t="s">
        <v>124</v>
      </c>
    </row>
    <row r="37" spans="1:33" ht="22.05" customHeight="1" x14ac:dyDescent="0.25">
      <c r="A37" s="204"/>
      <c r="B37" s="208"/>
      <c r="C37" s="230"/>
      <c r="D37" s="79" t="s">
        <v>105</v>
      </c>
      <c r="E37" s="86"/>
      <c r="F37" s="87"/>
      <c r="G37" s="119">
        <f>SUM(H37:S37)</f>
        <v>0</v>
      </c>
      <c r="H37" s="122"/>
      <c r="I37" s="122"/>
      <c r="J37" s="122"/>
      <c r="K37" s="122"/>
      <c r="L37" s="122"/>
      <c r="M37" s="122"/>
      <c r="N37" s="122"/>
      <c r="O37" s="122"/>
      <c r="P37" s="122"/>
      <c r="Q37" s="122"/>
      <c r="R37" s="122"/>
      <c r="S37" s="122"/>
      <c r="T37" s="125"/>
      <c r="U37" s="125"/>
      <c r="V37" s="125"/>
      <c r="W37" s="125"/>
      <c r="X37" s="125"/>
      <c r="Y37" s="125"/>
      <c r="Z37" s="125"/>
      <c r="AA37" s="125"/>
      <c r="AB37" s="125"/>
      <c r="AC37" s="125"/>
      <c r="AD37" s="125"/>
      <c r="AE37" s="125"/>
      <c r="AF37" s="125"/>
      <c r="AG37" s="92"/>
    </row>
    <row r="38" spans="1:33" ht="22.05" customHeight="1" x14ac:dyDescent="0.25">
      <c r="A38" s="204"/>
      <c r="B38" s="208"/>
      <c r="C38" s="231"/>
      <c r="D38" s="79" t="s">
        <v>106</v>
      </c>
      <c r="E38" s="86"/>
      <c r="F38" s="87"/>
      <c r="G38" s="121"/>
      <c r="H38" s="118" t="e">
        <f>H37/$G37</f>
        <v>#DIV/0!</v>
      </c>
      <c r="I38" s="118" t="e">
        <f t="shared" ref="I38:S38" si="32">I37/$G37</f>
        <v>#DIV/0!</v>
      </c>
      <c r="J38" s="118" t="e">
        <f t="shared" si="32"/>
        <v>#DIV/0!</v>
      </c>
      <c r="K38" s="118" t="e">
        <f t="shared" si="32"/>
        <v>#DIV/0!</v>
      </c>
      <c r="L38" s="118" t="e">
        <f t="shared" si="32"/>
        <v>#DIV/0!</v>
      </c>
      <c r="M38" s="118" t="e">
        <f t="shared" si="32"/>
        <v>#DIV/0!</v>
      </c>
      <c r="N38" s="118" t="e">
        <f t="shared" si="32"/>
        <v>#DIV/0!</v>
      </c>
      <c r="O38" s="118" t="e">
        <f t="shared" si="32"/>
        <v>#DIV/0!</v>
      </c>
      <c r="P38" s="118" t="e">
        <f t="shared" si="32"/>
        <v>#DIV/0!</v>
      </c>
      <c r="Q38" s="118" t="e">
        <f t="shared" si="32"/>
        <v>#DIV/0!</v>
      </c>
      <c r="R38" s="118" t="e">
        <f t="shared" si="32"/>
        <v>#DIV/0!</v>
      </c>
      <c r="S38" s="118" t="e">
        <f t="shared" si="32"/>
        <v>#DIV/0!</v>
      </c>
      <c r="T38" s="125"/>
      <c r="U38" s="125"/>
      <c r="V38" s="125"/>
      <c r="W38" s="125"/>
      <c r="X38" s="125"/>
      <c r="Y38" s="125"/>
      <c r="Z38" s="125"/>
      <c r="AA38" s="125"/>
      <c r="AB38" s="125"/>
      <c r="AC38" s="125"/>
      <c r="AD38" s="125"/>
      <c r="AE38" s="125"/>
      <c r="AF38" s="125"/>
      <c r="AG38" s="92"/>
    </row>
    <row r="39" spans="1:33" ht="22.05" customHeight="1" x14ac:dyDescent="0.25">
      <c r="A39" s="204"/>
      <c r="B39" s="208"/>
      <c r="C39" s="86" t="s">
        <v>125</v>
      </c>
      <c r="D39" s="86"/>
      <c r="E39" s="86"/>
      <c r="F39" s="87"/>
      <c r="G39" s="119"/>
      <c r="H39" s="122"/>
      <c r="I39" s="122"/>
      <c r="J39" s="122"/>
      <c r="K39" s="122"/>
      <c r="L39" s="122"/>
      <c r="M39" s="122"/>
      <c r="N39" s="122"/>
      <c r="O39" s="122"/>
      <c r="P39" s="122"/>
      <c r="Q39" s="122"/>
      <c r="R39" s="122"/>
      <c r="S39" s="122"/>
      <c r="T39" s="125">
        <f>SUM(U39:AF39)</f>
        <v>0</v>
      </c>
      <c r="U39" s="125">
        <f t="shared" ref="U39:AF39" si="33">H39/(1+$F$39)</f>
        <v>0</v>
      </c>
      <c r="V39" s="125">
        <f t="shared" si="33"/>
        <v>0</v>
      </c>
      <c r="W39" s="125">
        <f t="shared" si="33"/>
        <v>0</v>
      </c>
      <c r="X39" s="125">
        <f t="shared" si="33"/>
        <v>0</v>
      </c>
      <c r="Y39" s="125">
        <f t="shared" si="33"/>
        <v>0</v>
      </c>
      <c r="Z39" s="125">
        <f t="shared" si="33"/>
        <v>0</v>
      </c>
      <c r="AA39" s="125">
        <f t="shared" si="33"/>
        <v>0</v>
      </c>
      <c r="AB39" s="125">
        <f t="shared" si="33"/>
        <v>0</v>
      </c>
      <c r="AC39" s="125">
        <f t="shared" si="33"/>
        <v>0</v>
      </c>
      <c r="AD39" s="125">
        <f t="shared" si="33"/>
        <v>0</v>
      </c>
      <c r="AE39" s="125">
        <f t="shared" si="33"/>
        <v>0</v>
      </c>
      <c r="AF39" s="125">
        <f t="shared" si="33"/>
        <v>0</v>
      </c>
      <c r="AG39" s="92" t="s">
        <v>126</v>
      </c>
    </row>
    <row r="40" spans="1:33" ht="22.05" customHeight="1" x14ac:dyDescent="0.25">
      <c r="A40" s="204"/>
      <c r="B40" s="209" t="s">
        <v>127</v>
      </c>
      <c r="C40" s="232" t="s">
        <v>128</v>
      </c>
      <c r="D40" s="79" t="s">
        <v>103</v>
      </c>
      <c r="E40" s="80"/>
      <c r="F40" s="87"/>
      <c r="G40" s="123">
        <f>G43+G61</f>
        <v>0</v>
      </c>
      <c r="H40" s="123">
        <f>H43+H61</f>
        <v>0</v>
      </c>
      <c r="I40" s="123">
        <f t="shared" ref="I40:AF40" si="34">I43+I61</f>
        <v>0</v>
      </c>
      <c r="J40" s="123">
        <f t="shared" si="34"/>
        <v>0</v>
      </c>
      <c r="K40" s="123">
        <f t="shared" si="34"/>
        <v>0</v>
      </c>
      <c r="L40" s="123">
        <f t="shared" si="34"/>
        <v>0</v>
      </c>
      <c r="M40" s="123">
        <f t="shared" si="34"/>
        <v>0</v>
      </c>
      <c r="N40" s="123">
        <f t="shared" si="34"/>
        <v>0</v>
      </c>
      <c r="O40" s="123">
        <f t="shared" si="34"/>
        <v>0</v>
      </c>
      <c r="P40" s="123">
        <f t="shared" si="34"/>
        <v>0</v>
      </c>
      <c r="Q40" s="123">
        <f t="shared" si="34"/>
        <v>0</v>
      </c>
      <c r="R40" s="123">
        <f t="shared" si="34"/>
        <v>0</v>
      </c>
      <c r="S40" s="123">
        <f t="shared" si="34"/>
        <v>0</v>
      </c>
      <c r="T40" s="123">
        <f t="shared" si="34"/>
        <v>0</v>
      </c>
      <c r="U40" s="123">
        <f t="shared" si="34"/>
        <v>0</v>
      </c>
      <c r="V40" s="123">
        <f t="shared" si="34"/>
        <v>0</v>
      </c>
      <c r="W40" s="123">
        <f t="shared" si="34"/>
        <v>0</v>
      </c>
      <c r="X40" s="123">
        <f t="shared" si="34"/>
        <v>0</v>
      </c>
      <c r="Y40" s="123">
        <f t="shared" si="34"/>
        <v>0</v>
      </c>
      <c r="Z40" s="123">
        <f t="shared" si="34"/>
        <v>0</v>
      </c>
      <c r="AA40" s="123">
        <f t="shared" si="34"/>
        <v>0</v>
      </c>
      <c r="AB40" s="123">
        <f t="shared" si="34"/>
        <v>0</v>
      </c>
      <c r="AC40" s="123">
        <f t="shared" si="34"/>
        <v>0</v>
      </c>
      <c r="AD40" s="123">
        <f t="shared" si="34"/>
        <v>0</v>
      </c>
      <c r="AE40" s="123">
        <f t="shared" si="34"/>
        <v>0</v>
      </c>
      <c r="AF40" s="123">
        <f t="shared" si="34"/>
        <v>0</v>
      </c>
      <c r="AG40" s="92"/>
    </row>
    <row r="41" spans="1:33" ht="22.05" customHeight="1" x14ac:dyDescent="0.25">
      <c r="A41" s="204"/>
      <c r="B41" s="209"/>
      <c r="C41" s="233"/>
      <c r="D41" s="79" t="s">
        <v>105</v>
      </c>
      <c r="E41" s="80"/>
      <c r="F41" s="87"/>
      <c r="G41" s="123">
        <f>G44+G62</f>
        <v>0</v>
      </c>
      <c r="H41" s="123">
        <f>H44+H62</f>
        <v>0</v>
      </c>
      <c r="I41" s="123">
        <f t="shared" ref="I41:AF41" si="35">I44+I62</f>
        <v>0</v>
      </c>
      <c r="J41" s="123">
        <f t="shared" si="35"/>
        <v>0</v>
      </c>
      <c r="K41" s="123">
        <f t="shared" si="35"/>
        <v>0</v>
      </c>
      <c r="L41" s="123">
        <f t="shared" si="35"/>
        <v>0</v>
      </c>
      <c r="M41" s="123">
        <f t="shared" si="35"/>
        <v>0</v>
      </c>
      <c r="N41" s="123">
        <f t="shared" si="35"/>
        <v>0</v>
      </c>
      <c r="O41" s="123">
        <f t="shared" si="35"/>
        <v>0</v>
      </c>
      <c r="P41" s="123">
        <f t="shared" si="35"/>
        <v>0</v>
      </c>
      <c r="Q41" s="123">
        <f t="shared" si="35"/>
        <v>0</v>
      </c>
      <c r="R41" s="123">
        <f t="shared" si="35"/>
        <v>0</v>
      </c>
      <c r="S41" s="123">
        <f t="shared" si="35"/>
        <v>0</v>
      </c>
      <c r="T41" s="123">
        <f t="shared" si="35"/>
        <v>0</v>
      </c>
      <c r="U41" s="123">
        <f t="shared" si="35"/>
        <v>0</v>
      </c>
      <c r="V41" s="123">
        <f t="shared" si="35"/>
        <v>0</v>
      </c>
      <c r="W41" s="123">
        <f t="shared" si="35"/>
        <v>0</v>
      </c>
      <c r="X41" s="123">
        <f t="shared" si="35"/>
        <v>0</v>
      </c>
      <c r="Y41" s="123">
        <f t="shared" si="35"/>
        <v>0</v>
      </c>
      <c r="Z41" s="123">
        <f t="shared" si="35"/>
        <v>0</v>
      </c>
      <c r="AA41" s="123">
        <f t="shared" si="35"/>
        <v>0</v>
      </c>
      <c r="AB41" s="123">
        <f t="shared" si="35"/>
        <v>0</v>
      </c>
      <c r="AC41" s="123">
        <f t="shared" si="35"/>
        <v>0</v>
      </c>
      <c r="AD41" s="123">
        <f t="shared" si="35"/>
        <v>0</v>
      </c>
      <c r="AE41" s="123">
        <f t="shared" si="35"/>
        <v>0</v>
      </c>
      <c r="AF41" s="123">
        <f t="shared" si="35"/>
        <v>0</v>
      </c>
      <c r="AG41" s="92"/>
    </row>
    <row r="42" spans="1:33" ht="22.05" customHeight="1" x14ac:dyDescent="0.25">
      <c r="A42" s="204"/>
      <c r="B42" s="209"/>
      <c r="C42" s="234"/>
      <c r="D42" s="79" t="s">
        <v>106</v>
      </c>
      <c r="E42" s="80"/>
      <c r="F42" s="87"/>
      <c r="G42" s="124"/>
      <c r="H42" s="118" t="e">
        <f>H41/$G41</f>
        <v>#DIV/0!</v>
      </c>
      <c r="I42" s="118" t="e">
        <f t="shared" ref="I42:S42" si="36">I41/$G41</f>
        <v>#DIV/0!</v>
      </c>
      <c r="J42" s="118" t="e">
        <f t="shared" si="36"/>
        <v>#DIV/0!</v>
      </c>
      <c r="K42" s="118" t="e">
        <f t="shared" si="36"/>
        <v>#DIV/0!</v>
      </c>
      <c r="L42" s="118" t="e">
        <f t="shared" si="36"/>
        <v>#DIV/0!</v>
      </c>
      <c r="M42" s="118" t="e">
        <f t="shared" si="36"/>
        <v>#DIV/0!</v>
      </c>
      <c r="N42" s="118" t="e">
        <f t="shared" si="36"/>
        <v>#DIV/0!</v>
      </c>
      <c r="O42" s="118" t="e">
        <f t="shared" si="36"/>
        <v>#DIV/0!</v>
      </c>
      <c r="P42" s="118" t="e">
        <f t="shared" si="36"/>
        <v>#DIV/0!</v>
      </c>
      <c r="Q42" s="118" t="e">
        <f t="shared" si="36"/>
        <v>#DIV/0!</v>
      </c>
      <c r="R42" s="118" t="e">
        <f t="shared" si="36"/>
        <v>#DIV/0!</v>
      </c>
      <c r="S42" s="118" t="e">
        <f t="shared" si="36"/>
        <v>#DIV/0!</v>
      </c>
      <c r="T42" s="123"/>
      <c r="U42" s="123"/>
      <c r="V42" s="123"/>
      <c r="W42" s="123"/>
      <c r="X42" s="123"/>
      <c r="Y42" s="123"/>
      <c r="Z42" s="123"/>
      <c r="AA42" s="123"/>
      <c r="AB42" s="123"/>
      <c r="AC42" s="123"/>
      <c r="AD42" s="123"/>
      <c r="AE42" s="123"/>
      <c r="AF42" s="123"/>
      <c r="AG42" s="92"/>
    </row>
    <row r="43" spans="1:33" ht="22.05" customHeight="1" x14ac:dyDescent="0.25">
      <c r="A43" s="204"/>
      <c r="B43" s="209"/>
      <c r="C43" s="235" t="s">
        <v>129</v>
      </c>
      <c r="D43" s="79" t="s">
        <v>103</v>
      </c>
      <c r="E43" s="86"/>
      <c r="F43" s="87"/>
      <c r="G43" s="125">
        <f>SUM(G46+G49+G52+G55)</f>
        <v>0</v>
      </c>
      <c r="H43" s="125">
        <f t="shared" ref="H43:AF43" si="37">SUM(H46+H49+H52+H55)</f>
        <v>0</v>
      </c>
      <c r="I43" s="125">
        <f t="shared" si="37"/>
        <v>0</v>
      </c>
      <c r="J43" s="125">
        <f t="shared" si="37"/>
        <v>0</v>
      </c>
      <c r="K43" s="125">
        <f t="shared" si="37"/>
        <v>0</v>
      </c>
      <c r="L43" s="125">
        <f t="shared" si="37"/>
        <v>0</v>
      </c>
      <c r="M43" s="125">
        <f t="shared" si="37"/>
        <v>0</v>
      </c>
      <c r="N43" s="125">
        <f t="shared" si="37"/>
        <v>0</v>
      </c>
      <c r="O43" s="125">
        <f t="shared" si="37"/>
        <v>0</v>
      </c>
      <c r="P43" s="125">
        <f t="shared" si="37"/>
        <v>0</v>
      </c>
      <c r="Q43" s="125">
        <f t="shared" si="37"/>
        <v>0</v>
      </c>
      <c r="R43" s="125">
        <f t="shared" si="37"/>
        <v>0</v>
      </c>
      <c r="S43" s="125">
        <f t="shared" si="37"/>
        <v>0</v>
      </c>
      <c r="T43" s="125">
        <f t="shared" si="37"/>
        <v>0</v>
      </c>
      <c r="U43" s="125">
        <f t="shared" si="37"/>
        <v>0</v>
      </c>
      <c r="V43" s="125">
        <f t="shared" si="37"/>
        <v>0</v>
      </c>
      <c r="W43" s="125">
        <f t="shared" si="37"/>
        <v>0</v>
      </c>
      <c r="X43" s="125">
        <f t="shared" si="37"/>
        <v>0</v>
      </c>
      <c r="Y43" s="125">
        <f t="shared" si="37"/>
        <v>0</v>
      </c>
      <c r="Z43" s="125">
        <f t="shared" si="37"/>
        <v>0</v>
      </c>
      <c r="AA43" s="125">
        <f t="shared" si="37"/>
        <v>0</v>
      </c>
      <c r="AB43" s="125">
        <f t="shared" si="37"/>
        <v>0</v>
      </c>
      <c r="AC43" s="125">
        <f t="shared" si="37"/>
        <v>0</v>
      </c>
      <c r="AD43" s="125">
        <f t="shared" si="37"/>
        <v>0</v>
      </c>
      <c r="AE43" s="125">
        <f t="shared" si="37"/>
        <v>0</v>
      </c>
      <c r="AF43" s="125">
        <f t="shared" si="37"/>
        <v>0</v>
      </c>
      <c r="AG43" s="260" t="s">
        <v>130</v>
      </c>
    </row>
    <row r="44" spans="1:33" ht="22.05" customHeight="1" x14ac:dyDescent="0.25">
      <c r="A44" s="204"/>
      <c r="B44" s="209"/>
      <c r="C44" s="236"/>
      <c r="D44" s="79" t="s">
        <v>105</v>
      </c>
      <c r="E44" s="86"/>
      <c r="F44" s="87"/>
      <c r="G44" s="125">
        <f>SUM(G47+G50+G53+G56)</f>
        <v>0</v>
      </c>
      <c r="H44" s="125">
        <f>SUM(H47+H50+H53+H56)</f>
        <v>0</v>
      </c>
      <c r="I44" s="125">
        <f t="shared" ref="I44:AF44" si="38">SUM(I47+I50+I53+I56)</f>
        <v>0</v>
      </c>
      <c r="J44" s="125">
        <f t="shared" si="38"/>
        <v>0</v>
      </c>
      <c r="K44" s="125">
        <f t="shared" si="38"/>
        <v>0</v>
      </c>
      <c r="L44" s="125">
        <f t="shared" si="38"/>
        <v>0</v>
      </c>
      <c r="M44" s="125">
        <f t="shared" si="38"/>
        <v>0</v>
      </c>
      <c r="N44" s="125">
        <f t="shared" si="38"/>
        <v>0</v>
      </c>
      <c r="O44" s="125">
        <f t="shared" si="38"/>
        <v>0</v>
      </c>
      <c r="P44" s="125">
        <f t="shared" si="38"/>
        <v>0</v>
      </c>
      <c r="Q44" s="125">
        <f t="shared" si="38"/>
        <v>0</v>
      </c>
      <c r="R44" s="125">
        <f t="shared" si="38"/>
        <v>0</v>
      </c>
      <c r="S44" s="125">
        <f t="shared" si="38"/>
        <v>0</v>
      </c>
      <c r="T44" s="125">
        <f t="shared" si="38"/>
        <v>0</v>
      </c>
      <c r="U44" s="125">
        <f t="shared" si="38"/>
        <v>0</v>
      </c>
      <c r="V44" s="125">
        <f t="shared" si="38"/>
        <v>0</v>
      </c>
      <c r="W44" s="125">
        <f t="shared" si="38"/>
        <v>0</v>
      </c>
      <c r="X44" s="125">
        <f t="shared" si="38"/>
        <v>0</v>
      </c>
      <c r="Y44" s="125">
        <f t="shared" si="38"/>
        <v>0</v>
      </c>
      <c r="Z44" s="125">
        <f t="shared" si="38"/>
        <v>0</v>
      </c>
      <c r="AA44" s="125">
        <f t="shared" si="38"/>
        <v>0</v>
      </c>
      <c r="AB44" s="125">
        <f t="shared" si="38"/>
        <v>0</v>
      </c>
      <c r="AC44" s="125">
        <f t="shared" si="38"/>
        <v>0</v>
      </c>
      <c r="AD44" s="125">
        <f t="shared" si="38"/>
        <v>0</v>
      </c>
      <c r="AE44" s="125">
        <f t="shared" si="38"/>
        <v>0</v>
      </c>
      <c r="AF44" s="125">
        <f t="shared" si="38"/>
        <v>0</v>
      </c>
      <c r="AG44" s="261"/>
    </row>
    <row r="45" spans="1:33" ht="22.05" customHeight="1" x14ac:dyDescent="0.25">
      <c r="A45" s="204"/>
      <c r="B45" s="209"/>
      <c r="C45" s="237"/>
      <c r="D45" s="79" t="s">
        <v>106</v>
      </c>
      <c r="E45" s="86"/>
      <c r="F45" s="87"/>
      <c r="G45" s="124"/>
      <c r="H45" s="118" t="e">
        <f>H44/$G44</f>
        <v>#DIV/0!</v>
      </c>
      <c r="I45" s="118" t="e">
        <f t="shared" ref="I45:S45" si="39">I44/$G44</f>
        <v>#DIV/0!</v>
      </c>
      <c r="J45" s="118" t="e">
        <f t="shared" si="39"/>
        <v>#DIV/0!</v>
      </c>
      <c r="K45" s="118" t="e">
        <f t="shared" si="39"/>
        <v>#DIV/0!</v>
      </c>
      <c r="L45" s="118" t="e">
        <f t="shared" si="39"/>
        <v>#DIV/0!</v>
      </c>
      <c r="M45" s="118" t="e">
        <f t="shared" si="39"/>
        <v>#DIV/0!</v>
      </c>
      <c r="N45" s="118" t="e">
        <f t="shared" si="39"/>
        <v>#DIV/0!</v>
      </c>
      <c r="O45" s="118" t="e">
        <f t="shared" si="39"/>
        <v>#DIV/0!</v>
      </c>
      <c r="P45" s="118" t="e">
        <f t="shared" si="39"/>
        <v>#DIV/0!</v>
      </c>
      <c r="Q45" s="118" t="e">
        <f t="shared" si="39"/>
        <v>#DIV/0!</v>
      </c>
      <c r="R45" s="118" t="e">
        <f t="shared" si="39"/>
        <v>#DIV/0!</v>
      </c>
      <c r="S45" s="118" t="e">
        <f t="shared" si="39"/>
        <v>#DIV/0!</v>
      </c>
      <c r="T45" s="125"/>
      <c r="U45" s="125"/>
      <c r="V45" s="125"/>
      <c r="W45" s="125"/>
      <c r="X45" s="125"/>
      <c r="Y45" s="125"/>
      <c r="Z45" s="125"/>
      <c r="AA45" s="125"/>
      <c r="AB45" s="125"/>
      <c r="AC45" s="125"/>
      <c r="AD45" s="125"/>
      <c r="AE45" s="125"/>
      <c r="AF45" s="125"/>
      <c r="AG45" s="262"/>
    </row>
    <row r="46" spans="1:33" ht="22.05" customHeight="1" x14ac:dyDescent="0.25">
      <c r="A46" s="204"/>
      <c r="B46" s="209"/>
      <c r="C46" s="235" t="s">
        <v>131</v>
      </c>
      <c r="D46" s="79" t="s">
        <v>103</v>
      </c>
      <c r="E46" s="86"/>
      <c r="F46" s="87">
        <v>0.09</v>
      </c>
      <c r="G46" s="119">
        <f t="shared" ref="G46:G50" si="40">SUM(H46:S46)</f>
        <v>0</v>
      </c>
      <c r="H46" s="122"/>
      <c r="I46" s="122"/>
      <c r="J46" s="122"/>
      <c r="K46" s="122"/>
      <c r="L46" s="122"/>
      <c r="M46" s="122"/>
      <c r="N46" s="122"/>
      <c r="O46" s="122"/>
      <c r="P46" s="122"/>
      <c r="Q46" s="122"/>
      <c r="R46" s="122"/>
      <c r="S46" s="122"/>
      <c r="T46" s="125">
        <f>SUM(U46:AF46)</f>
        <v>0</v>
      </c>
      <c r="U46" s="125">
        <f t="shared" ref="U46:AF46" si="41">H46/(1+$F$46)</f>
        <v>0</v>
      </c>
      <c r="V46" s="125">
        <f t="shared" si="41"/>
        <v>0</v>
      </c>
      <c r="W46" s="125">
        <f t="shared" si="41"/>
        <v>0</v>
      </c>
      <c r="X46" s="125">
        <f t="shared" si="41"/>
        <v>0</v>
      </c>
      <c r="Y46" s="125">
        <f t="shared" si="41"/>
        <v>0</v>
      </c>
      <c r="Z46" s="125">
        <f t="shared" si="41"/>
        <v>0</v>
      </c>
      <c r="AA46" s="125">
        <f t="shared" si="41"/>
        <v>0</v>
      </c>
      <c r="AB46" s="125">
        <f t="shared" si="41"/>
        <v>0</v>
      </c>
      <c r="AC46" s="125">
        <f t="shared" si="41"/>
        <v>0</v>
      </c>
      <c r="AD46" s="125">
        <f t="shared" si="41"/>
        <v>0</v>
      </c>
      <c r="AE46" s="125">
        <f t="shared" si="41"/>
        <v>0</v>
      </c>
      <c r="AF46" s="125">
        <f t="shared" si="41"/>
        <v>0</v>
      </c>
      <c r="AG46" s="92"/>
    </row>
    <row r="47" spans="1:33" ht="22.05" customHeight="1" x14ac:dyDescent="0.25">
      <c r="A47" s="204"/>
      <c r="B47" s="209"/>
      <c r="C47" s="236"/>
      <c r="D47" s="79" t="s">
        <v>105</v>
      </c>
      <c r="E47" s="86"/>
      <c r="F47" s="87"/>
      <c r="G47" s="119">
        <f t="shared" si="40"/>
        <v>0</v>
      </c>
      <c r="H47" s="122"/>
      <c r="I47" s="122"/>
      <c r="J47" s="122"/>
      <c r="K47" s="122"/>
      <c r="L47" s="122"/>
      <c r="M47" s="122"/>
      <c r="N47" s="122"/>
      <c r="O47" s="122"/>
      <c r="P47" s="122"/>
      <c r="Q47" s="122"/>
      <c r="R47" s="122"/>
      <c r="S47" s="122"/>
      <c r="T47" s="125"/>
      <c r="U47" s="125"/>
      <c r="V47" s="125"/>
      <c r="W47" s="125"/>
      <c r="X47" s="125"/>
      <c r="Y47" s="125"/>
      <c r="Z47" s="125"/>
      <c r="AA47" s="125"/>
      <c r="AB47" s="125"/>
      <c r="AC47" s="125"/>
      <c r="AD47" s="125"/>
      <c r="AE47" s="125"/>
      <c r="AF47" s="125"/>
      <c r="AG47" s="92"/>
    </row>
    <row r="48" spans="1:33" ht="22.05" customHeight="1" x14ac:dyDescent="0.25">
      <c r="A48" s="204"/>
      <c r="B48" s="209"/>
      <c r="C48" s="237"/>
      <c r="D48" s="79" t="s">
        <v>106</v>
      </c>
      <c r="E48" s="86"/>
      <c r="F48" s="87"/>
      <c r="G48" s="121"/>
      <c r="H48" s="118" t="e">
        <f>H47/$G47</f>
        <v>#DIV/0!</v>
      </c>
      <c r="I48" s="118" t="e">
        <f t="shared" ref="I48:S48" si="42">I47/$G47</f>
        <v>#DIV/0!</v>
      </c>
      <c r="J48" s="118" t="e">
        <f t="shared" si="42"/>
        <v>#DIV/0!</v>
      </c>
      <c r="K48" s="118" t="e">
        <f t="shared" si="42"/>
        <v>#DIV/0!</v>
      </c>
      <c r="L48" s="118" t="e">
        <f t="shared" si="42"/>
        <v>#DIV/0!</v>
      </c>
      <c r="M48" s="118" t="e">
        <f t="shared" si="42"/>
        <v>#DIV/0!</v>
      </c>
      <c r="N48" s="118" t="e">
        <f t="shared" si="42"/>
        <v>#DIV/0!</v>
      </c>
      <c r="O48" s="118" t="e">
        <f t="shared" si="42"/>
        <v>#DIV/0!</v>
      </c>
      <c r="P48" s="118" t="e">
        <f t="shared" si="42"/>
        <v>#DIV/0!</v>
      </c>
      <c r="Q48" s="118" t="e">
        <f t="shared" si="42"/>
        <v>#DIV/0!</v>
      </c>
      <c r="R48" s="118" t="e">
        <f t="shared" si="42"/>
        <v>#DIV/0!</v>
      </c>
      <c r="S48" s="118" t="e">
        <f t="shared" si="42"/>
        <v>#DIV/0!</v>
      </c>
      <c r="T48" s="125"/>
      <c r="U48" s="125"/>
      <c r="V48" s="125"/>
      <c r="W48" s="125"/>
      <c r="X48" s="125"/>
      <c r="Y48" s="125"/>
      <c r="Z48" s="125"/>
      <c r="AA48" s="125"/>
      <c r="AB48" s="125"/>
      <c r="AC48" s="125"/>
      <c r="AD48" s="125"/>
      <c r="AE48" s="125"/>
      <c r="AF48" s="125"/>
      <c r="AG48" s="92"/>
    </row>
    <row r="49" spans="1:33" ht="22.05" customHeight="1" x14ac:dyDescent="0.25">
      <c r="A49" s="204"/>
      <c r="B49" s="209"/>
      <c r="C49" s="238" t="s">
        <v>132</v>
      </c>
      <c r="D49" s="79" t="s">
        <v>103</v>
      </c>
      <c r="E49" s="86"/>
      <c r="F49" s="87">
        <v>0.09</v>
      </c>
      <c r="G49" s="119">
        <f t="shared" si="40"/>
        <v>0</v>
      </c>
      <c r="H49" s="122"/>
      <c r="I49" s="129"/>
      <c r="J49" s="129"/>
      <c r="K49" s="129"/>
      <c r="L49" s="129"/>
      <c r="M49" s="129"/>
      <c r="N49" s="129"/>
      <c r="O49" s="122"/>
      <c r="P49" s="122"/>
      <c r="Q49" s="122"/>
      <c r="R49" s="122"/>
      <c r="S49" s="122"/>
      <c r="T49" s="125">
        <f>SUM(U49:AF49)</f>
        <v>0</v>
      </c>
      <c r="U49" s="125">
        <f t="shared" ref="U49:AF49" si="43">H49/(1+$F$49)</f>
        <v>0</v>
      </c>
      <c r="V49" s="125">
        <f t="shared" si="43"/>
        <v>0</v>
      </c>
      <c r="W49" s="125">
        <f t="shared" si="43"/>
        <v>0</v>
      </c>
      <c r="X49" s="125">
        <f t="shared" si="43"/>
        <v>0</v>
      </c>
      <c r="Y49" s="125">
        <f t="shared" si="43"/>
        <v>0</v>
      </c>
      <c r="Z49" s="125">
        <f t="shared" si="43"/>
        <v>0</v>
      </c>
      <c r="AA49" s="125">
        <f t="shared" si="43"/>
        <v>0</v>
      </c>
      <c r="AB49" s="125">
        <f t="shared" si="43"/>
        <v>0</v>
      </c>
      <c r="AC49" s="125">
        <f t="shared" si="43"/>
        <v>0</v>
      </c>
      <c r="AD49" s="125">
        <f t="shared" si="43"/>
        <v>0</v>
      </c>
      <c r="AE49" s="125">
        <f t="shared" si="43"/>
        <v>0</v>
      </c>
      <c r="AF49" s="125">
        <f t="shared" si="43"/>
        <v>0</v>
      </c>
      <c r="AG49" s="92"/>
    </row>
    <row r="50" spans="1:33" ht="22.05" customHeight="1" x14ac:dyDescent="0.25">
      <c r="A50" s="204"/>
      <c r="B50" s="209"/>
      <c r="C50" s="239"/>
      <c r="D50" s="79" t="s">
        <v>105</v>
      </c>
      <c r="E50" s="86"/>
      <c r="F50" s="87"/>
      <c r="G50" s="119">
        <f t="shared" si="40"/>
        <v>0</v>
      </c>
      <c r="H50" s="122"/>
      <c r="I50" s="129"/>
      <c r="J50" s="129"/>
      <c r="K50" s="129"/>
      <c r="L50" s="129"/>
      <c r="M50" s="129"/>
      <c r="N50" s="129"/>
      <c r="O50" s="122"/>
      <c r="P50" s="122"/>
      <c r="Q50" s="122"/>
      <c r="R50" s="122"/>
      <c r="S50" s="122"/>
      <c r="T50" s="125"/>
      <c r="U50" s="125"/>
      <c r="V50" s="125"/>
      <c r="W50" s="125"/>
      <c r="X50" s="125"/>
      <c r="Y50" s="125"/>
      <c r="Z50" s="125"/>
      <c r="AA50" s="125"/>
      <c r="AB50" s="125"/>
      <c r="AC50" s="125"/>
      <c r="AD50" s="125"/>
      <c r="AE50" s="125"/>
      <c r="AF50" s="125"/>
      <c r="AG50" s="92"/>
    </row>
    <row r="51" spans="1:33" ht="22.05" customHeight="1" x14ac:dyDescent="0.25">
      <c r="A51" s="204"/>
      <c r="B51" s="209"/>
      <c r="C51" s="240"/>
      <c r="D51" s="79" t="s">
        <v>106</v>
      </c>
      <c r="E51" s="86"/>
      <c r="F51" s="87"/>
      <c r="G51" s="121"/>
      <c r="H51" s="118" t="e">
        <f>H50/$G50</f>
        <v>#DIV/0!</v>
      </c>
      <c r="I51" s="118" t="e">
        <f t="shared" ref="I51:S51" si="44">I50/$G50</f>
        <v>#DIV/0!</v>
      </c>
      <c r="J51" s="118" t="e">
        <f t="shared" si="44"/>
        <v>#DIV/0!</v>
      </c>
      <c r="K51" s="118" t="e">
        <f t="shared" si="44"/>
        <v>#DIV/0!</v>
      </c>
      <c r="L51" s="118" t="e">
        <f t="shared" si="44"/>
        <v>#DIV/0!</v>
      </c>
      <c r="M51" s="118" t="e">
        <f t="shared" si="44"/>
        <v>#DIV/0!</v>
      </c>
      <c r="N51" s="118" t="e">
        <f t="shared" si="44"/>
        <v>#DIV/0!</v>
      </c>
      <c r="O51" s="118" t="e">
        <f t="shared" si="44"/>
        <v>#DIV/0!</v>
      </c>
      <c r="P51" s="118" t="e">
        <f t="shared" si="44"/>
        <v>#DIV/0!</v>
      </c>
      <c r="Q51" s="118" t="e">
        <f t="shared" si="44"/>
        <v>#DIV/0!</v>
      </c>
      <c r="R51" s="118" t="e">
        <f t="shared" si="44"/>
        <v>#DIV/0!</v>
      </c>
      <c r="S51" s="118" t="e">
        <f t="shared" si="44"/>
        <v>#DIV/0!</v>
      </c>
      <c r="T51" s="125"/>
      <c r="U51" s="125"/>
      <c r="V51" s="125"/>
      <c r="W51" s="125"/>
      <c r="X51" s="125"/>
      <c r="Y51" s="125"/>
      <c r="Z51" s="125"/>
      <c r="AA51" s="125"/>
      <c r="AB51" s="125"/>
      <c r="AC51" s="125"/>
      <c r="AD51" s="125"/>
      <c r="AE51" s="125"/>
      <c r="AF51" s="125"/>
      <c r="AG51" s="92"/>
    </row>
    <row r="52" spans="1:33" ht="22.05" customHeight="1" x14ac:dyDescent="0.25">
      <c r="A52" s="204"/>
      <c r="B52" s="209"/>
      <c r="C52" s="235" t="s">
        <v>133</v>
      </c>
      <c r="D52" s="79" t="s">
        <v>103</v>
      </c>
      <c r="E52" s="86"/>
      <c r="F52" s="87">
        <v>0.09</v>
      </c>
      <c r="G52" s="119">
        <f t="shared" ref="G52:G56" si="45">SUM(H52:S52)</f>
        <v>0</v>
      </c>
      <c r="H52" s="122"/>
      <c r="I52" s="122"/>
      <c r="J52" s="122"/>
      <c r="K52" s="122"/>
      <c r="L52" s="122"/>
      <c r="M52" s="122"/>
      <c r="N52" s="122"/>
      <c r="O52" s="122"/>
      <c r="P52" s="122"/>
      <c r="Q52" s="122"/>
      <c r="R52" s="122"/>
      <c r="S52" s="122"/>
      <c r="T52" s="125">
        <f>SUM(U52:AF52)</f>
        <v>0</v>
      </c>
      <c r="U52" s="125">
        <f>H52/(1+$F$52)</f>
        <v>0</v>
      </c>
      <c r="V52" s="125">
        <f t="shared" ref="V52:AF52" si="46">I52/(1+$F$52)</f>
        <v>0</v>
      </c>
      <c r="W52" s="125">
        <f t="shared" si="46"/>
        <v>0</v>
      </c>
      <c r="X52" s="125">
        <f t="shared" si="46"/>
        <v>0</v>
      </c>
      <c r="Y52" s="125">
        <f t="shared" si="46"/>
        <v>0</v>
      </c>
      <c r="Z52" s="125">
        <f t="shared" si="46"/>
        <v>0</v>
      </c>
      <c r="AA52" s="125">
        <f t="shared" si="46"/>
        <v>0</v>
      </c>
      <c r="AB52" s="125">
        <f t="shared" si="46"/>
        <v>0</v>
      </c>
      <c r="AC52" s="125">
        <f t="shared" si="46"/>
        <v>0</v>
      </c>
      <c r="AD52" s="125">
        <f t="shared" si="46"/>
        <v>0</v>
      </c>
      <c r="AE52" s="125">
        <f t="shared" si="46"/>
        <v>0</v>
      </c>
      <c r="AF52" s="125">
        <f t="shared" si="46"/>
        <v>0</v>
      </c>
      <c r="AG52" s="92"/>
    </row>
    <row r="53" spans="1:33" ht="22.05" customHeight="1" x14ac:dyDescent="0.25">
      <c r="A53" s="204"/>
      <c r="B53" s="209"/>
      <c r="C53" s="236"/>
      <c r="D53" s="79" t="s">
        <v>105</v>
      </c>
      <c r="E53" s="86"/>
      <c r="F53" s="87"/>
      <c r="G53" s="119">
        <f t="shared" si="45"/>
        <v>0</v>
      </c>
      <c r="H53" s="122"/>
      <c r="I53" s="122"/>
      <c r="J53" s="122"/>
      <c r="K53" s="122"/>
      <c r="L53" s="122"/>
      <c r="M53" s="122"/>
      <c r="N53" s="122"/>
      <c r="O53" s="122"/>
      <c r="P53" s="122"/>
      <c r="Q53" s="122"/>
      <c r="R53" s="122"/>
      <c r="S53" s="122"/>
      <c r="T53" s="125"/>
      <c r="U53" s="125"/>
      <c r="V53" s="125"/>
      <c r="W53" s="125"/>
      <c r="X53" s="125"/>
      <c r="Y53" s="125"/>
      <c r="Z53" s="125"/>
      <c r="AA53" s="125"/>
      <c r="AB53" s="125"/>
      <c r="AC53" s="125"/>
      <c r="AD53" s="125"/>
      <c r="AE53" s="125"/>
      <c r="AF53" s="125"/>
      <c r="AG53" s="131"/>
    </row>
    <row r="54" spans="1:33" ht="22.05" customHeight="1" x14ac:dyDescent="0.25">
      <c r="A54" s="204"/>
      <c r="B54" s="209"/>
      <c r="C54" s="237"/>
      <c r="D54" s="79" t="s">
        <v>106</v>
      </c>
      <c r="E54" s="86"/>
      <c r="F54" s="87"/>
      <c r="G54" s="121"/>
      <c r="H54" s="118" t="e">
        <f>H53/$G53</f>
        <v>#DIV/0!</v>
      </c>
      <c r="I54" s="118" t="e">
        <f t="shared" ref="I54:S54" si="47">I53/$G53</f>
        <v>#DIV/0!</v>
      </c>
      <c r="J54" s="118" t="e">
        <f t="shared" si="47"/>
        <v>#DIV/0!</v>
      </c>
      <c r="K54" s="118" t="e">
        <f t="shared" si="47"/>
        <v>#DIV/0!</v>
      </c>
      <c r="L54" s="118" t="e">
        <f t="shared" si="47"/>
        <v>#DIV/0!</v>
      </c>
      <c r="M54" s="118" t="e">
        <f t="shared" si="47"/>
        <v>#DIV/0!</v>
      </c>
      <c r="N54" s="118" t="e">
        <f t="shared" si="47"/>
        <v>#DIV/0!</v>
      </c>
      <c r="O54" s="118" t="e">
        <f t="shared" si="47"/>
        <v>#DIV/0!</v>
      </c>
      <c r="P54" s="118" t="e">
        <f t="shared" si="47"/>
        <v>#DIV/0!</v>
      </c>
      <c r="Q54" s="118" t="e">
        <f t="shared" si="47"/>
        <v>#DIV/0!</v>
      </c>
      <c r="R54" s="118" t="e">
        <f t="shared" si="47"/>
        <v>#DIV/0!</v>
      </c>
      <c r="S54" s="118" t="e">
        <f t="shared" si="47"/>
        <v>#DIV/0!</v>
      </c>
      <c r="T54" s="125"/>
      <c r="U54" s="125"/>
      <c r="V54" s="125"/>
      <c r="W54" s="125"/>
      <c r="X54" s="125"/>
      <c r="Y54" s="125"/>
      <c r="Z54" s="125"/>
      <c r="AA54" s="125"/>
      <c r="AB54" s="125"/>
      <c r="AC54" s="125"/>
      <c r="AD54" s="125"/>
      <c r="AE54" s="125"/>
      <c r="AF54" s="125"/>
      <c r="AG54" s="131"/>
    </row>
    <row r="55" spans="1:33" ht="22.05" customHeight="1" x14ac:dyDescent="0.25">
      <c r="A55" s="204"/>
      <c r="B55" s="209"/>
      <c r="C55" s="235" t="s">
        <v>134</v>
      </c>
      <c r="D55" s="79" t="s">
        <v>103</v>
      </c>
      <c r="E55" s="86"/>
      <c r="F55" s="87">
        <v>0.09</v>
      </c>
      <c r="G55" s="119">
        <f t="shared" si="45"/>
        <v>0</v>
      </c>
      <c r="H55" s="122"/>
      <c r="I55" s="122"/>
      <c r="J55" s="122"/>
      <c r="K55" s="122"/>
      <c r="L55" s="122"/>
      <c r="M55" s="122"/>
      <c r="N55" s="122"/>
      <c r="O55" s="122"/>
      <c r="P55" s="122"/>
      <c r="Q55" s="122"/>
      <c r="R55" s="122"/>
      <c r="S55" s="122"/>
      <c r="T55" s="125">
        <f>SUM(U55:AF55)</f>
        <v>0</v>
      </c>
      <c r="U55" s="125">
        <f t="shared" ref="U55:AF55" si="48">H55/(1+$F$55)</f>
        <v>0</v>
      </c>
      <c r="V55" s="125">
        <f t="shared" si="48"/>
        <v>0</v>
      </c>
      <c r="W55" s="125">
        <f t="shared" si="48"/>
        <v>0</v>
      </c>
      <c r="X55" s="125">
        <f t="shared" si="48"/>
        <v>0</v>
      </c>
      <c r="Y55" s="125">
        <f t="shared" si="48"/>
        <v>0</v>
      </c>
      <c r="Z55" s="125">
        <f t="shared" si="48"/>
        <v>0</v>
      </c>
      <c r="AA55" s="125">
        <f t="shared" si="48"/>
        <v>0</v>
      </c>
      <c r="AB55" s="125">
        <f t="shared" si="48"/>
        <v>0</v>
      </c>
      <c r="AC55" s="125">
        <f t="shared" si="48"/>
        <v>0</v>
      </c>
      <c r="AD55" s="125">
        <f t="shared" si="48"/>
        <v>0</v>
      </c>
      <c r="AE55" s="125">
        <f t="shared" si="48"/>
        <v>0</v>
      </c>
      <c r="AF55" s="125">
        <f t="shared" si="48"/>
        <v>0</v>
      </c>
      <c r="AG55" s="131"/>
    </row>
    <row r="56" spans="1:33" ht="22.05" customHeight="1" x14ac:dyDescent="0.25">
      <c r="A56" s="204"/>
      <c r="B56" s="209"/>
      <c r="C56" s="236"/>
      <c r="D56" s="79" t="s">
        <v>105</v>
      </c>
      <c r="E56" s="86"/>
      <c r="F56" s="87"/>
      <c r="G56" s="119">
        <f t="shared" si="45"/>
        <v>0</v>
      </c>
      <c r="H56" s="122"/>
      <c r="I56" s="122"/>
      <c r="J56" s="122"/>
      <c r="K56" s="122"/>
      <c r="L56" s="122"/>
      <c r="M56" s="122"/>
      <c r="N56" s="122"/>
      <c r="O56" s="122"/>
      <c r="P56" s="122"/>
      <c r="Q56" s="122"/>
      <c r="R56" s="122"/>
      <c r="S56" s="122"/>
      <c r="T56" s="125"/>
      <c r="U56" s="125"/>
      <c r="V56" s="125"/>
      <c r="W56" s="125"/>
      <c r="X56" s="125"/>
      <c r="Y56" s="125"/>
      <c r="Z56" s="125"/>
      <c r="AA56" s="125"/>
      <c r="AB56" s="125"/>
      <c r="AC56" s="125"/>
      <c r="AD56" s="125"/>
      <c r="AE56" s="125"/>
      <c r="AF56" s="125"/>
      <c r="AG56" s="131"/>
    </row>
    <row r="57" spans="1:33" ht="22.05" customHeight="1" x14ac:dyDescent="0.25">
      <c r="A57" s="204"/>
      <c r="B57" s="209"/>
      <c r="C57" s="237"/>
      <c r="D57" s="79" t="s">
        <v>106</v>
      </c>
      <c r="E57" s="86"/>
      <c r="F57" s="87"/>
      <c r="G57" s="121"/>
      <c r="H57" s="118" t="e">
        <f>H56/$G56</f>
        <v>#DIV/0!</v>
      </c>
      <c r="I57" s="118" t="e">
        <f t="shared" ref="I57:S57" si="49">I56/$G56</f>
        <v>#DIV/0!</v>
      </c>
      <c r="J57" s="118" t="e">
        <f t="shared" si="49"/>
        <v>#DIV/0!</v>
      </c>
      <c r="K57" s="118" t="e">
        <f t="shared" si="49"/>
        <v>#DIV/0!</v>
      </c>
      <c r="L57" s="118" t="e">
        <f t="shared" si="49"/>
        <v>#DIV/0!</v>
      </c>
      <c r="M57" s="118" t="e">
        <f t="shared" si="49"/>
        <v>#DIV/0!</v>
      </c>
      <c r="N57" s="118" t="e">
        <f t="shared" si="49"/>
        <v>#DIV/0!</v>
      </c>
      <c r="O57" s="118" t="e">
        <f t="shared" si="49"/>
        <v>#DIV/0!</v>
      </c>
      <c r="P57" s="118" t="e">
        <f t="shared" si="49"/>
        <v>#DIV/0!</v>
      </c>
      <c r="Q57" s="118" t="e">
        <f t="shared" si="49"/>
        <v>#DIV/0!</v>
      </c>
      <c r="R57" s="118" t="e">
        <f t="shared" si="49"/>
        <v>#DIV/0!</v>
      </c>
      <c r="S57" s="118" t="e">
        <f t="shared" si="49"/>
        <v>#DIV/0!</v>
      </c>
      <c r="T57" s="125"/>
      <c r="U57" s="125"/>
      <c r="V57" s="125"/>
      <c r="W57" s="125"/>
      <c r="X57" s="125"/>
      <c r="Y57" s="125"/>
      <c r="Z57" s="125"/>
      <c r="AA57" s="125"/>
      <c r="AB57" s="125"/>
      <c r="AC57" s="125"/>
      <c r="AD57" s="125"/>
      <c r="AE57" s="125"/>
      <c r="AF57" s="125"/>
      <c r="AG57" s="131"/>
    </row>
    <row r="58" spans="1:33" ht="22.05" customHeight="1" x14ac:dyDescent="0.25">
      <c r="A58" s="204"/>
      <c r="B58" s="209"/>
      <c r="C58" s="105" t="s">
        <v>125</v>
      </c>
      <c r="D58" s="86"/>
      <c r="E58" s="86"/>
      <c r="F58" s="87"/>
      <c r="G58" s="119"/>
      <c r="H58" s="122"/>
      <c r="I58" s="122"/>
      <c r="J58" s="122"/>
      <c r="K58" s="122"/>
      <c r="L58" s="122"/>
      <c r="M58" s="122"/>
      <c r="N58" s="122"/>
      <c r="O58" s="122"/>
      <c r="P58" s="122"/>
      <c r="Q58" s="122"/>
      <c r="R58" s="122"/>
      <c r="S58" s="122"/>
      <c r="T58" s="125"/>
      <c r="U58" s="125"/>
      <c r="V58" s="125"/>
      <c r="W58" s="125"/>
      <c r="X58" s="125"/>
      <c r="Y58" s="125"/>
      <c r="Z58" s="125"/>
      <c r="AA58" s="125"/>
      <c r="AB58" s="125"/>
      <c r="AC58" s="125"/>
      <c r="AD58" s="125"/>
      <c r="AE58" s="125"/>
      <c r="AF58" s="125"/>
      <c r="AG58" s="131"/>
    </row>
    <row r="59" spans="1:33" ht="22.05" customHeight="1" x14ac:dyDescent="0.25">
      <c r="A59" s="204"/>
      <c r="B59" s="209"/>
      <c r="C59" s="105"/>
      <c r="D59" s="86"/>
      <c r="E59" s="86"/>
      <c r="F59" s="87"/>
      <c r="G59" s="119"/>
      <c r="H59" s="122"/>
      <c r="I59" s="122"/>
      <c r="J59" s="122"/>
      <c r="K59" s="122"/>
      <c r="L59" s="122"/>
      <c r="M59" s="122"/>
      <c r="N59" s="122"/>
      <c r="O59" s="122"/>
      <c r="P59" s="122"/>
      <c r="Q59" s="122"/>
      <c r="R59" s="122"/>
      <c r="S59" s="122"/>
      <c r="T59" s="125"/>
      <c r="U59" s="125"/>
      <c r="V59" s="125"/>
      <c r="W59" s="125"/>
      <c r="X59" s="125"/>
      <c r="Y59" s="125"/>
      <c r="Z59" s="125"/>
      <c r="AA59" s="125"/>
      <c r="AB59" s="125"/>
      <c r="AC59" s="125"/>
      <c r="AD59" s="125"/>
      <c r="AE59" s="125"/>
      <c r="AF59" s="125"/>
      <c r="AG59" s="131"/>
    </row>
    <row r="60" spans="1:33" ht="22.05" customHeight="1" x14ac:dyDescent="0.25">
      <c r="A60" s="204"/>
      <c r="B60" s="209"/>
      <c r="C60" s="105"/>
      <c r="D60" s="86"/>
      <c r="E60" s="86"/>
      <c r="F60" s="87"/>
      <c r="G60" s="119"/>
      <c r="H60" s="122"/>
      <c r="I60" s="122"/>
      <c r="J60" s="122"/>
      <c r="K60" s="122"/>
      <c r="L60" s="122"/>
      <c r="M60" s="122"/>
      <c r="N60" s="122"/>
      <c r="O60" s="122"/>
      <c r="P60" s="122"/>
      <c r="Q60" s="122"/>
      <c r="R60" s="122"/>
      <c r="S60" s="122"/>
      <c r="T60" s="125"/>
      <c r="U60" s="125"/>
      <c r="V60" s="125"/>
      <c r="W60" s="125"/>
      <c r="X60" s="125"/>
      <c r="Y60" s="125"/>
      <c r="Z60" s="125"/>
      <c r="AA60" s="125"/>
      <c r="AB60" s="125"/>
      <c r="AC60" s="125"/>
      <c r="AD60" s="125"/>
      <c r="AE60" s="125"/>
      <c r="AF60" s="125"/>
      <c r="AG60" s="131"/>
    </row>
    <row r="61" spans="1:33" ht="22.05" customHeight="1" x14ac:dyDescent="0.25">
      <c r="A61" s="204"/>
      <c r="B61" s="209"/>
      <c r="C61" s="235" t="s">
        <v>135</v>
      </c>
      <c r="D61" s="79" t="s">
        <v>103</v>
      </c>
      <c r="E61" s="86"/>
      <c r="F61" s="87"/>
      <c r="G61" s="125">
        <f>SUM(G64+G67+G70+G73+G76+G79+G82+G85+G88+G91)</f>
        <v>0</v>
      </c>
      <c r="H61" s="125">
        <f t="shared" ref="H61:R61" si="50">SUM(H64+H67+H70+H73+H76+H79+H82+H85+H88+H91)</f>
        <v>0</v>
      </c>
      <c r="I61" s="125">
        <f t="shared" si="50"/>
        <v>0</v>
      </c>
      <c r="J61" s="125">
        <f t="shared" si="50"/>
        <v>0</v>
      </c>
      <c r="K61" s="125">
        <f t="shared" si="50"/>
        <v>0</v>
      </c>
      <c r="L61" s="125">
        <f t="shared" si="50"/>
        <v>0</v>
      </c>
      <c r="M61" s="125">
        <f t="shared" si="50"/>
        <v>0</v>
      </c>
      <c r="N61" s="125">
        <f t="shared" si="50"/>
        <v>0</v>
      </c>
      <c r="O61" s="125">
        <f t="shared" si="50"/>
        <v>0</v>
      </c>
      <c r="P61" s="125">
        <f t="shared" si="50"/>
        <v>0</v>
      </c>
      <c r="Q61" s="125">
        <f t="shared" si="50"/>
        <v>0</v>
      </c>
      <c r="R61" s="125">
        <f t="shared" si="50"/>
        <v>0</v>
      </c>
      <c r="S61" s="125">
        <f t="shared" ref="S61:AF61" si="51">SUM(S64+S67+S70+S73+S76+S79+S82+S85+S88+S91)</f>
        <v>0</v>
      </c>
      <c r="T61" s="125">
        <f t="shared" si="51"/>
        <v>0</v>
      </c>
      <c r="U61" s="125">
        <f t="shared" si="51"/>
        <v>0</v>
      </c>
      <c r="V61" s="125">
        <f t="shared" si="51"/>
        <v>0</v>
      </c>
      <c r="W61" s="125">
        <f t="shared" si="51"/>
        <v>0</v>
      </c>
      <c r="X61" s="125">
        <f t="shared" si="51"/>
        <v>0</v>
      </c>
      <c r="Y61" s="125">
        <f t="shared" si="51"/>
        <v>0</v>
      </c>
      <c r="Z61" s="125">
        <f t="shared" si="51"/>
        <v>0</v>
      </c>
      <c r="AA61" s="125">
        <f t="shared" si="51"/>
        <v>0</v>
      </c>
      <c r="AB61" s="125">
        <f t="shared" si="51"/>
        <v>0</v>
      </c>
      <c r="AC61" s="125">
        <f t="shared" si="51"/>
        <v>0</v>
      </c>
      <c r="AD61" s="125">
        <f t="shared" si="51"/>
        <v>0</v>
      </c>
      <c r="AE61" s="125">
        <f t="shared" si="51"/>
        <v>0</v>
      </c>
      <c r="AF61" s="125">
        <f t="shared" si="51"/>
        <v>0</v>
      </c>
      <c r="AG61" s="260" t="s">
        <v>136</v>
      </c>
    </row>
    <row r="62" spans="1:33" ht="22.05" customHeight="1" x14ac:dyDescent="0.25">
      <c r="A62" s="204"/>
      <c r="B62" s="209"/>
      <c r="C62" s="236"/>
      <c r="D62" s="79" t="s">
        <v>105</v>
      </c>
      <c r="E62" s="86"/>
      <c r="F62" s="87"/>
      <c r="G62" s="125">
        <f>SUM(G65+G68+G71+G74+G77+G80+G83+G86+G89+G92)</f>
        <v>0</v>
      </c>
      <c r="H62" s="125">
        <f>SUM(H65+H68+H71+H74+H77+H80+H83+H86+H89+H92)</f>
        <v>0</v>
      </c>
      <c r="I62" s="125">
        <f t="shared" ref="I62:S62" si="52">SUM(I65+I68+I71+I74+I77+I80+I83+I86+I89+I92)</f>
        <v>0</v>
      </c>
      <c r="J62" s="125">
        <f t="shared" si="52"/>
        <v>0</v>
      </c>
      <c r="K62" s="125">
        <f t="shared" si="52"/>
        <v>0</v>
      </c>
      <c r="L62" s="125">
        <f t="shared" si="52"/>
        <v>0</v>
      </c>
      <c r="M62" s="125">
        <f t="shared" si="52"/>
        <v>0</v>
      </c>
      <c r="N62" s="125">
        <f t="shared" si="52"/>
        <v>0</v>
      </c>
      <c r="O62" s="125">
        <f t="shared" si="52"/>
        <v>0</v>
      </c>
      <c r="P62" s="125">
        <f t="shared" si="52"/>
        <v>0</v>
      </c>
      <c r="Q62" s="125">
        <f t="shared" si="52"/>
        <v>0</v>
      </c>
      <c r="R62" s="125">
        <f t="shared" si="52"/>
        <v>0</v>
      </c>
      <c r="S62" s="125">
        <f t="shared" si="52"/>
        <v>0</v>
      </c>
      <c r="T62" s="125">
        <f t="shared" ref="T62:AF62" si="53">SUM(T65+T68+T71+T74+T77+T80+T83+T86+T89+T92)</f>
        <v>0</v>
      </c>
      <c r="U62" s="125">
        <f t="shared" si="53"/>
        <v>0</v>
      </c>
      <c r="V62" s="125">
        <f t="shared" si="53"/>
        <v>0</v>
      </c>
      <c r="W62" s="125">
        <f t="shared" si="53"/>
        <v>0</v>
      </c>
      <c r="X62" s="125">
        <f t="shared" si="53"/>
        <v>0</v>
      </c>
      <c r="Y62" s="125">
        <f t="shared" si="53"/>
        <v>0</v>
      </c>
      <c r="Z62" s="125">
        <f t="shared" si="53"/>
        <v>0</v>
      </c>
      <c r="AA62" s="125">
        <f t="shared" si="53"/>
        <v>0</v>
      </c>
      <c r="AB62" s="125">
        <f t="shared" si="53"/>
        <v>0</v>
      </c>
      <c r="AC62" s="125">
        <f t="shared" si="53"/>
        <v>0</v>
      </c>
      <c r="AD62" s="125">
        <f t="shared" si="53"/>
        <v>0</v>
      </c>
      <c r="AE62" s="125">
        <f t="shared" si="53"/>
        <v>0</v>
      </c>
      <c r="AF62" s="125">
        <f t="shared" si="53"/>
        <v>0</v>
      </c>
      <c r="AG62" s="261"/>
    </row>
    <row r="63" spans="1:33" ht="22.05" customHeight="1" x14ac:dyDescent="0.25">
      <c r="A63" s="204"/>
      <c r="B63" s="209"/>
      <c r="C63" s="237"/>
      <c r="D63" s="79" t="s">
        <v>106</v>
      </c>
      <c r="E63" s="86"/>
      <c r="F63" s="87"/>
      <c r="G63" s="124"/>
      <c r="H63" s="118" t="e">
        <f>H62/$G62</f>
        <v>#DIV/0!</v>
      </c>
      <c r="I63" s="118" t="e">
        <f t="shared" ref="I63:S63" si="54">I62/$G62</f>
        <v>#DIV/0!</v>
      </c>
      <c r="J63" s="118" t="e">
        <f t="shared" si="54"/>
        <v>#DIV/0!</v>
      </c>
      <c r="K63" s="118" t="e">
        <f t="shared" si="54"/>
        <v>#DIV/0!</v>
      </c>
      <c r="L63" s="118" t="e">
        <f t="shared" si="54"/>
        <v>#DIV/0!</v>
      </c>
      <c r="M63" s="118" t="e">
        <f t="shared" si="54"/>
        <v>#DIV/0!</v>
      </c>
      <c r="N63" s="118" t="e">
        <f t="shared" si="54"/>
        <v>#DIV/0!</v>
      </c>
      <c r="O63" s="118" t="e">
        <f t="shared" si="54"/>
        <v>#DIV/0!</v>
      </c>
      <c r="P63" s="118" t="e">
        <f t="shared" si="54"/>
        <v>#DIV/0!</v>
      </c>
      <c r="Q63" s="118" t="e">
        <f t="shared" si="54"/>
        <v>#DIV/0!</v>
      </c>
      <c r="R63" s="118" t="e">
        <f t="shared" si="54"/>
        <v>#DIV/0!</v>
      </c>
      <c r="S63" s="118" t="e">
        <f t="shared" si="54"/>
        <v>#DIV/0!</v>
      </c>
      <c r="T63" s="125"/>
      <c r="U63" s="125"/>
      <c r="V63" s="125"/>
      <c r="W63" s="125"/>
      <c r="X63" s="125"/>
      <c r="Y63" s="125"/>
      <c r="Z63" s="125"/>
      <c r="AA63" s="125"/>
      <c r="AB63" s="125"/>
      <c r="AC63" s="125"/>
      <c r="AD63" s="125"/>
      <c r="AE63" s="125"/>
      <c r="AF63" s="125"/>
      <c r="AG63" s="262"/>
    </row>
    <row r="64" spans="1:33" ht="22.05" customHeight="1" x14ac:dyDescent="0.25">
      <c r="A64" s="204"/>
      <c r="B64" s="209"/>
      <c r="C64" s="229" t="s">
        <v>137</v>
      </c>
      <c r="D64" s="79" t="s">
        <v>103</v>
      </c>
      <c r="E64" s="86"/>
      <c r="F64" s="87">
        <v>0.06</v>
      </c>
      <c r="G64" s="119">
        <f t="shared" ref="G64:G67" si="55">SUM(H64:S64)</f>
        <v>0</v>
      </c>
      <c r="H64" s="122"/>
      <c r="I64" s="122"/>
      <c r="J64" s="122"/>
      <c r="K64" s="122"/>
      <c r="L64" s="122"/>
      <c r="M64" s="122"/>
      <c r="N64" s="122"/>
      <c r="O64" s="122"/>
      <c r="P64" s="122"/>
      <c r="Q64" s="122"/>
      <c r="R64" s="122"/>
      <c r="S64" s="122"/>
      <c r="T64" s="125">
        <f>SUM(U64:AF64)</f>
        <v>0</v>
      </c>
      <c r="U64" s="125">
        <f t="shared" ref="U64:AF64" si="56">H64/(1+$F$64)</f>
        <v>0</v>
      </c>
      <c r="V64" s="125">
        <f t="shared" si="56"/>
        <v>0</v>
      </c>
      <c r="W64" s="125">
        <f t="shared" si="56"/>
        <v>0</v>
      </c>
      <c r="X64" s="125">
        <f t="shared" si="56"/>
        <v>0</v>
      </c>
      <c r="Y64" s="125">
        <f t="shared" si="56"/>
        <v>0</v>
      </c>
      <c r="Z64" s="125">
        <f t="shared" si="56"/>
        <v>0</v>
      </c>
      <c r="AA64" s="125">
        <f t="shared" si="56"/>
        <v>0</v>
      </c>
      <c r="AB64" s="125">
        <f t="shared" si="56"/>
        <v>0</v>
      </c>
      <c r="AC64" s="125">
        <f t="shared" si="56"/>
        <v>0</v>
      </c>
      <c r="AD64" s="125">
        <f t="shared" si="56"/>
        <v>0</v>
      </c>
      <c r="AE64" s="125">
        <f t="shared" si="56"/>
        <v>0</v>
      </c>
      <c r="AF64" s="125">
        <f t="shared" si="56"/>
        <v>0</v>
      </c>
      <c r="AG64" s="92"/>
    </row>
    <row r="65" spans="1:33" ht="22.05" customHeight="1" x14ac:dyDescent="0.25">
      <c r="A65" s="204"/>
      <c r="B65" s="209"/>
      <c r="C65" s="230"/>
      <c r="D65" s="79" t="s">
        <v>105</v>
      </c>
      <c r="E65" s="86"/>
      <c r="F65" s="87"/>
      <c r="G65" s="119">
        <f t="shared" si="55"/>
        <v>0</v>
      </c>
      <c r="H65" s="122"/>
      <c r="I65" s="122"/>
      <c r="J65" s="122"/>
      <c r="K65" s="122"/>
      <c r="L65" s="122"/>
      <c r="M65" s="122"/>
      <c r="N65" s="122"/>
      <c r="O65" s="122"/>
      <c r="P65" s="122"/>
      <c r="Q65" s="122"/>
      <c r="R65" s="122"/>
      <c r="S65" s="122"/>
      <c r="T65" s="125"/>
      <c r="U65" s="125"/>
      <c r="V65" s="125"/>
      <c r="W65" s="125"/>
      <c r="X65" s="125"/>
      <c r="Y65" s="125"/>
      <c r="Z65" s="125"/>
      <c r="AA65" s="125"/>
      <c r="AB65" s="125"/>
      <c r="AC65" s="125"/>
      <c r="AD65" s="125"/>
      <c r="AE65" s="125"/>
      <c r="AF65" s="125"/>
      <c r="AG65" s="92"/>
    </row>
    <row r="66" spans="1:33" ht="22.05" customHeight="1" x14ac:dyDescent="0.25">
      <c r="A66" s="204"/>
      <c r="B66" s="209"/>
      <c r="C66" s="231"/>
      <c r="D66" s="79" t="s">
        <v>106</v>
      </c>
      <c r="E66" s="86"/>
      <c r="F66" s="87"/>
      <c r="G66" s="121"/>
      <c r="H66" s="118" t="e">
        <f>H65/$G65</f>
        <v>#DIV/0!</v>
      </c>
      <c r="I66" s="118" t="e">
        <f t="shared" ref="I66:S66" si="57">I65/$G65</f>
        <v>#DIV/0!</v>
      </c>
      <c r="J66" s="118" t="e">
        <f t="shared" si="57"/>
        <v>#DIV/0!</v>
      </c>
      <c r="K66" s="118" t="e">
        <f t="shared" si="57"/>
        <v>#DIV/0!</v>
      </c>
      <c r="L66" s="118" t="e">
        <f t="shared" si="57"/>
        <v>#DIV/0!</v>
      </c>
      <c r="M66" s="118" t="e">
        <f t="shared" si="57"/>
        <v>#DIV/0!</v>
      </c>
      <c r="N66" s="118" t="e">
        <f t="shared" si="57"/>
        <v>#DIV/0!</v>
      </c>
      <c r="O66" s="118" t="e">
        <f t="shared" si="57"/>
        <v>#DIV/0!</v>
      </c>
      <c r="P66" s="118" t="e">
        <f t="shared" si="57"/>
        <v>#DIV/0!</v>
      </c>
      <c r="Q66" s="118" t="e">
        <f t="shared" si="57"/>
        <v>#DIV/0!</v>
      </c>
      <c r="R66" s="118" t="e">
        <f t="shared" si="57"/>
        <v>#DIV/0!</v>
      </c>
      <c r="S66" s="118" t="e">
        <f t="shared" si="57"/>
        <v>#DIV/0!</v>
      </c>
      <c r="T66" s="125"/>
      <c r="U66" s="125"/>
      <c r="V66" s="125"/>
      <c r="W66" s="125"/>
      <c r="X66" s="125"/>
      <c r="Y66" s="125"/>
      <c r="Z66" s="125"/>
      <c r="AA66" s="125"/>
      <c r="AB66" s="125"/>
      <c r="AC66" s="125"/>
      <c r="AD66" s="125"/>
      <c r="AE66" s="125"/>
      <c r="AF66" s="125"/>
      <c r="AG66" s="92"/>
    </row>
    <row r="67" spans="1:33" ht="22.05" customHeight="1" x14ac:dyDescent="0.25">
      <c r="A67" s="204"/>
      <c r="B67" s="209"/>
      <c r="C67" s="229" t="s">
        <v>138</v>
      </c>
      <c r="D67" s="79" t="s">
        <v>103</v>
      </c>
      <c r="E67" s="86"/>
      <c r="F67" s="87">
        <v>0.06</v>
      </c>
      <c r="G67" s="119">
        <f t="shared" si="55"/>
        <v>0</v>
      </c>
      <c r="H67" s="122"/>
      <c r="I67" s="122"/>
      <c r="J67" s="122"/>
      <c r="K67" s="122"/>
      <c r="L67" s="122"/>
      <c r="M67" s="122"/>
      <c r="N67" s="122"/>
      <c r="O67" s="122"/>
      <c r="P67" s="122"/>
      <c r="Q67" s="122"/>
      <c r="R67" s="122"/>
      <c r="S67" s="122"/>
      <c r="T67" s="125">
        <f>SUM(U67:AF67)</f>
        <v>0</v>
      </c>
      <c r="U67" s="125">
        <f t="shared" ref="U67:AF67" si="58">H67/(1+$F$67)</f>
        <v>0</v>
      </c>
      <c r="V67" s="125">
        <f t="shared" si="58"/>
        <v>0</v>
      </c>
      <c r="W67" s="125">
        <f t="shared" si="58"/>
        <v>0</v>
      </c>
      <c r="X67" s="125">
        <f t="shared" si="58"/>
        <v>0</v>
      </c>
      <c r="Y67" s="125">
        <f t="shared" si="58"/>
        <v>0</v>
      </c>
      <c r="Z67" s="125">
        <f t="shared" si="58"/>
        <v>0</v>
      </c>
      <c r="AA67" s="125">
        <f t="shared" si="58"/>
        <v>0</v>
      </c>
      <c r="AB67" s="125">
        <f t="shared" si="58"/>
        <v>0</v>
      </c>
      <c r="AC67" s="125">
        <f t="shared" si="58"/>
        <v>0</v>
      </c>
      <c r="AD67" s="125">
        <f t="shared" si="58"/>
        <v>0</v>
      </c>
      <c r="AE67" s="125">
        <f t="shared" si="58"/>
        <v>0</v>
      </c>
      <c r="AF67" s="125">
        <f t="shared" si="58"/>
        <v>0</v>
      </c>
      <c r="AG67" s="92"/>
    </row>
    <row r="68" spans="1:33" ht="22.05" customHeight="1" x14ac:dyDescent="0.25">
      <c r="A68" s="204"/>
      <c r="B68" s="209"/>
      <c r="C68" s="230"/>
      <c r="D68" s="79" t="s">
        <v>105</v>
      </c>
      <c r="E68" s="86"/>
      <c r="F68" s="87"/>
      <c r="G68" s="119">
        <f t="shared" ref="G68:G70" si="59">SUM(H68:S68)</f>
        <v>0</v>
      </c>
      <c r="H68" s="122"/>
      <c r="I68" s="122"/>
      <c r="J68" s="122"/>
      <c r="K68" s="122"/>
      <c r="L68" s="122"/>
      <c r="M68" s="122"/>
      <c r="N68" s="122"/>
      <c r="O68" s="122"/>
      <c r="P68" s="122"/>
      <c r="Q68" s="122"/>
      <c r="R68" s="122"/>
      <c r="S68" s="122"/>
      <c r="T68" s="125"/>
      <c r="U68" s="125"/>
      <c r="V68" s="125"/>
      <c r="W68" s="125"/>
      <c r="X68" s="125"/>
      <c r="Y68" s="125"/>
      <c r="Z68" s="125"/>
      <c r="AA68" s="125"/>
      <c r="AB68" s="125"/>
      <c r="AC68" s="125"/>
      <c r="AD68" s="125"/>
      <c r="AE68" s="125"/>
      <c r="AF68" s="125"/>
      <c r="AG68" s="92"/>
    </row>
    <row r="69" spans="1:33" ht="22.05" customHeight="1" x14ac:dyDescent="0.25">
      <c r="A69" s="204"/>
      <c r="B69" s="209"/>
      <c r="C69" s="231"/>
      <c r="D69" s="79" t="s">
        <v>106</v>
      </c>
      <c r="E69" s="86"/>
      <c r="F69" s="87"/>
      <c r="G69" s="121"/>
      <c r="H69" s="118" t="e">
        <f>H68/$G68</f>
        <v>#DIV/0!</v>
      </c>
      <c r="I69" s="118" t="e">
        <f t="shared" ref="I69:S69" si="60">I68/$G68</f>
        <v>#DIV/0!</v>
      </c>
      <c r="J69" s="118" t="e">
        <f t="shared" si="60"/>
        <v>#DIV/0!</v>
      </c>
      <c r="K69" s="118" t="e">
        <f t="shared" si="60"/>
        <v>#DIV/0!</v>
      </c>
      <c r="L69" s="118" t="e">
        <f t="shared" si="60"/>
        <v>#DIV/0!</v>
      </c>
      <c r="M69" s="118" t="e">
        <f t="shared" si="60"/>
        <v>#DIV/0!</v>
      </c>
      <c r="N69" s="118" t="e">
        <f t="shared" si="60"/>
        <v>#DIV/0!</v>
      </c>
      <c r="O69" s="118" t="e">
        <f t="shared" si="60"/>
        <v>#DIV/0!</v>
      </c>
      <c r="P69" s="118" t="e">
        <f t="shared" si="60"/>
        <v>#DIV/0!</v>
      </c>
      <c r="Q69" s="118" t="e">
        <f t="shared" si="60"/>
        <v>#DIV/0!</v>
      </c>
      <c r="R69" s="118" t="e">
        <f t="shared" si="60"/>
        <v>#DIV/0!</v>
      </c>
      <c r="S69" s="118" t="e">
        <f t="shared" si="60"/>
        <v>#DIV/0!</v>
      </c>
      <c r="T69" s="125"/>
      <c r="U69" s="125"/>
      <c r="V69" s="125"/>
      <c r="W69" s="125"/>
      <c r="X69" s="125"/>
      <c r="Y69" s="125"/>
      <c r="Z69" s="125"/>
      <c r="AA69" s="125"/>
      <c r="AB69" s="125"/>
      <c r="AC69" s="125"/>
      <c r="AD69" s="125"/>
      <c r="AE69" s="125"/>
      <c r="AF69" s="125"/>
      <c r="AG69" s="92"/>
    </row>
    <row r="70" spans="1:33" ht="22.05" customHeight="1" x14ac:dyDescent="0.25">
      <c r="A70" s="204"/>
      <c r="B70" s="209"/>
      <c r="C70" s="241" t="s">
        <v>139</v>
      </c>
      <c r="D70" s="79" t="s">
        <v>103</v>
      </c>
      <c r="E70" s="86"/>
      <c r="F70" s="87">
        <v>0.06</v>
      </c>
      <c r="G70" s="119">
        <f t="shared" si="59"/>
        <v>0</v>
      </c>
      <c r="H70" s="122"/>
      <c r="I70" s="122"/>
      <c r="J70" s="122"/>
      <c r="K70" s="122"/>
      <c r="L70" s="122"/>
      <c r="M70" s="122"/>
      <c r="N70" s="122"/>
      <c r="O70" s="122"/>
      <c r="P70" s="122"/>
      <c r="Q70" s="122"/>
      <c r="R70" s="122"/>
      <c r="S70" s="122"/>
      <c r="T70" s="125">
        <f>SUM(U70:AF70)</f>
        <v>0</v>
      </c>
      <c r="U70" s="125">
        <f>H70/(1+$F$70)</f>
        <v>0</v>
      </c>
      <c r="V70" s="125">
        <f t="shared" ref="V70:AF70" si="61">I70/(1+$F$70)</f>
        <v>0</v>
      </c>
      <c r="W70" s="125">
        <f t="shared" si="61"/>
        <v>0</v>
      </c>
      <c r="X70" s="125">
        <f t="shared" si="61"/>
        <v>0</v>
      </c>
      <c r="Y70" s="125">
        <f t="shared" si="61"/>
        <v>0</v>
      </c>
      <c r="Z70" s="125">
        <f t="shared" si="61"/>
        <v>0</v>
      </c>
      <c r="AA70" s="125">
        <f t="shared" si="61"/>
        <v>0</v>
      </c>
      <c r="AB70" s="125">
        <f t="shared" si="61"/>
        <v>0</v>
      </c>
      <c r="AC70" s="125">
        <f t="shared" si="61"/>
        <v>0</v>
      </c>
      <c r="AD70" s="125">
        <f t="shared" si="61"/>
        <v>0</v>
      </c>
      <c r="AE70" s="125">
        <f t="shared" si="61"/>
        <v>0</v>
      </c>
      <c r="AF70" s="125">
        <f t="shared" si="61"/>
        <v>0</v>
      </c>
      <c r="AG70" s="92"/>
    </row>
    <row r="71" spans="1:33" ht="22.05" customHeight="1" x14ac:dyDescent="0.25">
      <c r="A71" s="204"/>
      <c r="B71" s="209"/>
      <c r="C71" s="242"/>
      <c r="D71" s="79" t="s">
        <v>105</v>
      </c>
      <c r="E71" s="105"/>
      <c r="F71" s="87"/>
      <c r="G71" s="119">
        <f t="shared" ref="G71:G74" si="62">SUM(H71:S71)</f>
        <v>0</v>
      </c>
      <c r="H71" s="122"/>
      <c r="I71" s="122"/>
      <c r="J71" s="122"/>
      <c r="K71" s="122"/>
      <c r="L71" s="122"/>
      <c r="M71" s="122"/>
      <c r="N71" s="122"/>
      <c r="O71" s="122"/>
      <c r="P71" s="122"/>
      <c r="Q71" s="122"/>
      <c r="R71" s="122"/>
      <c r="S71" s="122"/>
      <c r="T71" s="125"/>
      <c r="U71" s="125"/>
      <c r="V71" s="125"/>
      <c r="W71" s="125"/>
      <c r="X71" s="125"/>
      <c r="Y71" s="125"/>
      <c r="Z71" s="125"/>
      <c r="AA71" s="125"/>
      <c r="AB71" s="125"/>
      <c r="AC71" s="125"/>
      <c r="AD71" s="125"/>
      <c r="AE71" s="125"/>
      <c r="AF71" s="125"/>
      <c r="AG71" s="131"/>
    </row>
    <row r="72" spans="1:33" ht="22.05" customHeight="1" x14ac:dyDescent="0.25">
      <c r="A72" s="204"/>
      <c r="B72" s="209"/>
      <c r="C72" s="243"/>
      <c r="D72" s="79" t="s">
        <v>106</v>
      </c>
      <c r="E72" s="105"/>
      <c r="F72" s="87"/>
      <c r="G72" s="121"/>
      <c r="H72" s="118" t="e">
        <f>H71/$G71</f>
        <v>#DIV/0!</v>
      </c>
      <c r="I72" s="118" t="e">
        <f t="shared" ref="I72:S72" si="63">I71/$G71</f>
        <v>#DIV/0!</v>
      </c>
      <c r="J72" s="118" t="e">
        <f t="shared" si="63"/>
        <v>#DIV/0!</v>
      </c>
      <c r="K72" s="118" t="e">
        <f t="shared" si="63"/>
        <v>#DIV/0!</v>
      </c>
      <c r="L72" s="118" t="e">
        <f t="shared" si="63"/>
        <v>#DIV/0!</v>
      </c>
      <c r="M72" s="118" t="e">
        <f t="shared" si="63"/>
        <v>#DIV/0!</v>
      </c>
      <c r="N72" s="118" t="e">
        <f t="shared" si="63"/>
        <v>#DIV/0!</v>
      </c>
      <c r="O72" s="118" t="e">
        <f t="shared" si="63"/>
        <v>#DIV/0!</v>
      </c>
      <c r="P72" s="118" t="e">
        <f t="shared" si="63"/>
        <v>#DIV/0!</v>
      </c>
      <c r="Q72" s="118" t="e">
        <f t="shared" si="63"/>
        <v>#DIV/0!</v>
      </c>
      <c r="R72" s="118" t="e">
        <f t="shared" si="63"/>
        <v>#DIV/0!</v>
      </c>
      <c r="S72" s="118" t="e">
        <f t="shared" si="63"/>
        <v>#DIV/0!</v>
      </c>
      <c r="T72" s="125"/>
      <c r="U72" s="125"/>
      <c r="V72" s="125"/>
      <c r="W72" s="125"/>
      <c r="X72" s="125"/>
      <c r="Y72" s="125"/>
      <c r="Z72" s="125"/>
      <c r="AA72" s="125"/>
      <c r="AB72" s="125"/>
      <c r="AC72" s="125"/>
      <c r="AD72" s="125"/>
      <c r="AE72" s="125"/>
      <c r="AF72" s="125"/>
      <c r="AG72" s="131"/>
    </row>
    <row r="73" spans="1:33" ht="22.05" customHeight="1" x14ac:dyDescent="0.25">
      <c r="A73" s="204"/>
      <c r="B73" s="209"/>
      <c r="C73" s="241" t="s">
        <v>140</v>
      </c>
      <c r="D73" s="79" t="s">
        <v>103</v>
      </c>
      <c r="E73" s="105"/>
      <c r="F73" s="87">
        <v>0.06</v>
      </c>
      <c r="G73" s="119">
        <f t="shared" si="62"/>
        <v>0</v>
      </c>
      <c r="H73" s="122"/>
      <c r="I73" s="122"/>
      <c r="J73" s="122"/>
      <c r="K73" s="122"/>
      <c r="L73" s="122"/>
      <c r="M73" s="122"/>
      <c r="N73" s="122"/>
      <c r="O73" s="122"/>
      <c r="P73" s="122"/>
      <c r="Q73" s="122"/>
      <c r="R73" s="122"/>
      <c r="S73" s="122"/>
      <c r="T73" s="125">
        <f>SUM(U73:AF73)</f>
        <v>0</v>
      </c>
      <c r="U73" s="125">
        <f>H73/(1+$F$73)</f>
        <v>0</v>
      </c>
      <c r="V73" s="125">
        <f t="shared" ref="V73:AF73" si="64">I73/(1+$F$73)</f>
        <v>0</v>
      </c>
      <c r="W73" s="125">
        <f t="shared" si="64"/>
        <v>0</v>
      </c>
      <c r="X73" s="125">
        <f t="shared" si="64"/>
        <v>0</v>
      </c>
      <c r="Y73" s="125">
        <f t="shared" si="64"/>
        <v>0</v>
      </c>
      <c r="Z73" s="125">
        <f t="shared" si="64"/>
        <v>0</v>
      </c>
      <c r="AA73" s="125">
        <f t="shared" si="64"/>
        <v>0</v>
      </c>
      <c r="AB73" s="125">
        <f t="shared" si="64"/>
        <v>0</v>
      </c>
      <c r="AC73" s="125">
        <f t="shared" si="64"/>
        <v>0</v>
      </c>
      <c r="AD73" s="125">
        <f t="shared" si="64"/>
        <v>0</v>
      </c>
      <c r="AE73" s="125">
        <f t="shared" si="64"/>
        <v>0</v>
      </c>
      <c r="AF73" s="125">
        <f t="shared" si="64"/>
        <v>0</v>
      </c>
      <c r="AG73" s="131"/>
    </row>
    <row r="74" spans="1:33" ht="22.05" customHeight="1" x14ac:dyDescent="0.25">
      <c r="A74" s="204"/>
      <c r="B74" s="209"/>
      <c r="C74" s="242"/>
      <c r="D74" s="79" t="s">
        <v>105</v>
      </c>
      <c r="E74" s="105"/>
      <c r="F74" s="87"/>
      <c r="G74" s="119">
        <f t="shared" si="62"/>
        <v>0</v>
      </c>
      <c r="H74" s="122"/>
      <c r="I74" s="122"/>
      <c r="J74" s="122"/>
      <c r="K74" s="122"/>
      <c r="L74" s="122"/>
      <c r="M74" s="122"/>
      <c r="N74" s="122"/>
      <c r="O74" s="122"/>
      <c r="P74" s="122"/>
      <c r="Q74" s="122"/>
      <c r="R74" s="122"/>
      <c r="S74" s="122"/>
      <c r="T74" s="125"/>
      <c r="U74" s="125"/>
      <c r="V74" s="125"/>
      <c r="W74" s="125"/>
      <c r="X74" s="125"/>
      <c r="Y74" s="125"/>
      <c r="Z74" s="125"/>
      <c r="AA74" s="125"/>
      <c r="AB74" s="125"/>
      <c r="AC74" s="125"/>
      <c r="AD74" s="125"/>
      <c r="AE74" s="125"/>
      <c r="AF74" s="125"/>
      <c r="AG74" s="131"/>
    </row>
    <row r="75" spans="1:33" ht="22.05" customHeight="1" x14ac:dyDescent="0.25">
      <c r="A75" s="204"/>
      <c r="B75" s="209"/>
      <c r="C75" s="243"/>
      <c r="D75" s="79" t="s">
        <v>106</v>
      </c>
      <c r="E75" s="105"/>
      <c r="F75" s="87"/>
      <c r="G75" s="121"/>
      <c r="H75" s="118" t="e">
        <f>H74/$G74</f>
        <v>#DIV/0!</v>
      </c>
      <c r="I75" s="118" t="e">
        <f t="shared" ref="I75:S75" si="65">I74/$G74</f>
        <v>#DIV/0!</v>
      </c>
      <c r="J75" s="118" t="e">
        <f t="shared" si="65"/>
        <v>#DIV/0!</v>
      </c>
      <c r="K75" s="118" t="e">
        <f t="shared" si="65"/>
        <v>#DIV/0!</v>
      </c>
      <c r="L75" s="118" t="e">
        <f t="shared" si="65"/>
        <v>#DIV/0!</v>
      </c>
      <c r="M75" s="118" t="e">
        <f t="shared" si="65"/>
        <v>#DIV/0!</v>
      </c>
      <c r="N75" s="118" t="e">
        <f t="shared" si="65"/>
        <v>#DIV/0!</v>
      </c>
      <c r="O75" s="118" t="e">
        <f t="shared" si="65"/>
        <v>#DIV/0!</v>
      </c>
      <c r="P75" s="118" t="e">
        <f t="shared" si="65"/>
        <v>#DIV/0!</v>
      </c>
      <c r="Q75" s="118" t="e">
        <f t="shared" si="65"/>
        <v>#DIV/0!</v>
      </c>
      <c r="R75" s="118" t="e">
        <f t="shared" si="65"/>
        <v>#DIV/0!</v>
      </c>
      <c r="S75" s="118" t="e">
        <f t="shared" si="65"/>
        <v>#DIV/0!</v>
      </c>
      <c r="T75" s="125"/>
      <c r="U75" s="125"/>
      <c r="V75" s="125"/>
      <c r="W75" s="125"/>
      <c r="X75" s="125"/>
      <c r="Y75" s="125"/>
      <c r="Z75" s="125"/>
      <c r="AA75" s="125"/>
      <c r="AB75" s="125"/>
      <c r="AC75" s="125"/>
      <c r="AD75" s="125"/>
      <c r="AE75" s="125"/>
      <c r="AF75" s="125"/>
      <c r="AG75" s="131"/>
    </row>
    <row r="76" spans="1:33" ht="22.05" customHeight="1" x14ac:dyDescent="0.25">
      <c r="A76" s="204"/>
      <c r="B76" s="209"/>
      <c r="C76" s="241" t="s">
        <v>141</v>
      </c>
      <c r="D76" s="79" t="s">
        <v>103</v>
      </c>
      <c r="E76" s="105"/>
      <c r="F76" s="87">
        <v>0.06</v>
      </c>
      <c r="G76" s="119">
        <f t="shared" ref="G76:G80" si="66">SUM(H76:S76)</f>
        <v>0</v>
      </c>
      <c r="H76" s="122"/>
      <c r="I76" s="122"/>
      <c r="J76" s="122"/>
      <c r="K76" s="122"/>
      <c r="L76" s="122"/>
      <c r="M76" s="122"/>
      <c r="N76" s="122"/>
      <c r="O76" s="122"/>
      <c r="P76" s="122"/>
      <c r="Q76" s="122"/>
      <c r="R76" s="122"/>
      <c r="S76" s="122"/>
      <c r="T76" s="125">
        <f>SUM(U76:AF76)</f>
        <v>0</v>
      </c>
      <c r="U76" s="125">
        <f>H76/(1+$F$76)</f>
        <v>0</v>
      </c>
      <c r="V76" s="125">
        <f t="shared" ref="V76:AF76" si="67">I76/(1+$F$76)</f>
        <v>0</v>
      </c>
      <c r="W76" s="125">
        <f t="shared" si="67"/>
        <v>0</v>
      </c>
      <c r="X76" s="125">
        <f t="shared" si="67"/>
        <v>0</v>
      </c>
      <c r="Y76" s="125">
        <f t="shared" si="67"/>
        <v>0</v>
      </c>
      <c r="Z76" s="125">
        <f t="shared" si="67"/>
        <v>0</v>
      </c>
      <c r="AA76" s="125">
        <f t="shared" si="67"/>
        <v>0</v>
      </c>
      <c r="AB76" s="125">
        <f t="shared" si="67"/>
        <v>0</v>
      </c>
      <c r="AC76" s="125">
        <f t="shared" si="67"/>
        <v>0</v>
      </c>
      <c r="AD76" s="125">
        <f t="shared" si="67"/>
        <v>0</v>
      </c>
      <c r="AE76" s="125">
        <f t="shared" si="67"/>
        <v>0</v>
      </c>
      <c r="AF76" s="125">
        <f t="shared" si="67"/>
        <v>0</v>
      </c>
      <c r="AG76" s="131"/>
    </row>
    <row r="77" spans="1:33" ht="22.05" customHeight="1" x14ac:dyDescent="0.25">
      <c r="A77" s="204"/>
      <c r="B77" s="209"/>
      <c r="C77" s="242"/>
      <c r="D77" s="79" t="s">
        <v>105</v>
      </c>
      <c r="E77" s="105"/>
      <c r="F77" s="87"/>
      <c r="G77" s="119">
        <f t="shared" si="66"/>
        <v>0</v>
      </c>
      <c r="H77" s="122"/>
      <c r="I77" s="122"/>
      <c r="J77" s="122"/>
      <c r="K77" s="122"/>
      <c r="L77" s="122"/>
      <c r="M77" s="122"/>
      <c r="N77" s="122"/>
      <c r="O77" s="122"/>
      <c r="P77" s="122"/>
      <c r="Q77" s="122"/>
      <c r="R77" s="122"/>
      <c r="S77" s="122"/>
      <c r="T77" s="125"/>
      <c r="U77" s="125"/>
      <c r="V77" s="125"/>
      <c r="W77" s="125"/>
      <c r="X77" s="125"/>
      <c r="Y77" s="125"/>
      <c r="Z77" s="125"/>
      <c r="AA77" s="125"/>
      <c r="AB77" s="125"/>
      <c r="AC77" s="125"/>
      <c r="AD77" s="125"/>
      <c r="AE77" s="125"/>
      <c r="AF77" s="125"/>
      <c r="AG77" s="131"/>
    </row>
    <row r="78" spans="1:33" ht="22.05" customHeight="1" x14ac:dyDescent="0.25">
      <c r="A78" s="204"/>
      <c r="B78" s="209"/>
      <c r="C78" s="243"/>
      <c r="D78" s="79" t="s">
        <v>106</v>
      </c>
      <c r="E78" s="105"/>
      <c r="F78" s="87"/>
      <c r="G78" s="121"/>
      <c r="H78" s="118" t="e">
        <f>H77/$G77</f>
        <v>#DIV/0!</v>
      </c>
      <c r="I78" s="118" t="e">
        <f t="shared" ref="I78:S78" si="68">I77/$G77</f>
        <v>#DIV/0!</v>
      </c>
      <c r="J78" s="118" t="e">
        <f t="shared" si="68"/>
        <v>#DIV/0!</v>
      </c>
      <c r="K78" s="118" t="e">
        <f t="shared" si="68"/>
        <v>#DIV/0!</v>
      </c>
      <c r="L78" s="118" t="e">
        <f t="shared" si="68"/>
        <v>#DIV/0!</v>
      </c>
      <c r="M78" s="118" t="e">
        <f t="shared" si="68"/>
        <v>#DIV/0!</v>
      </c>
      <c r="N78" s="118" t="e">
        <f t="shared" si="68"/>
        <v>#DIV/0!</v>
      </c>
      <c r="O78" s="118" t="e">
        <f t="shared" si="68"/>
        <v>#DIV/0!</v>
      </c>
      <c r="P78" s="118" t="e">
        <f t="shared" si="68"/>
        <v>#DIV/0!</v>
      </c>
      <c r="Q78" s="118" t="e">
        <f t="shared" si="68"/>
        <v>#DIV/0!</v>
      </c>
      <c r="R78" s="118" t="e">
        <f t="shared" si="68"/>
        <v>#DIV/0!</v>
      </c>
      <c r="S78" s="118" t="e">
        <f t="shared" si="68"/>
        <v>#DIV/0!</v>
      </c>
      <c r="T78" s="125"/>
      <c r="U78" s="125"/>
      <c r="V78" s="125"/>
      <c r="W78" s="125"/>
      <c r="X78" s="125"/>
      <c r="Y78" s="125"/>
      <c r="Z78" s="125"/>
      <c r="AA78" s="125"/>
      <c r="AB78" s="125"/>
      <c r="AC78" s="125"/>
      <c r="AD78" s="125"/>
      <c r="AE78" s="125"/>
      <c r="AF78" s="125"/>
      <c r="AG78" s="131"/>
    </row>
    <row r="79" spans="1:33" ht="22.05" customHeight="1" x14ac:dyDescent="0.25">
      <c r="A79" s="204"/>
      <c r="B79" s="209"/>
      <c r="C79" s="241" t="s">
        <v>142</v>
      </c>
      <c r="D79" s="79" t="s">
        <v>103</v>
      </c>
      <c r="E79" s="105"/>
      <c r="F79" s="87">
        <v>0.06</v>
      </c>
      <c r="G79" s="119">
        <f t="shared" si="66"/>
        <v>0</v>
      </c>
      <c r="H79" s="122"/>
      <c r="I79" s="122"/>
      <c r="J79" s="122"/>
      <c r="K79" s="122"/>
      <c r="L79" s="122"/>
      <c r="M79" s="122"/>
      <c r="N79" s="122"/>
      <c r="O79" s="122"/>
      <c r="P79" s="122"/>
      <c r="Q79" s="122"/>
      <c r="R79" s="122"/>
      <c r="S79" s="122"/>
      <c r="T79" s="125">
        <f>SUM(U79:AF79)</f>
        <v>0</v>
      </c>
      <c r="U79" s="125">
        <f>H79/(1+$F$79)</f>
        <v>0</v>
      </c>
      <c r="V79" s="125">
        <f t="shared" ref="V79:AF79" si="69">I79/(1+$F$79)</f>
        <v>0</v>
      </c>
      <c r="W79" s="125">
        <f t="shared" si="69"/>
        <v>0</v>
      </c>
      <c r="X79" s="125">
        <f t="shared" si="69"/>
        <v>0</v>
      </c>
      <c r="Y79" s="125">
        <f t="shared" si="69"/>
        <v>0</v>
      </c>
      <c r="Z79" s="125">
        <f t="shared" si="69"/>
        <v>0</v>
      </c>
      <c r="AA79" s="125">
        <f t="shared" si="69"/>
        <v>0</v>
      </c>
      <c r="AB79" s="125">
        <f t="shared" si="69"/>
        <v>0</v>
      </c>
      <c r="AC79" s="125">
        <f t="shared" si="69"/>
        <v>0</v>
      </c>
      <c r="AD79" s="125">
        <f t="shared" si="69"/>
        <v>0</v>
      </c>
      <c r="AE79" s="125">
        <f t="shared" si="69"/>
        <v>0</v>
      </c>
      <c r="AF79" s="125">
        <f t="shared" si="69"/>
        <v>0</v>
      </c>
      <c r="AG79" s="131"/>
    </row>
    <row r="80" spans="1:33" ht="22.05" customHeight="1" x14ac:dyDescent="0.25">
      <c r="A80" s="204"/>
      <c r="B80" s="209"/>
      <c r="C80" s="242"/>
      <c r="D80" s="79" t="s">
        <v>105</v>
      </c>
      <c r="E80" s="105"/>
      <c r="F80" s="87"/>
      <c r="G80" s="119">
        <f t="shared" si="66"/>
        <v>0</v>
      </c>
      <c r="H80" s="122"/>
      <c r="I80" s="122"/>
      <c r="J80" s="122"/>
      <c r="K80" s="122"/>
      <c r="L80" s="122"/>
      <c r="M80" s="122"/>
      <c r="N80" s="122"/>
      <c r="O80" s="122"/>
      <c r="P80" s="122"/>
      <c r="Q80" s="122"/>
      <c r="R80" s="122"/>
      <c r="S80" s="122"/>
      <c r="T80" s="125"/>
      <c r="U80" s="125"/>
      <c r="V80" s="125"/>
      <c r="W80" s="125"/>
      <c r="X80" s="125"/>
      <c r="Y80" s="125"/>
      <c r="Z80" s="125"/>
      <c r="AA80" s="125"/>
      <c r="AB80" s="125"/>
      <c r="AC80" s="125"/>
      <c r="AD80" s="125"/>
      <c r="AE80" s="125"/>
      <c r="AF80" s="125"/>
      <c r="AG80" s="131"/>
    </row>
    <row r="81" spans="1:33" ht="22.05" customHeight="1" x14ac:dyDescent="0.25">
      <c r="A81" s="204"/>
      <c r="B81" s="209"/>
      <c r="C81" s="243"/>
      <c r="D81" s="79" t="s">
        <v>106</v>
      </c>
      <c r="E81" s="105"/>
      <c r="F81" s="87"/>
      <c r="G81" s="121"/>
      <c r="H81" s="118" t="e">
        <f>H80/$G80</f>
        <v>#DIV/0!</v>
      </c>
      <c r="I81" s="118" t="e">
        <f t="shared" ref="I81:S81" si="70">I80/$G80</f>
        <v>#DIV/0!</v>
      </c>
      <c r="J81" s="118" t="e">
        <f t="shared" si="70"/>
        <v>#DIV/0!</v>
      </c>
      <c r="K81" s="118" t="e">
        <f t="shared" si="70"/>
        <v>#DIV/0!</v>
      </c>
      <c r="L81" s="118" t="e">
        <f t="shared" si="70"/>
        <v>#DIV/0!</v>
      </c>
      <c r="M81" s="118" t="e">
        <f t="shared" si="70"/>
        <v>#DIV/0!</v>
      </c>
      <c r="N81" s="118" t="e">
        <f t="shared" si="70"/>
        <v>#DIV/0!</v>
      </c>
      <c r="O81" s="118" t="e">
        <f t="shared" si="70"/>
        <v>#DIV/0!</v>
      </c>
      <c r="P81" s="118" t="e">
        <f t="shared" si="70"/>
        <v>#DIV/0!</v>
      </c>
      <c r="Q81" s="118" t="e">
        <f t="shared" si="70"/>
        <v>#DIV/0!</v>
      </c>
      <c r="R81" s="118" t="e">
        <f t="shared" si="70"/>
        <v>#DIV/0!</v>
      </c>
      <c r="S81" s="118" t="e">
        <f t="shared" si="70"/>
        <v>#DIV/0!</v>
      </c>
      <c r="T81" s="125"/>
      <c r="U81" s="125"/>
      <c r="V81" s="125"/>
      <c r="W81" s="125"/>
      <c r="X81" s="125"/>
      <c r="Y81" s="125"/>
      <c r="Z81" s="125"/>
      <c r="AA81" s="125"/>
      <c r="AB81" s="125"/>
      <c r="AC81" s="125"/>
      <c r="AD81" s="125"/>
      <c r="AE81" s="125"/>
      <c r="AF81" s="125"/>
      <c r="AG81" s="131"/>
    </row>
    <row r="82" spans="1:33" ht="22.05" customHeight="1" x14ac:dyDescent="0.25">
      <c r="A82" s="204"/>
      <c r="B82" s="209"/>
      <c r="C82" s="241" t="s">
        <v>143</v>
      </c>
      <c r="D82" s="79" t="s">
        <v>103</v>
      </c>
      <c r="E82" s="105"/>
      <c r="F82" s="87">
        <v>0.06</v>
      </c>
      <c r="G82" s="119">
        <f t="shared" ref="G82:G86" si="71">SUM(H82:S82)</f>
        <v>0</v>
      </c>
      <c r="H82" s="122"/>
      <c r="I82" s="129"/>
      <c r="J82" s="129"/>
      <c r="K82" s="129"/>
      <c r="L82" s="122"/>
      <c r="M82" s="122"/>
      <c r="N82" s="122"/>
      <c r="O82" s="122"/>
      <c r="P82" s="122"/>
      <c r="Q82" s="122"/>
      <c r="R82" s="122"/>
      <c r="S82" s="122"/>
      <c r="T82" s="125">
        <f>SUM(U82:AF82)</f>
        <v>0</v>
      </c>
      <c r="U82" s="125">
        <f>H82/(1+$F$82)</f>
        <v>0</v>
      </c>
      <c r="V82" s="125">
        <f t="shared" ref="V82:AF82" si="72">I82/(1+$F$82)</f>
        <v>0</v>
      </c>
      <c r="W82" s="125">
        <f t="shared" si="72"/>
        <v>0</v>
      </c>
      <c r="X82" s="125">
        <f t="shared" si="72"/>
        <v>0</v>
      </c>
      <c r="Y82" s="125">
        <f t="shared" si="72"/>
        <v>0</v>
      </c>
      <c r="Z82" s="125">
        <f t="shared" si="72"/>
        <v>0</v>
      </c>
      <c r="AA82" s="125">
        <f t="shared" si="72"/>
        <v>0</v>
      </c>
      <c r="AB82" s="125">
        <f t="shared" si="72"/>
        <v>0</v>
      </c>
      <c r="AC82" s="125">
        <f t="shared" si="72"/>
        <v>0</v>
      </c>
      <c r="AD82" s="125">
        <f t="shared" si="72"/>
        <v>0</v>
      </c>
      <c r="AE82" s="125">
        <f t="shared" si="72"/>
        <v>0</v>
      </c>
      <c r="AF82" s="125">
        <f t="shared" si="72"/>
        <v>0</v>
      </c>
      <c r="AG82" s="131"/>
    </row>
    <row r="83" spans="1:33" ht="22.05" customHeight="1" x14ac:dyDescent="0.25">
      <c r="A83" s="204"/>
      <c r="B83" s="209"/>
      <c r="C83" s="242"/>
      <c r="D83" s="79" t="s">
        <v>105</v>
      </c>
      <c r="E83" s="105"/>
      <c r="F83" s="87"/>
      <c r="G83" s="119">
        <f t="shared" si="71"/>
        <v>0</v>
      </c>
      <c r="H83" s="122"/>
      <c r="I83" s="129"/>
      <c r="J83" s="129"/>
      <c r="K83" s="129"/>
      <c r="L83" s="122"/>
      <c r="M83" s="122"/>
      <c r="N83" s="122"/>
      <c r="O83" s="122"/>
      <c r="P83" s="122"/>
      <c r="Q83" s="122"/>
      <c r="R83" s="122"/>
      <c r="S83" s="122"/>
      <c r="T83" s="125"/>
      <c r="U83" s="125"/>
      <c r="V83" s="125"/>
      <c r="W83" s="125"/>
      <c r="X83" s="125"/>
      <c r="Y83" s="125"/>
      <c r="Z83" s="125"/>
      <c r="AA83" s="125"/>
      <c r="AB83" s="125"/>
      <c r="AC83" s="125"/>
      <c r="AD83" s="125"/>
      <c r="AE83" s="125"/>
      <c r="AF83" s="125"/>
      <c r="AG83" s="131"/>
    </row>
    <row r="84" spans="1:33" ht="22.05" customHeight="1" x14ac:dyDescent="0.25">
      <c r="A84" s="204"/>
      <c r="B84" s="209"/>
      <c r="C84" s="243"/>
      <c r="D84" s="79" t="s">
        <v>106</v>
      </c>
      <c r="E84" s="105"/>
      <c r="F84" s="87"/>
      <c r="G84" s="121"/>
      <c r="H84" s="118" t="e">
        <f>H83/$G83</f>
        <v>#DIV/0!</v>
      </c>
      <c r="I84" s="118" t="e">
        <f t="shared" ref="I84:S84" si="73">I83/$G83</f>
        <v>#DIV/0!</v>
      </c>
      <c r="J84" s="118" t="e">
        <f t="shared" si="73"/>
        <v>#DIV/0!</v>
      </c>
      <c r="K84" s="118" t="e">
        <f t="shared" si="73"/>
        <v>#DIV/0!</v>
      </c>
      <c r="L84" s="118" t="e">
        <f t="shared" si="73"/>
        <v>#DIV/0!</v>
      </c>
      <c r="M84" s="118" t="e">
        <f t="shared" si="73"/>
        <v>#DIV/0!</v>
      </c>
      <c r="N84" s="118" t="e">
        <f t="shared" si="73"/>
        <v>#DIV/0!</v>
      </c>
      <c r="O84" s="118" t="e">
        <f t="shared" si="73"/>
        <v>#DIV/0!</v>
      </c>
      <c r="P84" s="118" t="e">
        <f t="shared" si="73"/>
        <v>#DIV/0!</v>
      </c>
      <c r="Q84" s="118" t="e">
        <f t="shared" si="73"/>
        <v>#DIV/0!</v>
      </c>
      <c r="R84" s="118" t="e">
        <f t="shared" si="73"/>
        <v>#DIV/0!</v>
      </c>
      <c r="S84" s="118" t="e">
        <f t="shared" si="73"/>
        <v>#DIV/0!</v>
      </c>
      <c r="T84" s="125"/>
      <c r="U84" s="125"/>
      <c r="V84" s="125"/>
      <c r="W84" s="125"/>
      <c r="X84" s="125"/>
      <c r="Y84" s="125"/>
      <c r="Z84" s="125"/>
      <c r="AA84" s="125"/>
      <c r="AB84" s="125"/>
      <c r="AC84" s="125"/>
      <c r="AD84" s="125"/>
      <c r="AE84" s="125"/>
      <c r="AF84" s="125"/>
      <c r="AG84" s="131"/>
    </row>
    <row r="85" spans="1:33" ht="22.05" customHeight="1" x14ac:dyDescent="0.25">
      <c r="A85" s="204"/>
      <c r="B85" s="209"/>
      <c r="C85" s="241" t="s">
        <v>144</v>
      </c>
      <c r="D85" s="79" t="s">
        <v>103</v>
      </c>
      <c r="E85" s="105"/>
      <c r="F85" s="87">
        <v>0.06</v>
      </c>
      <c r="G85" s="119">
        <f t="shared" si="71"/>
        <v>0</v>
      </c>
      <c r="H85" s="122"/>
      <c r="I85" s="122"/>
      <c r="J85" s="122"/>
      <c r="K85" s="122"/>
      <c r="L85" s="122"/>
      <c r="M85" s="122"/>
      <c r="N85" s="122"/>
      <c r="O85" s="122"/>
      <c r="P85" s="122"/>
      <c r="Q85" s="122"/>
      <c r="R85" s="122"/>
      <c r="S85" s="122"/>
      <c r="T85" s="125">
        <f>SUM(U85:AF85)</f>
        <v>0</v>
      </c>
      <c r="U85" s="125">
        <f>H85/(1+$F$85)</f>
        <v>0</v>
      </c>
      <c r="V85" s="125">
        <f t="shared" ref="V85:AF85" si="74">I85/(1+$F$85)</f>
        <v>0</v>
      </c>
      <c r="W85" s="125">
        <f t="shared" si="74"/>
        <v>0</v>
      </c>
      <c r="X85" s="125">
        <f t="shared" si="74"/>
        <v>0</v>
      </c>
      <c r="Y85" s="125">
        <f t="shared" si="74"/>
        <v>0</v>
      </c>
      <c r="Z85" s="125">
        <f t="shared" si="74"/>
        <v>0</v>
      </c>
      <c r="AA85" s="125">
        <f t="shared" si="74"/>
        <v>0</v>
      </c>
      <c r="AB85" s="125">
        <f t="shared" si="74"/>
        <v>0</v>
      </c>
      <c r="AC85" s="125">
        <f t="shared" si="74"/>
        <v>0</v>
      </c>
      <c r="AD85" s="125">
        <f t="shared" si="74"/>
        <v>0</v>
      </c>
      <c r="AE85" s="125">
        <f t="shared" si="74"/>
        <v>0</v>
      </c>
      <c r="AF85" s="125">
        <f t="shared" si="74"/>
        <v>0</v>
      </c>
      <c r="AG85" s="131"/>
    </row>
    <row r="86" spans="1:33" ht="22.05" customHeight="1" x14ac:dyDescent="0.25">
      <c r="A86" s="204"/>
      <c r="B86" s="209"/>
      <c r="C86" s="242"/>
      <c r="D86" s="79" t="s">
        <v>105</v>
      </c>
      <c r="E86" s="105"/>
      <c r="F86" s="87"/>
      <c r="G86" s="119">
        <f t="shared" si="71"/>
        <v>0</v>
      </c>
      <c r="H86" s="122"/>
      <c r="I86" s="122"/>
      <c r="J86" s="122"/>
      <c r="K86" s="122"/>
      <c r="L86" s="122"/>
      <c r="M86" s="122"/>
      <c r="N86" s="122"/>
      <c r="O86" s="122"/>
      <c r="P86" s="122"/>
      <c r="Q86" s="122"/>
      <c r="R86" s="122"/>
      <c r="S86" s="122"/>
      <c r="T86" s="125"/>
      <c r="U86" s="125"/>
      <c r="V86" s="125"/>
      <c r="W86" s="125"/>
      <c r="X86" s="125"/>
      <c r="Y86" s="125"/>
      <c r="Z86" s="125"/>
      <c r="AA86" s="125"/>
      <c r="AB86" s="125"/>
      <c r="AC86" s="125"/>
      <c r="AD86" s="125"/>
      <c r="AE86" s="125"/>
      <c r="AF86" s="125"/>
      <c r="AG86" s="131"/>
    </row>
    <row r="87" spans="1:33" ht="22.05" customHeight="1" x14ac:dyDescent="0.25">
      <c r="A87" s="204"/>
      <c r="B87" s="209"/>
      <c r="C87" s="243"/>
      <c r="D87" s="79" t="s">
        <v>106</v>
      </c>
      <c r="E87" s="105"/>
      <c r="F87" s="87"/>
      <c r="G87" s="121"/>
      <c r="H87" s="118" t="e">
        <f>H86/$G86</f>
        <v>#DIV/0!</v>
      </c>
      <c r="I87" s="118" t="e">
        <f t="shared" ref="I87:S87" si="75">I86/$G86</f>
        <v>#DIV/0!</v>
      </c>
      <c r="J87" s="118" t="e">
        <f t="shared" si="75"/>
        <v>#DIV/0!</v>
      </c>
      <c r="K87" s="118" t="e">
        <f t="shared" si="75"/>
        <v>#DIV/0!</v>
      </c>
      <c r="L87" s="118" t="e">
        <f t="shared" si="75"/>
        <v>#DIV/0!</v>
      </c>
      <c r="M87" s="118" t="e">
        <f t="shared" si="75"/>
        <v>#DIV/0!</v>
      </c>
      <c r="N87" s="118" t="e">
        <f t="shared" si="75"/>
        <v>#DIV/0!</v>
      </c>
      <c r="O87" s="118" t="e">
        <f t="shared" si="75"/>
        <v>#DIV/0!</v>
      </c>
      <c r="P87" s="118" t="e">
        <f t="shared" si="75"/>
        <v>#DIV/0!</v>
      </c>
      <c r="Q87" s="118" t="e">
        <f t="shared" si="75"/>
        <v>#DIV/0!</v>
      </c>
      <c r="R87" s="118" t="e">
        <f t="shared" si="75"/>
        <v>#DIV/0!</v>
      </c>
      <c r="S87" s="118" t="e">
        <f t="shared" si="75"/>
        <v>#DIV/0!</v>
      </c>
      <c r="T87" s="125"/>
      <c r="U87" s="125"/>
      <c r="V87" s="125"/>
      <c r="W87" s="125"/>
      <c r="X87" s="125"/>
      <c r="Y87" s="125"/>
      <c r="Z87" s="125"/>
      <c r="AA87" s="125"/>
      <c r="AB87" s="125"/>
      <c r="AC87" s="125"/>
      <c r="AD87" s="125"/>
      <c r="AE87" s="125"/>
      <c r="AF87" s="125"/>
      <c r="AG87" s="131"/>
    </row>
    <row r="88" spans="1:33" ht="22.05" customHeight="1" x14ac:dyDescent="0.25">
      <c r="A88" s="204"/>
      <c r="B88" s="209"/>
      <c r="C88" s="241" t="s">
        <v>145</v>
      </c>
      <c r="D88" s="79" t="s">
        <v>103</v>
      </c>
      <c r="E88" s="105"/>
      <c r="F88" s="87">
        <v>0.06</v>
      </c>
      <c r="G88" s="119">
        <f t="shared" ref="G88:G92" si="76">SUM(H88:S88)</f>
        <v>0</v>
      </c>
      <c r="H88" s="122"/>
      <c r="I88" s="122"/>
      <c r="J88" s="122"/>
      <c r="K88" s="122"/>
      <c r="L88" s="122"/>
      <c r="M88" s="122"/>
      <c r="N88" s="122"/>
      <c r="O88" s="122"/>
      <c r="P88" s="122"/>
      <c r="Q88" s="122"/>
      <c r="R88" s="122"/>
      <c r="S88" s="122"/>
      <c r="T88" s="125">
        <f>SUM(U88:AF88)</f>
        <v>0</v>
      </c>
      <c r="U88" s="125">
        <f>H88/(1+$F$88)</f>
        <v>0</v>
      </c>
      <c r="V88" s="125">
        <f t="shared" ref="V88:AF88" si="77">I88/(1+$F$88)</f>
        <v>0</v>
      </c>
      <c r="W88" s="125">
        <f t="shared" si="77"/>
        <v>0</v>
      </c>
      <c r="X88" s="125">
        <f t="shared" si="77"/>
        <v>0</v>
      </c>
      <c r="Y88" s="125">
        <f t="shared" si="77"/>
        <v>0</v>
      </c>
      <c r="Z88" s="125">
        <f t="shared" si="77"/>
        <v>0</v>
      </c>
      <c r="AA88" s="125">
        <f t="shared" si="77"/>
        <v>0</v>
      </c>
      <c r="AB88" s="125">
        <f t="shared" si="77"/>
        <v>0</v>
      </c>
      <c r="AC88" s="125">
        <f t="shared" si="77"/>
        <v>0</v>
      </c>
      <c r="AD88" s="125">
        <f t="shared" si="77"/>
        <v>0</v>
      </c>
      <c r="AE88" s="125">
        <f t="shared" si="77"/>
        <v>0</v>
      </c>
      <c r="AF88" s="125">
        <f t="shared" si="77"/>
        <v>0</v>
      </c>
      <c r="AG88" s="131"/>
    </row>
    <row r="89" spans="1:33" ht="22.05" customHeight="1" x14ac:dyDescent="0.25">
      <c r="A89" s="204"/>
      <c r="B89" s="209"/>
      <c r="C89" s="242"/>
      <c r="D89" s="79" t="s">
        <v>105</v>
      </c>
      <c r="E89" s="105"/>
      <c r="F89" s="87"/>
      <c r="G89" s="119">
        <f t="shared" si="76"/>
        <v>0</v>
      </c>
      <c r="H89" s="122"/>
      <c r="I89" s="122"/>
      <c r="J89" s="122"/>
      <c r="K89" s="122"/>
      <c r="L89" s="122"/>
      <c r="M89" s="122"/>
      <c r="N89" s="122"/>
      <c r="O89" s="122"/>
      <c r="P89" s="122"/>
      <c r="Q89" s="122"/>
      <c r="R89" s="122"/>
      <c r="S89" s="122"/>
      <c r="T89" s="125"/>
      <c r="U89" s="125"/>
      <c r="V89" s="125"/>
      <c r="W89" s="125"/>
      <c r="X89" s="125"/>
      <c r="Y89" s="125"/>
      <c r="Z89" s="125"/>
      <c r="AA89" s="125"/>
      <c r="AB89" s="125"/>
      <c r="AC89" s="125"/>
      <c r="AD89" s="125"/>
      <c r="AE89" s="125"/>
      <c r="AF89" s="125"/>
      <c r="AG89" s="131"/>
    </row>
    <row r="90" spans="1:33" ht="22.05" customHeight="1" x14ac:dyDescent="0.25">
      <c r="A90" s="204"/>
      <c r="B90" s="209"/>
      <c r="C90" s="243"/>
      <c r="D90" s="79" t="s">
        <v>106</v>
      </c>
      <c r="E90" s="105"/>
      <c r="F90" s="87"/>
      <c r="G90" s="121"/>
      <c r="H90" s="118" t="e">
        <f>H89/$G89</f>
        <v>#DIV/0!</v>
      </c>
      <c r="I90" s="118" t="e">
        <f t="shared" ref="I90:S90" si="78">I89/$G89</f>
        <v>#DIV/0!</v>
      </c>
      <c r="J90" s="118" t="e">
        <f t="shared" si="78"/>
        <v>#DIV/0!</v>
      </c>
      <c r="K90" s="118" t="e">
        <f t="shared" si="78"/>
        <v>#DIV/0!</v>
      </c>
      <c r="L90" s="118" t="e">
        <f t="shared" si="78"/>
        <v>#DIV/0!</v>
      </c>
      <c r="M90" s="118" t="e">
        <f t="shared" si="78"/>
        <v>#DIV/0!</v>
      </c>
      <c r="N90" s="118" t="e">
        <f t="shared" si="78"/>
        <v>#DIV/0!</v>
      </c>
      <c r="O90" s="118" t="e">
        <f t="shared" si="78"/>
        <v>#DIV/0!</v>
      </c>
      <c r="P90" s="118" t="e">
        <f t="shared" si="78"/>
        <v>#DIV/0!</v>
      </c>
      <c r="Q90" s="118" t="e">
        <f t="shared" si="78"/>
        <v>#DIV/0!</v>
      </c>
      <c r="R90" s="118" t="e">
        <f t="shared" si="78"/>
        <v>#DIV/0!</v>
      </c>
      <c r="S90" s="118" t="e">
        <f t="shared" si="78"/>
        <v>#DIV/0!</v>
      </c>
      <c r="T90" s="125"/>
      <c r="U90" s="125"/>
      <c r="V90" s="125"/>
      <c r="W90" s="125"/>
      <c r="X90" s="125"/>
      <c r="Y90" s="125"/>
      <c r="Z90" s="125"/>
      <c r="AA90" s="125"/>
      <c r="AB90" s="125"/>
      <c r="AC90" s="125"/>
      <c r="AD90" s="125"/>
      <c r="AE90" s="125"/>
      <c r="AF90" s="125"/>
      <c r="AG90" s="131"/>
    </row>
    <row r="91" spans="1:33" ht="22.05" customHeight="1" x14ac:dyDescent="0.25">
      <c r="A91" s="204"/>
      <c r="B91" s="209"/>
      <c r="C91" s="241" t="s">
        <v>146</v>
      </c>
      <c r="D91" s="79" t="s">
        <v>103</v>
      </c>
      <c r="E91" s="105"/>
      <c r="F91" s="87">
        <v>0.06</v>
      </c>
      <c r="G91" s="119">
        <f t="shared" si="76"/>
        <v>0</v>
      </c>
      <c r="H91" s="122"/>
      <c r="I91" s="122"/>
      <c r="J91" s="122"/>
      <c r="K91" s="122"/>
      <c r="L91" s="122"/>
      <c r="M91" s="122"/>
      <c r="N91" s="122"/>
      <c r="O91" s="122"/>
      <c r="P91" s="122"/>
      <c r="Q91" s="122"/>
      <c r="R91" s="122"/>
      <c r="S91" s="122"/>
      <c r="T91" s="125">
        <f>SUM(U91:AF91)</f>
        <v>0</v>
      </c>
      <c r="U91" s="125">
        <f>H91/(1+$F$91)</f>
        <v>0</v>
      </c>
      <c r="V91" s="125">
        <f t="shared" ref="V91:AF91" si="79">I91/(1+$F$91)</f>
        <v>0</v>
      </c>
      <c r="W91" s="125">
        <f t="shared" si="79"/>
        <v>0</v>
      </c>
      <c r="X91" s="125">
        <f t="shared" si="79"/>
        <v>0</v>
      </c>
      <c r="Y91" s="125">
        <f t="shared" si="79"/>
        <v>0</v>
      </c>
      <c r="Z91" s="125">
        <f t="shared" si="79"/>
        <v>0</v>
      </c>
      <c r="AA91" s="125">
        <f t="shared" si="79"/>
        <v>0</v>
      </c>
      <c r="AB91" s="125">
        <f t="shared" si="79"/>
        <v>0</v>
      </c>
      <c r="AC91" s="125">
        <f t="shared" si="79"/>
        <v>0</v>
      </c>
      <c r="AD91" s="125">
        <f t="shared" si="79"/>
        <v>0</v>
      </c>
      <c r="AE91" s="125">
        <f t="shared" si="79"/>
        <v>0</v>
      </c>
      <c r="AF91" s="125">
        <f t="shared" si="79"/>
        <v>0</v>
      </c>
      <c r="AG91" s="131"/>
    </row>
    <row r="92" spans="1:33" ht="22.05" customHeight="1" x14ac:dyDescent="0.25">
      <c r="A92" s="204"/>
      <c r="B92" s="209"/>
      <c r="C92" s="242"/>
      <c r="D92" s="79" t="s">
        <v>105</v>
      </c>
      <c r="E92" s="105"/>
      <c r="F92" s="87"/>
      <c r="G92" s="119">
        <f t="shared" si="76"/>
        <v>0</v>
      </c>
      <c r="H92" s="122"/>
      <c r="I92" s="122"/>
      <c r="J92" s="122"/>
      <c r="K92" s="122"/>
      <c r="L92" s="122"/>
      <c r="M92" s="122"/>
      <c r="N92" s="122"/>
      <c r="O92" s="122"/>
      <c r="P92" s="122"/>
      <c r="Q92" s="122"/>
      <c r="R92" s="122"/>
      <c r="S92" s="122"/>
      <c r="T92" s="125"/>
      <c r="U92" s="125"/>
      <c r="V92" s="125"/>
      <c r="W92" s="125"/>
      <c r="X92" s="125"/>
      <c r="Y92" s="125"/>
      <c r="Z92" s="125"/>
      <c r="AA92" s="125"/>
      <c r="AB92" s="125"/>
      <c r="AC92" s="125"/>
      <c r="AD92" s="125"/>
      <c r="AE92" s="125"/>
      <c r="AF92" s="125"/>
      <c r="AG92" s="131"/>
    </row>
    <row r="93" spans="1:33" ht="22.05" customHeight="1" x14ac:dyDescent="0.25">
      <c r="A93" s="204"/>
      <c r="B93" s="209"/>
      <c r="C93" s="243"/>
      <c r="D93" s="79" t="s">
        <v>106</v>
      </c>
      <c r="E93" s="105"/>
      <c r="F93" s="87"/>
      <c r="G93" s="121"/>
      <c r="H93" s="118" t="e">
        <f>H92/$G92</f>
        <v>#DIV/0!</v>
      </c>
      <c r="I93" s="118" t="e">
        <f t="shared" ref="I93:S93" si="80">I92/$G92</f>
        <v>#DIV/0!</v>
      </c>
      <c r="J93" s="118" t="e">
        <f t="shared" si="80"/>
        <v>#DIV/0!</v>
      </c>
      <c r="K93" s="118" t="e">
        <f t="shared" si="80"/>
        <v>#DIV/0!</v>
      </c>
      <c r="L93" s="118" t="e">
        <f t="shared" si="80"/>
        <v>#DIV/0!</v>
      </c>
      <c r="M93" s="118" t="e">
        <f t="shared" si="80"/>
        <v>#DIV/0!</v>
      </c>
      <c r="N93" s="118" t="e">
        <f t="shared" si="80"/>
        <v>#DIV/0!</v>
      </c>
      <c r="O93" s="118" t="e">
        <f t="shared" si="80"/>
        <v>#DIV/0!</v>
      </c>
      <c r="P93" s="118" t="e">
        <f t="shared" si="80"/>
        <v>#DIV/0!</v>
      </c>
      <c r="Q93" s="118" t="e">
        <f t="shared" si="80"/>
        <v>#DIV/0!</v>
      </c>
      <c r="R93" s="118" t="e">
        <f t="shared" si="80"/>
        <v>#DIV/0!</v>
      </c>
      <c r="S93" s="118" t="e">
        <f t="shared" si="80"/>
        <v>#DIV/0!</v>
      </c>
      <c r="T93" s="125"/>
      <c r="U93" s="125"/>
      <c r="V93" s="125"/>
      <c r="W93" s="125"/>
      <c r="X93" s="125"/>
      <c r="Y93" s="125"/>
      <c r="Z93" s="125"/>
      <c r="AA93" s="125"/>
      <c r="AB93" s="125"/>
      <c r="AC93" s="125"/>
      <c r="AD93" s="125"/>
      <c r="AE93" s="125"/>
      <c r="AF93" s="125"/>
      <c r="AG93" s="131"/>
    </row>
    <row r="94" spans="1:33" ht="22.05" customHeight="1" x14ac:dyDescent="0.25">
      <c r="A94" s="204"/>
      <c r="B94" s="209"/>
      <c r="C94" s="86" t="s">
        <v>125</v>
      </c>
      <c r="D94" s="105"/>
      <c r="E94" s="105"/>
      <c r="F94" s="87"/>
      <c r="G94" s="119"/>
      <c r="H94" s="122"/>
      <c r="I94" s="122"/>
      <c r="J94" s="122"/>
      <c r="K94" s="122"/>
      <c r="L94" s="122"/>
      <c r="M94" s="122"/>
      <c r="N94" s="122"/>
      <c r="O94" s="122"/>
      <c r="P94" s="122"/>
      <c r="Q94" s="122"/>
      <c r="R94" s="122"/>
      <c r="S94" s="122"/>
      <c r="T94" s="125"/>
      <c r="U94" s="125"/>
      <c r="V94" s="125"/>
      <c r="W94" s="125"/>
      <c r="X94" s="125"/>
      <c r="Y94" s="125"/>
      <c r="Z94" s="125"/>
      <c r="AA94" s="125"/>
      <c r="AB94" s="125"/>
      <c r="AC94" s="125"/>
      <c r="AD94" s="125"/>
      <c r="AE94" s="125"/>
      <c r="AF94" s="125"/>
      <c r="AG94" s="131"/>
    </row>
    <row r="95" spans="1:33" ht="22.05" customHeight="1" x14ac:dyDescent="0.25">
      <c r="A95" s="205"/>
      <c r="B95" s="209"/>
      <c r="C95" s="105"/>
      <c r="D95" s="105"/>
      <c r="E95" s="105"/>
      <c r="F95" s="87"/>
      <c r="G95" s="119"/>
      <c r="H95" s="122"/>
      <c r="I95" s="122"/>
      <c r="J95" s="122"/>
      <c r="K95" s="122"/>
      <c r="L95" s="122"/>
      <c r="M95" s="122"/>
      <c r="N95" s="122"/>
      <c r="O95" s="122"/>
      <c r="P95" s="122"/>
      <c r="Q95" s="122"/>
      <c r="R95" s="122"/>
      <c r="S95" s="122"/>
      <c r="T95" s="125"/>
      <c r="U95" s="125"/>
      <c r="V95" s="125"/>
      <c r="W95" s="125"/>
      <c r="X95" s="125"/>
      <c r="Y95" s="125"/>
      <c r="Z95" s="125"/>
      <c r="AA95" s="125"/>
      <c r="AB95" s="125"/>
      <c r="AC95" s="125"/>
      <c r="AD95" s="125"/>
      <c r="AE95" s="125"/>
      <c r="AF95" s="125"/>
      <c r="AG95" s="131"/>
    </row>
    <row r="96" spans="1:33" ht="24" customHeight="1" x14ac:dyDescent="0.25">
      <c r="A96" s="206" t="s">
        <v>147</v>
      </c>
      <c r="B96" s="264" t="s">
        <v>148</v>
      </c>
      <c r="C96" s="265"/>
      <c r="D96" s="79" t="s">
        <v>149</v>
      </c>
      <c r="E96" s="105"/>
      <c r="F96" s="87"/>
      <c r="G96" s="123">
        <f>G99+G121+G140+G171+G190+G215</f>
        <v>0</v>
      </c>
      <c r="H96" s="123">
        <f t="shared" ref="H96:S96" si="81">H99+H121+H140+H171+H190+H215</f>
        <v>0</v>
      </c>
      <c r="I96" s="123">
        <f t="shared" si="81"/>
        <v>0</v>
      </c>
      <c r="J96" s="123">
        <f t="shared" si="81"/>
        <v>0</v>
      </c>
      <c r="K96" s="123">
        <f t="shared" si="81"/>
        <v>0</v>
      </c>
      <c r="L96" s="123">
        <f t="shared" si="81"/>
        <v>0</v>
      </c>
      <c r="M96" s="123">
        <f t="shared" si="81"/>
        <v>0</v>
      </c>
      <c r="N96" s="123">
        <f t="shared" si="81"/>
        <v>0</v>
      </c>
      <c r="O96" s="123">
        <f t="shared" si="81"/>
        <v>0</v>
      </c>
      <c r="P96" s="123">
        <f t="shared" si="81"/>
        <v>0</v>
      </c>
      <c r="Q96" s="123">
        <f t="shared" si="81"/>
        <v>0</v>
      </c>
      <c r="R96" s="123">
        <f t="shared" si="81"/>
        <v>0</v>
      </c>
      <c r="S96" s="123">
        <f t="shared" si="81"/>
        <v>0</v>
      </c>
      <c r="T96" s="123">
        <f>T99+T121+T140+T171+T190</f>
        <v>0</v>
      </c>
      <c r="U96" s="123">
        <f t="shared" ref="U96:AF96" si="82">U99+U121+U140+U171+U190</f>
        <v>0</v>
      </c>
      <c r="V96" s="123">
        <f t="shared" si="82"/>
        <v>0</v>
      </c>
      <c r="W96" s="123">
        <f t="shared" si="82"/>
        <v>0</v>
      </c>
      <c r="X96" s="123">
        <f t="shared" si="82"/>
        <v>0</v>
      </c>
      <c r="Y96" s="123">
        <f t="shared" si="82"/>
        <v>0</v>
      </c>
      <c r="Z96" s="123">
        <f t="shared" si="82"/>
        <v>0</v>
      </c>
      <c r="AA96" s="123">
        <f t="shared" si="82"/>
        <v>0</v>
      </c>
      <c r="AB96" s="123">
        <f t="shared" si="82"/>
        <v>0</v>
      </c>
      <c r="AC96" s="123">
        <f t="shared" si="82"/>
        <v>0</v>
      </c>
      <c r="AD96" s="123">
        <f t="shared" si="82"/>
        <v>0</v>
      </c>
      <c r="AE96" s="123">
        <f t="shared" si="82"/>
        <v>0</v>
      </c>
      <c r="AF96" s="123">
        <f t="shared" si="82"/>
        <v>0</v>
      </c>
      <c r="AG96" s="131"/>
    </row>
    <row r="97" spans="1:33" ht="24" customHeight="1" x14ac:dyDescent="0.25">
      <c r="A97" s="206"/>
      <c r="B97" s="266"/>
      <c r="C97" s="267"/>
      <c r="D97" s="79" t="s">
        <v>150</v>
      </c>
      <c r="E97" s="105"/>
      <c r="F97" s="87"/>
      <c r="G97" s="123">
        <f>G100+G122+G141+G172+G191+G216</f>
        <v>0</v>
      </c>
      <c r="H97" s="123">
        <f t="shared" ref="H97:S97" si="83">H100+H122+H141+H172+H191+H216</f>
        <v>0</v>
      </c>
      <c r="I97" s="123">
        <f t="shared" si="83"/>
        <v>0</v>
      </c>
      <c r="J97" s="123">
        <f t="shared" si="83"/>
        <v>0</v>
      </c>
      <c r="K97" s="123">
        <f t="shared" si="83"/>
        <v>0</v>
      </c>
      <c r="L97" s="123">
        <f t="shared" si="83"/>
        <v>0</v>
      </c>
      <c r="M97" s="123">
        <f t="shared" si="83"/>
        <v>0</v>
      </c>
      <c r="N97" s="123">
        <f t="shared" si="83"/>
        <v>0</v>
      </c>
      <c r="O97" s="123">
        <f t="shared" si="83"/>
        <v>0</v>
      </c>
      <c r="P97" s="123">
        <f t="shared" si="83"/>
        <v>0</v>
      </c>
      <c r="Q97" s="123">
        <f t="shared" si="83"/>
        <v>0</v>
      </c>
      <c r="R97" s="123">
        <f t="shared" si="83"/>
        <v>0</v>
      </c>
      <c r="S97" s="123">
        <f t="shared" si="83"/>
        <v>0</v>
      </c>
      <c r="T97" s="123"/>
      <c r="U97" s="123"/>
      <c r="V97" s="123"/>
      <c r="W97" s="123"/>
      <c r="X97" s="123"/>
      <c r="Y97" s="123"/>
      <c r="Z97" s="123"/>
      <c r="AA97" s="123"/>
      <c r="AB97" s="123"/>
      <c r="AC97" s="123"/>
      <c r="AD97" s="123"/>
      <c r="AE97" s="123"/>
      <c r="AF97" s="123"/>
      <c r="AG97" s="131"/>
    </row>
    <row r="98" spans="1:33" ht="24" customHeight="1" x14ac:dyDescent="0.25">
      <c r="A98" s="206"/>
      <c r="B98" s="266"/>
      <c r="C98" s="267"/>
      <c r="D98" s="79" t="s">
        <v>151</v>
      </c>
      <c r="E98" s="105"/>
      <c r="F98" s="87"/>
      <c r="G98" s="123"/>
      <c r="H98" s="118" t="e">
        <f>H97/$G97</f>
        <v>#DIV/0!</v>
      </c>
      <c r="I98" s="118" t="e">
        <f t="shared" ref="I98:S98" si="84">I97/$G97</f>
        <v>#DIV/0!</v>
      </c>
      <c r="J98" s="118" t="e">
        <f t="shared" si="84"/>
        <v>#DIV/0!</v>
      </c>
      <c r="K98" s="118" t="e">
        <f t="shared" si="84"/>
        <v>#DIV/0!</v>
      </c>
      <c r="L98" s="118" t="e">
        <f t="shared" si="84"/>
        <v>#DIV/0!</v>
      </c>
      <c r="M98" s="118" t="e">
        <f t="shared" si="84"/>
        <v>#DIV/0!</v>
      </c>
      <c r="N98" s="118" t="e">
        <f t="shared" si="84"/>
        <v>#DIV/0!</v>
      </c>
      <c r="O98" s="118" t="e">
        <f t="shared" si="84"/>
        <v>#DIV/0!</v>
      </c>
      <c r="P98" s="118" t="e">
        <f t="shared" si="84"/>
        <v>#DIV/0!</v>
      </c>
      <c r="Q98" s="118" t="e">
        <f t="shared" si="84"/>
        <v>#DIV/0!</v>
      </c>
      <c r="R98" s="118" t="e">
        <f t="shared" si="84"/>
        <v>#DIV/0!</v>
      </c>
      <c r="S98" s="118" t="e">
        <f t="shared" si="84"/>
        <v>#DIV/0!</v>
      </c>
      <c r="T98" s="123"/>
      <c r="U98" s="123"/>
      <c r="V98" s="123"/>
      <c r="W98" s="123"/>
      <c r="X98" s="123"/>
      <c r="Y98" s="123"/>
      <c r="Z98" s="123"/>
      <c r="AA98" s="123"/>
      <c r="AB98" s="123"/>
      <c r="AC98" s="123"/>
      <c r="AD98" s="123"/>
      <c r="AE98" s="123"/>
      <c r="AF98" s="123"/>
      <c r="AG98" s="131"/>
    </row>
    <row r="99" spans="1:33" ht="24" customHeight="1" x14ac:dyDescent="0.25">
      <c r="A99" s="206"/>
      <c r="B99" s="210" t="s">
        <v>152</v>
      </c>
      <c r="C99" s="244" t="s">
        <v>153</v>
      </c>
      <c r="D99" s="79" t="s">
        <v>149</v>
      </c>
      <c r="E99" s="80"/>
      <c r="F99" s="80"/>
      <c r="G99" s="117">
        <f>SUM(G102+G105+G108+G111+G114+G117)</f>
        <v>0</v>
      </c>
      <c r="H99" s="117">
        <f>SUM(H102+H105+H108+H111+H114+H117)</f>
        <v>0</v>
      </c>
      <c r="I99" s="117">
        <f t="shared" ref="I99:S99" si="85">SUM(I102+I105+I108+I111+I114+I117)</f>
        <v>0</v>
      </c>
      <c r="J99" s="117">
        <f t="shared" si="85"/>
        <v>0</v>
      </c>
      <c r="K99" s="117">
        <f t="shared" si="85"/>
        <v>0</v>
      </c>
      <c r="L99" s="117">
        <f t="shared" si="85"/>
        <v>0</v>
      </c>
      <c r="M99" s="117">
        <f t="shared" si="85"/>
        <v>0</v>
      </c>
      <c r="N99" s="117">
        <f t="shared" si="85"/>
        <v>0</v>
      </c>
      <c r="O99" s="117">
        <f t="shared" si="85"/>
        <v>0</v>
      </c>
      <c r="P99" s="117">
        <f t="shared" si="85"/>
        <v>0</v>
      </c>
      <c r="Q99" s="117">
        <f t="shared" si="85"/>
        <v>0</v>
      </c>
      <c r="R99" s="117">
        <f t="shared" si="85"/>
        <v>0</v>
      </c>
      <c r="S99" s="117">
        <f t="shared" si="85"/>
        <v>0</v>
      </c>
      <c r="T99" s="117">
        <f t="shared" ref="T99:AF99" si="86">SUM(T102:T120)</f>
        <v>0</v>
      </c>
      <c r="U99" s="117">
        <f t="shared" si="86"/>
        <v>0</v>
      </c>
      <c r="V99" s="117">
        <f t="shared" si="86"/>
        <v>0</v>
      </c>
      <c r="W99" s="117">
        <f t="shared" si="86"/>
        <v>0</v>
      </c>
      <c r="X99" s="117">
        <f t="shared" si="86"/>
        <v>0</v>
      </c>
      <c r="Y99" s="117">
        <f t="shared" si="86"/>
        <v>0</v>
      </c>
      <c r="Z99" s="117">
        <f t="shared" si="86"/>
        <v>0</v>
      </c>
      <c r="AA99" s="117">
        <f t="shared" si="86"/>
        <v>0</v>
      </c>
      <c r="AB99" s="117">
        <f t="shared" si="86"/>
        <v>0</v>
      </c>
      <c r="AC99" s="117">
        <f t="shared" si="86"/>
        <v>0</v>
      </c>
      <c r="AD99" s="117">
        <f t="shared" si="86"/>
        <v>0</v>
      </c>
      <c r="AE99" s="117">
        <f t="shared" si="86"/>
        <v>0</v>
      </c>
      <c r="AF99" s="117">
        <f t="shared" si="86"/>
        <v>0</v>
      </c>
      <c r="AG99" s="86"/>
    </row>
    <row r="100" spans="1:33" ht="24" customHeight="1" x14ac:dyDescent="0.25">
      <c r="A100" s="206"/>
      <c r="B100" s="210"/>
      <c r="C100" s="245"/>
      <c r="D100" s="79" t="s">
        <v>150</v>
      </c>
      <c r="E100" s="80"/>
      <c r="F100" s="80"/>
      <c r="G100" s="117">
        <f>SUM(G103+G106+G109+G112+G115+G118)</f>
        <v>0</v>
      </c>
      <c r="H100" s="117">
        <f>SUM(H103+H106+H109+H112+H115+H118)</f>
        <v>0</v>
      </c>
      <c r="I100" s="117">
        <f t="shared" ref="I100:S100" si="87">SUM(I103+I106+I109+I112+I115+I118)</f>
        <v>0</v>
      </c>
      <c r="J100" s="117">
        <f t="shared" si="87"/>
        <v>0</v>
      </c>
      <c r="K100" s="117">
        <f t="shared" si="87"/>
        <v>0</v>
      </c>
      <c r="L100" s="117">
        <f t="shared" si="87"/>
        <v>0</v>
      </c>
      <c r="M100" s="117">
        <f t="shared" si="87"/>
        <v>0</v>
      </c>
      <c r="N100" s="117">
        <f t="shared" si="87"/>
        <v>0</v>
      </c>
      <c r="O100" s="117">
        <f t="shared" si="87"/>
        <v>0</v>
      </c>
      <c r="P100" s="117">
        <f t="shared" si="87"/>
        <v>0</v>
      </c>
      <c r="Q100" s="117">
        <f t="shared" si="87"/>
        <v>0</v>
      </c>
      <c r="R100" s="117">
        <f t="shared" si="87"/>
        <v>0</v>
      </c>
      <c r="S100" s="117">
        <f t="shared" si="87"/>
        <v>0</v>
      </c>
      <c r="T100" s="117"/>
      <c r="U100" s="117"/>
      <c r="V100" s="117"/>
      <c r="W100" s="117"/>
      <c r="X100" s="117"/>
      <c r="Y100" s="117"/>
      <c r="Z100" s="117"/>
      <c r="AA100" s="117"/>
      <c r="AB100" s="117"/>
      <c r="AC100" s="117"/>
      <c r="AD100" s="117"/>
      <c r="AE100" s="117"/>
      <c r="AF100" s="117"/>
      <c r="AG100" s="86"/>
    </row>
    <row r="101" spans="1:33" ht="24" customHeight="1" x14ac:dyDescent="0.25">
      <c r="A101" s="206"/>
      <c r="B101" s="210"/>
      <c r="C101" s="245"/>
      <c r="D101" s="79" t="s">
        <v>151</v>
      </c>
      <c r="E101" s="80"/>
      <c r="F101" s="80"/>
      <c r="G101" s="117"/>
      <c r="H101" s="118" t="e">
        <f>H100/$G100</f>
        <v>#DIV/0!</v>
      </c>
      <c r="I101" s="118" t="e">
        <f t="shared" ref="I101:S101" si="88">I100/$G100</f>
        <v>#DIV/0!</v>
      </c>
      <c r="J101" s="118" t="e">
        <f t="shared" si="88"/>
        <v>#DIV/0!</v>
      </c>
      <c r="K101" s="118" t="e">
        <f t="shared" si="88"/>
        <v>#DIV/0!</v>
      </c>
      <c r="L101" s="118" t="e">
        <f t="shared" si="88"/>
        <v>#DIV/0!</v>
      </c>
      <c r="M101" s="118" t="e">
        <f t="shared" si="88"/>
        <v>#DIV/0!</v>
      </c>
      <c r="N101" s="118" t="e">
        <f t="shared" si="88"/>
        <v>#DIV/0!</v>
      </c>
      <c r="O101" s="118" t="e">
        <f t="shared" si="88"/>
        <v>#DIV/0!</v>
      </c>
      <c r="P101" s="118" t="e">
        <f t="shared" si="88"/>
        <v>#DIV/0!</v>
      </c>
      <c r="Q101" s="118" t="e">
        <f t="shared" si="88"/>
        <v>#DIV/0!</v>
      </c>
      <c r="R101" s="118" t="e">
        <f t="shared" si="88"/>
        <v>#DIV/0!</v>
      </c>
      <c r="S101" s="118" t="e">
        <f t="shared" si="88"/>
        <v>#DIV/0!</v>
      </c>
      <c r="T101" s="117"/>
      <c r="U101" s="117"/>
      <c r="V101" s="117"/>
      <c r="W101" s="117"/>
      <c r="X101" s="117"/>
      <c r="Y101" s="117"/>
      <c r="Z101" s="117"/>
      <c r="AA101" s="117"/>
      <c r="AB101" s="117"/>
      <c r="AC101" s="117"/>
      <c r="AD101" s="117"/>
      <c r="AE101" s="117"/>
      <c r="AF101" s="117"/>
      <c r="AG101" s="86"/>
    </row>
    <row r="102" spans="1:33" ht="24" customHeight="1" x14ac:dyDescent="0.25">
      <c r="A102" s="206"/>
      <c r="B102" s="210"/>
      <c r="C102" s="229" t="s">
        <v>154</v>
      </c>
      <c r="D102" s="79" t="s">
        <v>149</v>
      </c>
      <c r="E102" s="86"/>
      <c r="F102" s="87">
        <v>0.13</v>
      </c>
      <c r="G102" s="120"/>
      <c r="H102" s="132">
        <f>$G102/综合评估表!$C$7</f>
        <v>0</v>
      </c>
      <c r="I102" s="132">
        <f>IF(SUM($H102:H102)&lt;$G102,$G102/综合评估表!$C$7,0)</f>
        <v>0</v>
      </c>
      <c r="J102" s="132">
        <f>IF(SUM($H102:I102)&lt;$G102,$G102/综合评估表!$C$7,0)</f>
        <v>0</v>
      </c>
      <c r="K102" s="132">
        <f>IF(SUM($H102:J102)&lt;$G102,$G102/综合评估表!$C$7,0)</f>
        <v>0</v>
      </c>
      <c r="L102" s="132">
        <f>IF(SUM($H102:K102)&lt;$G102,$G102/综合评估表!$C$7,0)</f>
        <v>0</v>
      </c>
      <c r="M102" s="132">
        <f>IF(SUM($H102:L102)&lt;$G102,$G102/综合评估表!$C$7,0)</f>
        <v>0</v>
      </c>
      <c r="N102" s="132">
        <f>IF(SUM($H102:M102)&lt;$G102,$G102/综合评估表!$C$7,0)</f>
        <v>0</v>
      </c>
      <c r="O102" s="132">
        <f>IF(SUM($H102:N102)&lt;$G102,$G102/综合评估表!$C$7,0)</f>
        <v>0</v>
      </c>
      <c r="P102" s="132">
        <f>IF(SUM($H102:O102)&lt;$G102,$G102/综合评估表!$C$7,0)</f>
        <v>0</v>
      </c>
      <c r="Q102" s="132">
        <f>IF(SUM($H102:P102)&lt;$G102,$G102/综合评估表!$C$7,0)</f>
        <v>0</v>
      </c>
      <c r="R102" s="132">
        <f>IF(SUM($H102:Q102)&lt;$G102,$G102/综合评估表!$C$7,0)</f>
        <v>0</v>
      </c>
      <c r="S102" s="132">
        <f>IF(SUM($H102:R102)&lt;$G102,$G102/综合评估表!$C$7,0)</f>
        <v>0</v>
      </c>
      <c r="T102" s="125">
        <f>SUM(U102:AF102)</f>
        <v>0</v>
      </c>
      <c r="U102" s="125">
        <f t="shared" ref="U102:AF102" si="89">H102/(1+$F$102)</f>
        <v>0</v>
      </c>
      <c r="V102" s="125">
        <f t="shared" si="89"/>
        <v>0</v>
      </c>
      <c r="W102" s="125">
        <f t="shared" si="89"/>
        <v>0</v>
      </c>
      <c r="X102" s="125">
        <f t="shared" si="89"/>
        <v>0</v>
      </c>
      <c r="Y102" s="125">
        <f t="shared" si="89"/>
        <v>0</v>
      </c>
      <c r="Z102" s="125">
        <f t="shared" si="89"/>
        <v>0</v>
      </c>
      <c r="AA102" s="125">
        <f t="shared" si="89"/>
        <v>0</v>
      </c>
      <c r="AB102" s="125">
        <f t="shared" si="89"/>
        <v>0</v>
      </c>
      <c r="AC102" s="125">
        <f t="shared" si="89"/>
        <v>0</v>
      </c>
      <c r="AD102" s="125">
        <f t="shared" si="89"/>
        <v>0</v>
      </c>
      <c r="AE102" s="125">
        <f t="shared" si="89"/>
        <v>0</v>
      </c>
      <c r="AF102" s="125">
        <f t="shared" si="89"/>
        <v>0</v>
      </c>
      <c r="AG102" s="92" t="s">
        <v>155</v>
      </c>
    </row>
    <row r="103" spans="1:33" ht="22.05" customHeight="1" x14ac:dyDescent="0.25">
      <c r="A103" s="206"/>
      <c r="B103" s="210"/>
      <c r="C103" s="230"/>
      <c r="D103" s="79" t="s">
        <v>150</v>
      </c>
      <c r="E103" s="86"/>
      <c r="F103" s="87"/>
      <c r="G103" s="119">
        <f>SUM(H103:S103)</f>
        <v>0</v>
      </c>
      <c r="H103" s="120"/>
      <c r="I103" s="120"/>
      <c r="J103" s="120"/>
      <c r="K103" s="120"/>
      <c r="L103" s="120"/>
      <c r="M103" s="120"/>
      <c r="N103" s="120"/>
      <c r="O103" s="120"/>
      <c r="P103" s="120"/>
      <c r="Q103" s="120"/>
      <c r="R103" s="120"/>
      <c r="S103" s="120"/>
      <c r="T103" s="125"/>
      <c r="U103" s="125"/>
      <c r="V103" s="125"/>
      <c r="W103" s="125"/>
      <c r="X103" s="125"/>
      <c r="Y103" s="125"/>
      <c r="Z103" s="125"/>
      <c r="AA103" s="125"/>
      <c r="AB103" s="125"/>
      <c r="AC103" s="125"/>
      <c r="AD103" s="125"/>
      <c r="AE103" s="125"/>
      <c r="AF103" s="125"/>
      <c r="AG103" s="92"/>
    </row>
    <row r="104" spans="1:33" ht="22.05" customHeight="1" x14ac:dyDescent="0.25">
      <c r="A104" s="206"/>
      <c r="B104" s="210"/>
      <c r="C104" s="231"/>
      <c r="D104" s="79" t="s">
        <v>151</v>
      </c>
      <c r="E104" s="86"/>
      <c r="F104" s="87"/>
      <c r="G104" s="121"/>
      <c r="H104" s="118" t="e">
        <f>H103/$G103</f>
        <v>#DIV/0!</v>
      </c>
      <c r="I104" s="118" t="e">
        <f t="shared" ref="I104:S104" si="90">I103/$G103</f>
        <v>#DIV/0!</v>
      </c>
      <c r="J104" s="118" t="e">
        <f t="shared" si="90"/>
        <v>#DIV/0!</v>
      </c>
      <c r="K104" s="118" t="e">
        <f t="shared" si="90"/>
        <v>#DIV/0!</v>
      </c>
      <c r="L104" s="118" t="e">
        <f t="shared" si="90"/>
        <v>#DIV/0!</v>
      </c>
      <c r="M104" s="118" t="e">
        <f t="shared" si="90"/>
        <v>#DIV/0!</v>
      </c>
      <c r="N104" s="118" t="e">
        <f t="shared" si="90"/>
        <v>#DIV/0!</v>
      </c>
      <c r="O104" s="118" t="e">
        <f t="shared" si="90"/>
        <v>#DIV/0!</v>
      </c>
      <c r="P104" s="118" t="e">
        <f t="shared" si="90"/>
        <v>#DIV/0!</v>
      </c>
      <c r="Q104" s="118" t="e">
        <f t="shared" si="90"/>
        <v>#DIV/0!</v>
      </c>
      <c r="R104" s="118" t="e">
        <f t="shared" si="90"/>
        <v>#DIV/0!</v>
      </c>
      <c r="S104" s="118" t="e">
        <f t="shared" si="90"/>
        <v>#DIV/0!</v>
      </c>
      <c r="T104" s="125"/>
      <c r="U104" s="125"/>
      <c r="V104" s="125"/>
      <c r="W104" s="125"/>
      <c r="X104" s="125"/>
      <c r="Y104" s="125"/>
      <c r="Z104" s="125"/>
      <c r="AA104" s="125"/>
      <c r="AB104" s="125"/>
      <c r="AC104" s="125"/>
      <c r="AD104" s="125"/>
      <c r="AE104" s="125"/>
      <c r="AF104" s="125"/>
      <c r="AG104" s="92"/>
    </row>
    <row r="105" spans="1:33" ht="22.05" customHeight="1" x14ac:dyDescent="0.25">
      <c r="A105" s="206"/>
      <c r="B105" s="210"/>
      <c r="C105" s="241" t="s">
        <v>156</v>
      </c>
      <c r="D105" s="79" t="s">
        <v>149</v>
      </c>
      <c r="E105" s="86"/>
      <c r="F105" s="87">
        <v>0.06</v>
      </c>
      <c r="G105" s="120"/>
      <c r="H105" s="132">
        <f>$G105/综合评估表!$C$7</f>
        <v>0</v>
      </c>
      <c r="I105" s="132">
        <f>IF(SUM($H105:H105)&lt;$G105,$G105/综合评估表!$C$7,0)</f>
        <v>0</v>
      </c>
      <c r="J105" s="132">
        <f>IF(SUM($H105:I105)&lt;$G105,$G105/综合评估表!$C$7,0)</f>
        <v>0</v>
      </c>
      <c r="K105" s="132">
        <f>IF(SUM($H105:J105)&lt;$G105,$G105/综合评估表!$C$7,0)</f>
        <v>0</v>
      </c>
      <c r="L105" s="132">
        <f>IF(SUM($H105:K105)&lt;$G105,$G105/综合评估表!$C$7,0)</f>
        <v>0</v>
      </c>
      <c r="M105" s="132">
        <f>IF(SUM($H105:L105)&lt;$G105,$G105/综合评估表!$C$7,0)</f>
        <v>0</v>
      </c>
      <c r="N105" s="132">
        <f>IF(SUM($H105:M105)&lt;$G105,$G105/综合评估表!$C$7,0)</f>
        <v>0</v>
      </c>
      <c r="O105" s="132">
        <f>IF(SUM($H105:N105)&lt;$G105,$G105/综合评估表!$C$7,0)</f>
        <v>0</v>
      </c>
      <c r="P105" s="132">
        <f>IF(SUM($H105:O105)&lt;$G105,$G105/综合评估表!$C$7,0)</f>
        <v>0</v>
      </c>
      <c r="Q105" s="132">
        <f>IF(SUM($H105:P105)&lt;$G105,$G105/综合评估表!$C$7,0)</f>
        <v>0</v>
      </c>
      <c r="R105" s="132">
        <f>IF(SUM($H105:Q105)&lt;$G105,$G105/综合评估表!$C$7,0)</f>
        <v>0</v>
      </c>
      <c r="S105" s="132">
        <f>IF(SUM($H105:R105)&lt;$G105,$G105/综合评估表!$C$7,0)</f>
        <v>0</v>
      </c>
      <c r="T105" s="125">
        <f>SUM(U105:AF105)</f>
        <v>0</v>
      </c>
      <c r="U105" s="125">
        <f t="shared" ref="U105:AF105" si="91">H105/(1+$F$105)</f>
        <v>0</v>
      </c>
      <c r="V105" s="125">
        <f t="shared" si="91"/>
        <v>0</v>
      </c>
      <c r="W105" s="125">
        <f t="shared" si="91"/>
        <v>0</v>
      </c>
      <c r="X105" s="125">
        <f t="shared" si="91"/>
        <v>0</v>
      </c>
      <c r="Y105" s="125">
        <f t="shared" si="91"/>
        <v>0</v>
      </c>
      <c r="Z105" s="125">
        <f t="shared" si="91"/>
        <v>0</v>
      </c>
      <c r="AA105" s="125">
        <f t="shared" si="91"/>
        <v>0</v>
      </c>
      <c r="AB105" s="125">
        <f t="shared" si="91"/>
        <v>0</v>
      </c>
      <c r="AC105" s="125">
        <f t="shared" si="91"/>
        <v>0</v>
      </c>
      <c r="AD105" s="125">
        <f t="shared" si="91"/>
        <v>0</v>
      </c>
      <c r="AE105" s="125">
        <f t="shared" si="91"/>
        <v>0</v>
      </c>
      <c r="AF105" s="125">
        <f t="shared" si="91"/>
        <v>0</v>
      </c>
      <c r="AG105" s="92" t="s">
        <v>157</v>
      </c>
    </row>
    <row r="106" spans="1:33" ht="22.05" customHeight="1" x14ac:dyDescent="0.25">
      <c r="A106" s="206"/>
      <c r="B106" s="210"/>
      <c r="C106" s="242"/>
      <c r="D106" s="79" t="s">
        <v>150</v>
      </c>
      <c r="E106" s="86"/>
      <c r="F106" s="87"/>
      <c r="G106" s="119">
        <f>SUM(H106:S106)</f>
        <v>0</v>
      </c>
      <c r="H106" s="120"/>
      <c r="I106" s="120"/>
      <c r="J106" s="120"/>
      <c r="K106" s="120"/>
      <c r="L106" s="120"/>
      <c r="M106" s="120"/>
      <c r="N106" s="120"/>
      <c r="O106" s="120"/>
      <c r="P106" s="120"/>
      <c r="Q106" s="120"/>
      <c r="R106" s="120"/>
      <c r="S106" s="120"/>
      <c r="T106" s="125"/>
      <c r="U106" s="125"/>
      <c r="V106" s="125"/>
      <c r="W106" s="125"/>
      <c r="X106" s="125"/>
      <c r="Y106" s="125"/>
      <c r="Z106" s="125"/>
      <c r="AA106" s="125"/>
      <c r="AB106" s="125"/>
      <c r="AC106" s="125"/>
      <c r="AD106" s="125"/>
      <c r="AE106" s="125"/>
      <c r="AF106" s="125"/>
      <c r="AG106" s="92"/>
    </row>
    <row r="107" spans="1:33" ht="22.05" customHeight="1" x14ac:dyDescent="0.25">
      <c r="A107" s="206"/>
      <c r="B107" s="210"/>
      <c r="C107" s="243"/>
      <c r="D107" s="79" t="s">
        <v>151</v>
      </c>
      <c r="E107" s="86"/>
      <c r="F107" s="87"/>
      <c r="G107" s="121"/>
      <c r="H107" s="118" t="e">
        <f>H106/$G106</f>
        <v>#DIV/0!</v>
      </c>
      <c r="I107" s="118" t="e">
        <f t="shared" ref="I107:S107" si="92">I106/$G106</f>
        <v>#DIV/0!</v>
      </c>
      <c r="J107" s="118" t="e">
        <f t="shared" si="92"/>
        <v>#DIV/0!</v>
      </c>
      <c r="K107" s="118" t="e">
        <f t="shared" si="92"/>
        <v>#DIV/0!</v>
      </c>
      <c r="L107" s="118" t="e">
        <f t="shared" si="92"/>
        <v>#DIV/0!</v>
      </c>
      <c r="M107" s="118" t="e">
        <f t="shared" si="92"/>
        <v>#DIV/0!</v>
      </c>
      <c r="N107" s="118" t="e">
        <f t="shared" si="92"/>
        <v>#DIV/0!</v>
      </c>
      <c r="O107" s="118" t="e">
        <f t="shared" si="92"/>
        <v>#DIV/0!</v>
      </c>
      <c r="P107" s="118" t="e">
        <f t="shared" si="92"/>
        <v>#DIV/0!</v>
      </c>
      <c r="Q107" s="118" t="e">
        <f t="shared" si="92"/>
        <v>#DIV/0!</v>
      </c>
      <c r="R107" s="118" t="e">
        <f t="shared" si="92"/>
        <v>#DIV/0!</v>
      </c>
      <c r="S107" s="118" t="e">
        <f t="shared" si="92"/>
        <v>#DIV/0!</v>
      </c>
      <c r="T107" s="125"/>
      <c r="U107" s="125"/>
      <c r="V107" s="125"/>
      <c r="W107" s="125"/>
      <c r="X107" s="125"/>
      <c r="Y107" s="125"/>
      <c r="Z107" s="125"/>
      <c r="AA107" s="125"/>
      <c r="AB107" s="125"/>
      <c r="AC107" s="125"/>
      <c r="AD107" s="125"/>
      <c r="AE107" s="125"/>
      <c r="AF107" s="125"/>
      <c r="AG107" s="92"/>
    </row>
    <row r="108" spans="1:33" ht="22.05" customHeight="1" x14ac:dyDescent="0.25">
      <c r="A108" s="206"/>
      <c r="B108" s="210"/>
      <c r="C108" s="241" t="s">
        <v>158</v>
      </c>
      <c r="D108" s="79" t="s">
        <v>149</v>
      </c>
      <c r="E108" s="86"/>
      <c r="F108" s="87">
        <v>0.06</v>
      </c>
      <c r="G108" s="120"/>
      <c r="H108" s="132">
        <f>$G108/综合评估表!$C$7</f>
        <v>0</v>
      </c>
      <c r="I108" s="132">
        <f>IF(SUM($H108:H108)&lt;$G108,$G108/综合评估表!$C$7,0)</f>
        <v>0</v>
      </c>
      <c r="J108" s="132">
        <f>IF(SUM($H108:I108)&lt;$G108,$G108/综合评估表!$C$7,0)</f>
        <v>0</v>
      </c>
      <c r="K108" s="132">
        <f>IF(SUM($H108:J108)&lt;$G108,$G108/综合评估表!$C$7,0)</f>
        <v>0</v>
      </c>
      <c r="L108" s="132">
        <f>IF(SUM($H108:K108)&lt;$G108,$G108/综合评估表!$C$7,0)</f>
        <v>0</v>
      </c>
      <c r="M108" s="132">
        <f>IF(SUM($H108:L108)&lt;$G108,$G108/综合评估表!$C$7,0)</f>
        <v>0</v>
      </c>
      <c r="N108" s="132">
        <f>IF(SUM($H108:M108)&lt;$G108,$G108/综合评估表!$C$7,0)</f>
        <v>0</v>
      </c>
      <c r="O108" s="132">
        <f>IF(SUM($H108:N108)&lt;$G108,$G108/综合评估表!$C$7,0)</f>
        <v>0</v>
      </c>
      <c r="P108" s="132">
        <f>IF(SUM($H108:O108)&lt;$G108,$G108/综合评估表!$C$7,0)</f>
        <v>0</v>
      </c>
      <c r="Q108" s="132">
        <f>IF(SUM($H108:P108)&lt;$G108,$G108/综合评估表!$C$7,0)</f>
        <v>0</v>
      </c>
      <c r="R108" s="132">
        <f>IF(SUM($H108:Q108)&lt;$G108,$G108/综合评估表!$C$7,0)</f>
        <v>0</v>
      </c>
      <c r="S108" s="132">
        <f>IF(SUM($H108:R108)&lt;$G108,$G108/综合评估表!$C$7,0)</f>
        <v>0</v>
      </c>
      <c r="T108" s="125">
        <f>SUM(U108:AF108)</f>
        <v>0</v>
      </c>
      <c r="U108" s="125">
        <f t="shared" ref="U108:AF108" si="93">H108/(1+$F$108)</f>
        <v>0</v>
      </c>
      <c r="V108" s="125">
        <f t="shared" si="93"/>
        <v>0</v>
      </c>
      <c r="W108" s="125">
        <f t="shared" si="93"/>
        <v>0</v>
      </c>
      <c r="X108" s="125">
        <f t="shared" si="93"/>
        <v>0</v>
      </c>
      <c r="Y108" s="125">
        <f t="shared" si="93"/>
        <v>0</v>
      </c>
      <c r="Z108" s="125">
        <f t="shared" si="93"/>
        <v>0</v>
      </c>
      <c r="AA108" s="125">
        <f t="shared" si="93"/>
        <v>0</v>
      </c>
      <c r="AB108" s="125">
        <f t="shared" si="93"/>
        <v>0</v>
      </c>
      <c r="AC108" s="125">
        <f t="shared" si="93"/>
        <v>0</v>
      </c>
      <c r="AD108" s="125">
        <f t="shared" si="93"/>
        <v>0</v>
      </c>
      <c r="AE108" s="125">
        <f t="shared" si="93"/>
        <v>0</v>
      </c>
      <c r="AF108" s="125">
        <f t="shared" si="93"/>
        <v>0</v>
      </c>
      <c r="AG108" s="257" t="s">
        <v>159</v>
      </c>
    </row>
    <row r="109" spans="1:33" ht="22.05" customHeight="1" x14ac:dyDescent="0.25">
      <c r="A109" s="206"/>
      <c r="B109" s="210"/>
      <c r="C109" s="242"/>
      <c r="D109" s="79" t="s">
        <v>150</v>
      </c>
      <c r="E109" s="86"/>
      <c r="F109" s="87"/>
      <c r="G109" s="119">
        <f t="shared" ref="G109:G112" si="94">SUM(H109:S109)</f>
        <v>0</v>
      </c>
      <c r="H109" s="120"/>
      <c r="I109" s="120"/>
      <c r="J109" s="120"/>
      <c r="K109" s="120"/>
      <c r="L109" s="120"/>
      <c r="M109" s="120"/>
      <c r="N109" s="120"/>
      <c r="O109" s="120"/>
      <c r="P109" s="120"/>
      <c r="Q109" s="120"/>
      <c r="R109" s="120"/>
      <c r="S109" s="120"/>
      <c r="T109" s="125"/>
      <c r="U109" s="125"/>
      <c r="V109" s="125"/>
      <c r="W109" s="125"/>
      <c r="X109" s="125"/>
      <c r="Y109" s="125"/>
      <c r="Z109" s="125"/>
      <c r="AA109" s="125"/>
      <c r="AB109" s="125"/>
      <c r="AC109" s="125"/>
      <c r="AD109" s="125"/>
      <c r="AE109" s="125"/>
      <c r="AF109" s="125"/>
      <c r="AG109" s="258"/>
    </row>
    <row r="110" spans="1:33" ht="22.05" customHeight="1" x14ac:dyDescent="0.25">
      <c r="A110" s="206"/>
      <c r="B110" s="210"/>
      <c r="C110" s="243"/>
      <c r="D110" s="79" t="s">
        <v>151</v>
      </c>
      <c r="E110" s="86"/>
      <c r="F110" s="87"/>
      <c r="G110" s="121"/>
      <c r="H110" s="118" t="e">
        <f>H109/$G109</f>
        <v>#DIV/0!</v>
      </c>
      <c r="I110" s="118" t="e">
        <f t="shared" ref="I110:S110" si="95">I109/$G109</f>
        <v>#DIV/0!</v>
      </c>
      <c r="J110" s="118" t="e">
        <f t="shared" si="95"/>
        <v>#DIV/0!</v>
      </c>
      <c r="K110" s="118" t="e">
        <f t="shared" si="95"/>
        <v>#DIV/0!</v>
      </c>
      <c r="L110" s="118" t="e">
        <f t="shared" si="95"/>
        <v>#DIV/0!</v>
      </c>
      <c r="M110" s="118" t="e">
        <f t="shared" si="95"/>
        <v>#DIV/0!</v>
      </c>
      <c r="N110" s="118" t="e">
        <f t="shared" si="95"/>
        <v>#DIV/0!</v>
      </c>
      <c r="O110" s="118" t="e">
        <f t="shared" si="95"/>
        <v>#DIV/0!</v>
      </c>
      <c r="P110" s="118" t="e">
        <f t="shared" si="95"/>
        <v>#DIV/0!</v>
      </c>
      <c r="Q110" s="118" t="e">
        <f t="shared" si="95"/>
        <v>#DIV/0!</v>
      </c>
      <c r="R110" s="118" t="e">
        <f t="shared" si="95"/>
        <v>#DIV/0!</v>
      </c>
      <c r="S110" s="118" t="e">
        <f t="shared" si="95"/>
        <v>#DIV/0!</v>
      </c>
      <c r="T110" s="125"/>
      <c r="U110" s="125"/>
      <c r="V110" s="125"/>
      <c r="W110" s="125"/>
      <c r="X110" s="125"/>
      <c r="Y110" s="125"/>
      <c r="Z110" s="125"/>
      <c r="AA110" s="125"/>
      <c r="AB110" s="125"/>
      <c r="AC110" s="125"/>
      <c r="AD110" s="125"/>
      <c r="AE110" s="125"/>
      <c r="AF110" s="125"/>
      <c r="AG110" s="258"/>
    </row>
    <row r="111" spans="1:33" ht="22.05" customHeight="1" x14ac:dyDescent="0.25">
      <c r="A111" s="206"/>
      <c r="B111" s="210"/>
      <c r="C111" s="241" t="s">
        <v>160</v>
      </c>
      <c r="D111" s="79" t="s">
        <v>149</v>
      </c>
      <c r="E111" s="86"/>
      <c r="F111" s="87">
        <v>0.09</v>
      </c>
      <c r="G111" s="120"/>
      <c r="H111" s="132">
        <f>$G111/综合评估表!$C$7</f>
        <v>0</v>
      </c>
      <c r="I111" s="132">
        <f>IF(SUM($H111:H111)&lt;$G111,$G111/综合评估表!$C$7,0)</f>
        <v>0</v>
      </c>
      <c r="J111" s="132">
        <f>IF(SUM($H111:I111)&lt;$G111,$G111/综合评估表!$C$7,0)</f>
        <v>0</v>
      </c>
      <c r="K111" s="132">
        <f>IF(SUM($H111:J111)&lt;$G111,$G111/综合评估表!$C$7,0)</f>
        <v>0</v>
      </c>
      <c r="L111" s="132">
        <f>IF(SUM($H111:K111)&lt;$G111,$G111/综合评估表!$C$7,0)</f>
        <v>0</v>
      </c>
      <c r="M111" s="132">
        <f>IF(SUM($H111:L111)&lt;$G111,$G111/综合评估表!$C$7,0)</f>
        <v>0</v>
      </c>
      <c r="N111" s="132">
        <f>IF(SUM($H111:M111)&lt;$G111,$G111/综合评估表!$C$7,0)</f>
        <v>0</v>
      </c>
      <c r="O111" s="132">
        <f>IF(SUM($H111:N111)&lt;$G111,$G111/综合评估表!$C$7,0)</f>
        <v>0</v>
      </c>
      <c r="P111" s="132">
        <f>IF(SUM($H111:O111)&lt;$G111,$G111/综合评估表!$C$7,0)</f>
        <v>0</v>
      </c>
      <c r="Q111" s="132">
        <f>IF(SUM($H111:P111)&lt;$G111,$G111/综合评估表!$C$7,0)</f>
        <v>0</v>
      </c>
      <c r="R111" s="132">
        <f>IF(SUM($H111:Q111)&lt;$G111,$G111/综合评估表!$C$7,0)</f>
        <v>0</v>
      </c>
      <c r="S111" s="132">
        <f>IF(SUM($H111:R111)&lt;$G111,$G111/综合评估表!$C$7,0)</f>
        <v>0</v>
      </c>
      <c r="T111" s="125">
        <f>SUM(U111:AF111)</f>
        <v>0</v>
      </c>
      <c r="U111" s="125">
        <f>H111/(1+$F$111)</f>
        <v>0</v>
      </c>
      <c r="V111" s="125">
        <f t="shared" ref="V111:AF111" si="96">I111/(1+$F$111)</f>
        <v>0</v>
      </c>
      <c r="W111" s="125">
        <f t="shared" si="96"/>
        <v>0</v>
      </c>
      <c r="X111" s="125">
        <f t="shared" si="96"/>
        <v>0</v>
      </c>
      <c r="Y111" s="125">
        <f t="shared" si="96"/>
        <v>0</v>
      </c>
      <c r="Z111" s="125">
        <f t="shared" si="96"/>
        <v>0</v>
      </c>
      <c r="AA111" s="125">
        <f t="shared" si="96"/>
        <v>0</v>
      </c>
      <c r="AB111" s="125">
        <f t="shared" si="96"/>
        <v>0</v>
      </c>
      <c r="AC111" s="125">
        <f t="shared" si="96"/>
        <v>0</v>
      </c>
      <c r="AD111" s="125">
        <f t="shared" si="96"/>
        <v>0</v>
      </c>
      <c r="AE111" s="125">
        <f t="shared" si="96"/>
        <v>0</v>
      </c>
      <c r="AF111" s="125">
        <f t="shared" si="96"/>
        <v>0</v>
      </c>
      <c r="AG111" s="258"/>
    </row>
    <row r="112" spans="1:33" ht="22.05" customHeight="1" x14ac:dyDescent="0.25">
      <c r="A112" s="206"/>
      <c r="B112" s="210"/>
      <c r="C112" s="242"/>
      <c r="D112" s="79" t="s">
        <v>150</v>
      </c>
      <c r="E112" s="86"/>
      <c r="F112" s="87"/>
      <c r="G112" s="119">
        <f t="shared" si="94"/>
        <v>0</v>
      </c>
      <c r="H112" s="120"/>
      <c r="I112" s="120"/>
      <c r="J112" s="120"/>
      <c r="K112" s="120"/>
      <c r="L112" s="120"/>
      <c r="M112" s="120"/>
      <c r="N112" s="120"/>
      <c r="O112" s="120"/>
      <c r="P112" s="120"/>
      <c r="Q112" s="120"/>
      <c r="R112" s="120"/>
      <c r="S112" s="120"/>
      <c r="T112" s="125"/>
      <c r="U112" s="125"/>
      <c r="V112" s="125"/>
      <c r="W112" s="125"/>
      <c r="X112" s="125"/>
      <c r="Y112" s="125"/>
      <c r="Z112" s="125"/>
      <c r="AA112" s="125"/>
      <c r="AB112" s="125"/>
      <c r="AC112" s="125"/>
      <c r="AD112" s="125"/>
      <c r="AE112" s="125"/>
      <c r="AF112" s="125"/>
      <c r="AG112" s="258"/>
    </row>
    <row r="113" spans="1:33" ht="22.05" customHeight="1" x14ac:dyDescent="0.25">
      <c r="A113" s="206"/>
      <c r="B113" s="210"/>
      <c r="C113" s="243"/>
      <c r="D113" s="79" t="s">
        <v>151</v>
      </c>
      <c r="E113" s="86"/>
      <c r="F113" s="87"/>
      <c r="G113" s="121"/>
      <c r="H113" s="118" t="e">
        <f>H112/$G112</f>
        <v>#DIV/0!</v>
      </c>
      <c r="I113" s="118" t="e">
        <f t="shared" ref="I113:S113" si="97">I112/$G112</f>
        <v>#DIV/0!</v>
      </c>
      <c r="J113" s="118" t="e">
        <f t="shared" si="97"/>
        <v>#DIV/0!</v>
      </c>
      <c r="K113" s="118" t="e">
        <f t="shared" si="97"/>
        <v>#DIV/0!</v>
      </c>
      <c r="L113" s="118" t="e">
        <f t="shared" si="97"/>
        <v>#DIV/0!</v>
      </c>
      <c r="M113" s="118" t="e">
        <f t="shared" si="97"/>
        <v>#DIV/0!</v>
      </c>
      <c r="N113" s="118" t="e">
        <f t="shared" si="97"/>
        <v>#DIV/0!</v>
      </c>
      <c r="O113" s="118" t="e">
        <f t="shared" si="97"/>
        <v>#DIV/0!</v>
      </c>
      <c r="P113" s="118" t="e">
        <f t="shared" si="97"/>
        <v>#DIV/0!</v>
      </c>
      <c r="Q113" s="118" t="e">
        <f t="shared" si="97"/>
        <v>#DIV/0!</v>
      </c>
      <c r="R113" s="118" t="e">
        <f t="shared" si="97"/>
        <v>#DIV/0!</v>
      </c>
      <c r="S113" s="118" t="e">
        <f t="shared" si="97"/>
        <v>#DIV/0!</v>
      </c>
      <c r="T113" s="125"/>
      <c r="U113" s="125"/>
      <c r="V113" s="125"/>
      <c r="W113" s="125"/>
      <c r="X113" s="125"/>
      <c r="Y113" s="125"/>
      <c r="Z113" s="125"/>
      <c r="AA113" s="125"/>
      <c r="AB113" s="125"/>
      <c r="AC113" s="125"/>
      <c r="AD113" s="125"/>
      <c r="AE113" s="125"/>
      <c r="AF113" s="125"/>
      <c r="AG113" s="259"/>
    </row>
    <row r="114" spans="1:33" ht="22.05" customHeight="1" x14ac:dyDescent="0.25">
      <c r="A114" s="206"/>
      <c r="B114" s="210"/>
      <c r="C114" s="241" t="s">
        <v>161</v>
      </c>
      <c r="D114" s="79" t="s">
        <v>149</v>
      </c>
      <c r="E114" s="86"/>
      <c r="F114" s="87">
        <v>0.09</v>
      </c>
      <c r="G114" s="120"/>
      <c r="H114" s="132">
        <f>$G114/综合评估表!$C$7</f>
        <v>0</v>
      </c>
      <c r="I114" s="132">
        <f>IF(SUM($H114:H114)&lt;$G114,$G114/综合评估表!$C$7,0)</f>
        <v>0</v>
      </c>
      <c r="J114" s="132">
        <f>IF(SUM($H114:I114)&lt;$G114,$G114/综合评估表!$C$7,0)</f>
        <v>0</v>
      </c>
      <c r="K114" s="132">
        <f>IF(SUM($H114:J114)&lt;$G114,$G114/综合评估表!$C$7,0)</f>
        <v>0</v>
      </c>
      <c r="L114" s="132">
        <f>IF(SUM($H114:K114)&lt;$G114,$G114/综合评估表!$C$7,0)</f>
        <v>0</v>
      </c>
      <c r="M114" s="132">
        <f>IF(SUM($H114:L114)&lt;$G114,$G114/综合评估表!$C$7,0)</f>
        <v>0</v>
      </c>
      <c r="N114" s="132">
        <f>IF(SUM($H114:M114)&lt;$G114,$G114/综合评估表!$C$7,0)</f>
        <v>0</v>
      </c>
      <c r="O114" s="132">
        <f>IF(SUM($H114:N114)&lt;$G114,$G114/综合评估表!$C$7,0)</f>
        <v>0</v>
      </c>
      <c r="P114" s="132">
        <f>IF(SUM($H114:O114)&lt;$G114,$G114/综合评估表!$C$7,0)</f>
        <v>0</v>
      </c>
      <c r="Q114" s="132">
        <f>IF(SUM($H114:P114)&lt;$G114,$G114/综合评估表!$C$7,0)</f>
        <v>0</v>
      </c>
      <c r="R114" s="132">
        <f>IF(SUM($H114:Q114)&lt;$G114,$G114/综合评估表!$C$7,0)</f>
        <v>0</v>
      </c>
      <c r="S114" s="132">
        <f>IF(SUM($H114:R114)&lt;$G114,$G114/综合评估表!$C$7,0)</f>
        <v>0</v>
      </c>
      <c r="T114" s="125">
        <f>SUM(U114:AF114)</f>
        <v>0</v>
      </c>
      <c r="U114" s="125">
        <f t="shared" ref="U114:AF114" si="98">H114/(1+$F$114)</f>
        <v>0</v>
      </c>
      <c r="V114" s="125">
        <f t="shared" si="98"/>
        <v>0</v>
      </c>
      <c r="W114" s="125">
        <f t="shared" si="98"/>
        <v>0</v>
      </c>
      <c r="X114" s="125">
        <f t="shared" si="98"/>
        <v>0</v>
      </c>
      <c r="Y114" s="125">
        <f t="shared" si="98"/>
        <v>0</v>
      </c>
      <c r="Z114" s="125">
        <f t="shared" si="98"/>
        <v>0</v>
      </c>
      <c r="AA114" s="125">
        <f t="shared" si="98"/>
        <v>0</v>
      </c>
      <c r="AB114" s="125">
        <f t="shared" si="98"/>
        <v>0</v>
      </c>
      <c r="AC114" s="125">
        <f t="shared" si="98"/>
        <v>0</v>
      </c>
      <c r="AD114" s="125">
        <f t="shared" si="98"/>
        <v>0</v>
      </c>
      <c r="AE114" s="125">
        <f t="shared" si="98"/>
        <v>0</v>
      </c>
      <c r="AF114" s="125">
        <f t="shared" si="98"/>
        <v>0</v>
      </c>
      <c r="AG114" s="92" t="s">
        <v>162</v>
      </c>
    </row>
    <row r="115" spans="1:33" ht="22.05" customHeight="1" x14ac:dyDescent="0.25">
      <c r="A115" s="206"/>
      <c r="B115" s="210"/>
      <c r="C115" s="242"/>
      <c r="D115" s="79" t="s">
        <v>150</v>
      </c>
      <c r="E115" s="86"/>
      <c r="F115" s="87"/>
      <c r="G115" s="119">
        <f>SUM(H115:S115)</f>
        <v>0</v>
      </c>
      <c r="H115" s="120"/>
      <c r="I115" s="120"/>
      <c r="J115" s="120"/>
      <c r="K115" s="120"/>
      <c r="L115" s="120"/>
      <c r="M115" s="120"/>
      <c r="N115" s="120"/>
      <c r="O115" s="120"/>
      <c r="P115" s="120"/>
      <c r="Q115" s="120"/>
      <c r="R115" s="120"/>
      <c r="S115" s="120"/>
      <c r="T115" s="125"/>
      <c r="U115" s="125"/>
      <c r="V115" s="125"/>
      <c r="W115" s="125"/>
      <c r="X115" s="125"/>
      <c r="Y115" s="125"/>
      <c r="Z115" s="125"/>
      <c r="AA115" s="125"/>
      <c r="AB115" s="125"/>
      <c r="AC115" s="125"/>
      <c r="AD115" s="125"/>
      <c r="AE115" s="125"/>
      <c r="AF115" s="125"/>
      <c r="AG115" s="92"/>
    </row>
    <row r="116" spans="1:33" ht="22.05" customHeight="1" x14ac:dyDescent="0.25">
      <c r="A116" s="206"/>
      <c r="B116" s="210"/>
      <c r="C116" s="243"/>
      <c r="D116" s="79" t="s">
        <v>151</v>
      </c>
      <c r="E116" s="86"/>
      <c r="F116" s="87"/>
      <c r="G116" s="121"/>
      <c r="H116" s="118" t="e">
        <f>H115/$G115</f>
        <v>#DIV/0!</v>
      </c>
      <c r="I116" s="118" t="e">
        <f t="shared" ref="I116:S116" si="99">I115/$G115</f>
        <v>#DIV/0!</v>
      </c>
      <c r="J116" s="118" t="e">
        <f t="shared" si="99"/>
        <v>#DIV/0!</v>
      </c>
      <c r="K116" s="118" t="e">
        <f t="shared" si="99"/>
        <v>#DIV/0!</v>
      </c>
      <c r="L116" s="118" t="e">
        <f t="shared" si="99"/>
        <v>#DIV/0!</v>
      </c>
      <c r="M116" s="118" t="e">
        <f t="shared" si="99"/>
        <v>#DIV/0!</v>
      </c>
      <c r="N116" s="118" t="e">
        <f t="shared" si="99"/>
        <v>#DIV/0!</v>
      </c>
      <c r="O116" s="118" t="e">
        <f t="shared" si="99"/>
        <v>#DIV/0!</v>
      </c>
      <c r="P116" s="118" t="e">
        <f t="shared" si="99"/>
        <v>#DIV/0!</v>
      </c>
      <c r="Q116" s="118" t="e">
        <f t="shared" si="99"/>
        <v>#DIV/0!</v>
      </c>
      <c r="R116" s="118" t="e">
        <f t="shared" si="99"/>
        <v>#DIV/0!</v>
      </c>
      <c r="S116" s="118" t="e">
        <f t="shared" si="99"/>
        <v>#DIV/0!</v>
      </c>
      <c r="T116" s="125"/>
      <c r="U116" s="125"/>
      <c r="V116" s="125"/>
      <c r="W116" s="125"/>
      <c r="X116" s="125"/>
      <c r="Y116" s="125"/>
      <c r="Z116" s="125"/>
      <c r="AA116" s="125"/>
      <c r="AB116" s="125"/>
      <c r="AC116" s="125"/>
      <c r="AD116" s="125"/>
      <c r="AE116" s="125"/>
      <c r="AF116" s="125"/>
      <c r="AG116" s="92"/>
    </row>
    <row r="117" spans="1:33" ht="22.05" customHeight="1" x14ac:dyDescent="0.25">
      <c r="A117" s="206"/>
      <c r="B117" s="210"/>
      <c r="C117" s="241" t="s">
        <v>163</v>
      </c>
      <c r="D117" s="79" t="s">
        <v>149</v>
      </c>
      <c r="E117" s="86"/>
      <c r="F117" s="87">
        <v>0.09</v>
      </c>
      <c r="G117" s="120"/>
      <c r="H117" s="132">
        <f>$G117/综合评估表!$C$7</f>
        <v>0</v>
      </c>
      <c r="I117" s="132">
        <f>IF(SUM($H117:H117)&lt;$G117,$G117/综合评估表!$C$7,0)</f>
        <v>0</v>
      </c>
      <c r="J117" s="132">
        <f>IF(SUM($H117:I117)&lt;$G117,$G117/综合评估表!$C$7,0)</f>
        <v>0</v>
      </c>
      <c r="K117" s="132">
        <f>IF(SUM($H117:J117)&lt;$G117,$G117/综合评估表!$C$7,0)</f>
        <v>0</v>
      </c>
      <c r="L117" s="132">
        <f>IF(SUM($H117:K117)&lt;$G117,$G117/综合评估表!$C$7,0)</f>
        <v>0</v>
      </c>
      <c r="M117" s="132">
        <f>IF(SUM($H117:L117)&lt;$G117,$G117/综合评估表!$C$7,0)</f>
        <v>0</v>
      </c>
      <c r="N117" s="132">
        <f>IF(SUM($H117:M117)&lt;$G117,$G117/综合评估表!$C$7,0)</f>
        <v>0</v>
      </c>
      <c r="O117" s="132">
        <f>IF(SUM($H117:N117)&lt;$G117,$G117/综合评估表!$C$7,0)</f>
        <v>0</v>
      </c>
      <c r="P117" s="132">
        <f>IF(SUM($H117:O117)&lt;$G117,$G117/综合评估表!$C$7,0)</f>
        <v>0</v>
      </c>
      <c r="Q117" s="132">
        <f>IF(SUM($H117:P117)&lt;$G117,$G117/综合评估表!$C$7,0)</f>
        <v>0</v>
      </c>
      <c r="R117" s="132">
        <f>IF(SUM($H117:Q117)&lt;$G117,$G117/综合评估表!$C$7,0)</f>
        <v>0</v>
      </c>
      <c r="S117" s="132">
        <f>IF(SUM($H117:R117)&lt;$G117,$G117/综合评估表!$C$7,0)</f>
        <v>0</v>
      </c>
      <c r="T117" s="125">
        <f>SUM(U117:AF117)</f>
        <v>0</v>
      </c>
      <c r="U117" s="125">
        <f>H117/(1+$F$117)</f>
        <v>0</v>
      </c>
      <c r="V117" s="125">
        <f t="shared" ref="V117:AF117" si="100">I117/(1+$F$117)</f>
        <v>0</v>
      </c>
      <c r="W117" s="125">
        <f t="shared" si="100"/>
        <v>0</v>
      </c>
      <c r="X117" s="125">
        <f t="shared" si="100"/>
        <v>0</v>
      </c>
      <c r="Y117" s="125">
        <f t="shared" si="100"/>
        <v>0</v>
      </c>
      <c r="Z117" s="125">
        <f t="shared" si="100"/>
        <v>0</v>
      </c>
      <c r="AA117" s="125">
        <f t="shared" si="100"/>
        <v>0</v>
      </c>
      <c r="AB117" s="125">
        <f t="shared" si="100"/>
        <v>0</v>
      </c>
      <c r="AC117" s="125">
        <f t="shared" si="100"/>
        <v>0</v>
      </c>
      <c r="AD117" s="125">
        <f t="shared" si="100"/>
        <v>0</v>
      </c>
      <c r="AE117" s="125">
        <f t="shared" si="100"/>
        <v>0</v>
      </c>
      <c r="AF117" s="125">
        <f t="shared" si="100"/>
        <v>0</v>
      </c>
      <c r="AG117" s="92" t="s">
        <v>164</v>
      </c>
    </row>
    <row r="118" spans="1:33" ht="22.05" customHeight="1" x14ac:dyDescent="0.25">
      <c r="A118" s="206"/>
      <c r="B118" s="210"/>
      <c r="C118" s="242"/>
      <c r="D118" s="79" t="s">
        <v>150</v>
      </c>
      <c r="E118" s="86"/>
      <c r="F118" s="87"/>
      <c r="G118" s="119">
        <f>SUM(H118:S118)</f>
        <v>0</v>
      </c>
      <c r="H118" s="120"/>
      <c r="I118" s="120"/>
      <c r="J118" s="120"/>
      <c r="K118" s="120"/>
      <c r="L118" s="120"/>
      <c r="M118" s="120"/>
      <c r="N118" s="120"/>
      <c r="O118" s="120"/>
      <c r="P118" s="120"/>
      <c r="Q118" s="120"/>
      <c r="R118" s="120"/>
      <c r="S118" s="120"/>
      <c r="T118" s="125"/>
      <c r="U118" s="125"/>
      <c r="V118" s="125"/>
      <c r="W118" s="125"/>
      <c r="X118" s="125"/>
      <c r="Y118" s="125"/>
      <c r="Z118" s="125"/>
      <c r="AA118" s="125"/>
      <c r="AB118" s="125"/>
      <c r="AC118" s="125"/>
      <c r="AD118" s="125"/>
      <c r="AE118" s="125"/>
      <c r="AF118" s="125"/>
      <c r="AG118" s="92"/>
    </row>
    <row r="119" spans="1:33" ht="22.05" customHeight="1" x14ac:dyDescent="0.25">
      <c r="A119" s="206"/>
      <c r="B119" s="210"/>
      <c r="C119" s="243"/>
      <c r="D119" s="79" t="s">
        <v>151</v>
      </c>
      <c r="E119" s="86"/>
      <c r="F119" s="87"/>
      <c r="G119" s="121"/>
      <c r="H119" s="118" t="e">
        <f>H118/$G118</f>
        <v>#DIV/0!</v>
      </c>
      <c r="I119" s="118" t="e">
        <f t="shared" ref="I119:S119" si="101">I118/$G118</f>
        <v>#DIV/0!</v>
      </c>
      <c r="J119" s="118" t="e">
        <f t="shared" si="101"/>
        <v>#DIV/0!</v>
      </c>
      <c r="K119" s="118" t="e">
        <f t="shared" si="101"/>
        <v>#DIV/0!</v>
      </c>
      <c r="L119" s="118" t="e">
        <f t="shared" si="101"/>
        <v>#DIV/0!</v>
      </c>
      <c r="M119" s="118" t="e">
        <f t="shared" si="101"/>
        <v>#DIV/0!</v>
      </c>
      <c r="N119" s="118" t="e">
        <f t="shared" si="101"/>
        <v>#DIV/0!</v>
      </c>
      <c r="O119" s="118" t="e">
        <f t="shared" si="101"/>
        <v>#DIV/0!</v>
      </c>
      <c r="P119" s="118" t="e">
        <f t="shared" si="101"/>
        <v>#DIV/0!</v>
      </c>
      <c r="Q119" s="118" t="e">
        <f t="shared" si="101"/>
        <v>#DIV/0!</v>
      </c>
      <c r="R119" s="118" t="e">
        <f t="shared" si="101"/>
        <v>#DIV/0!</v>
      </c>
      <c r="S119" s="118" t="e">
        <f t="shared" si="101"/>
        <v>#DIV/0!</v>
      </c>
      <c r="T119" s="125"/>
      <c r="U119" s="125"/>
      <c r="V119" s="125"/>
      <c r="W119" s="125"/>
      <c r="X119" s="125"/>
      <c r="Y119" s="125"/>
      <c r="Z119" s="125"/>
      <c r="AA119" s="125"/>
      <c r="AB119" s="125"/>
      <c r="AC119" s="125"/>
      <c r="AD119" s="125"/>
      <c r="AE119" s="125"/>
      <c r="AF119" s="125"/>
      <c r="AG119" s="92"/>
    </row>
    <row r="120" spans="1:33" ht="22.05" customHeight="1" x14ac:dyDescent="0.25">
      <c r="A120" s="206"/>
      <c r="B120" s="210"/>
      <c r="C120" s="86" t="s">
        <v>125</v>
      </c>
      <c r="D120" s="86"/>
      <c r="E120" s="86"/>
      <c r="F120" s="87"/>
      <c r="G120" s="120"/>
      <c r="H120" s="132">
        <f>$G120/综合评估表!$C$7</f>
        <v>0</v>
      </c>
      <c r="I120" s="132">
        <f>IF(SUM($H120:H120)&lt;$G120,$G120/综合评估表!$C$7,0)</f>
        <v>0</v>
      </c>
      <c r="J120" s="132">
        <f>IF(SUM($H120:I120)&lt;$G120,$G120/综合评估表!$C$7,0)</f>
        <v>0</v>
      </c>
      <c r="K120" s="132">
        <f>IF(SUM($H120:J120)&lt;$G120,$G120/综合评估表!$C$7,0)</f>
        <v>0</v>
      </c>
      <c r="L120" s="132">
        <f>IF(SUM($H120:K120)&lt;$G120,$G120/综合评估表!$C$7,0)</f>
        <v>0</v>
      </c>
      <c r="M120" s="132">
        <f>IF(SUM($H120:L120)&lt;$G120,$G120/综合评估表!$C$7,0)</f>
        <v>0</v>
      </c>
      <c r="N120" s="132">
        <f>IF(SUM($H120:M120)&lt;$G120,$G120/综合评估表!$C$7,0)</f>
        <v>0</v>
      </c>
      <c r="O120" s="132">
        <f>IF(SUM($H120:N120)&lt;$G120,$G120/综合评估表!$C$7,0)</f>
        <v>0</v>
      </c>
      <c r="P120" s="132">
        <f>IF(SUM($H120:O120)&lt;$G120,$G120/综合评估表!$C$7,0)</f>
        <v>0</v>
      </c>
      <c r="Q120" s="132">
        <f>IF(SUM($H120:P120)&lt;$G120,$G120/综合评估表!$C$7,0)</f>
        <v>0</v>
      </c>
      <c r="R120" s="132">
        <f>IF(SUM($H120:Q120)&lt;$G120,$G120/综合评估表!$C$7,0)</f>
        <v>0</v>
      </c>
      <c r="S120" s="132">
        <f>IF(SUM($H120:R120)&lt;$G120,$G120/综合评估表!$C$7,0)</f>
        <v>0</v>
      </c>
      <c r="T120" s="125">
        <f>SUM(U120:AF120)</f>
        <v>0</v>
      </c>
      <c r="U120" s="125">
        <f t="shared" ref="U120:AF120" si="102">H120/(1+$F$120)</f>
        <v>0</v>
      </c>
      <c r="V120" s="125">
        <f t="shared" si="102"/>
        <v>0</v>
      </c>
      <c r="W120" s="125">
        <f t="shared" si="102"/>
        <v>0</v>
      </c>
      <c r="X120" s="125">
        <f t="shared" si="102"/>
        <v>0</v>
      </c>
      <c r="Y120" s="125">
        <f t="shared" si="102"/>
        <v>0</v>
      </c>
      <c r="Z120" s="125">
        <f t="shared" si="102"/>
        <v>0</v>
      </c>
      <c r="AA120" s="125">
        <f t="shared" si="102"/>
        <v>0</v>
      </c>
      <c r="AB120" s="125">
        <f t="shared" si="102"/>
        <v>0</v>
      </c>
      <c r="AC120" s="125">
        <f t="shared" si="102"/>
        <v>0</v>
      </c>
      <c r="AD120" s="125">
        <f t="shared" si="102"/>
        <v>0</v>
      </c>
      <c r="AE120" s="125">
        <f t="shared" si="102"/>
        <v>0</v>
      </c>
      <c r="AF120" s="125">
        <f t="shared" si="102"/>
        <v>0</v>
      </c>
      <c r="AG120" s="92" t="s">
        <v>165</v>
      </c>
    </row>
    <row r="121" spans="1:33" ht="22.05" customHeight="1" x14ac:dyDescent="0.25">
      <c r="A121" s="206"/>
      <c r="B121" s="211" t="s">
        <v>166</v>
      </c>
      <c r="C121" s="246" t="s">
        <v>167</v>
      </c>
      <c r="D121" s="79" t="s">
        <v>149</v>
      </c>
      <c r="E121" s="133"/>
      <c r="F121" s="87"/>
      <c r="G121" s="134">
        <f>SUM(G124+G127+G130+G133+G136)</f>
        <v>0</v>
      </c>
      <c r="H121" s="134">
        <f t="shared" ref="H121:T121" si="103">SUM(H124+H127+H130+H133+H136)</f>
        <v>0</v>
      </c>
      <c r="I121" s="134">
        <f t="shared" si="103"/>
        <v>0</v>
      </c>
      <c r="J121" s="134">
        <f t="shared" si="103"/>
        <v>0</v>
      </c>
      <c r="K121" s="134">
        <f t="shared" si="103"/>
        <v>0</v>
      </c>
      <c r="L121" s="134">
        <f t="shared" si="103"/>
        <v>0</v>
      </c>
      <c r="M121" s="134">
        <f t="shared" si="103"/>
        <v>0</v>
      </c>
      <c r="N121" s="134">
        <f t="shared" si="103"/>
        <v>0</v>
      </c>
      <c r="O121" s="134">
        <f t="shared" si="103"/>
        <v>0</v>
      </c>
      <c r="P121" s="134">
        <f t="shared" si="103"/>
        <v>0</v>
      </c>
      <c r="Q121" s="134">
        <f t="shared" si="103"/>
        <v>0</v>
      </c>
      <c r="R121" s="134">
        <f t="shared" si="103"/>
        <v>0</v>
      </c>
      <c r="S121" s="134">
        <f t="shared" si="103"/>
        <v>0</v>
      </c>
      <c r="T121" s="134">
        <f t="shared" si="103"/>
        <v>0</v>
      </c>
      <c r="U121" s="134">
        <f t="shared" ref="U121:AE121" si="104">SUM(U124+U127+U130+U133+U136)</f>
        <v>0</v>
      </c>
      <c r="V121" s="134">
        <f t="shared" si="104"/>
        <v>0</v>
      </c>
      <c r="W121" s="134">
        <f t="shared" si="104"/>
        <v>0</v>
      </c>
      <c r="X121" s="134">
        <f t="shared" si="104"/>
        <v>0</v>
      </c>
      <c r="Y121" s="134">
        <f t="shared" si="104"/>
        <v>0</v>
      </c>
      <c r="Z121" s="134">
        <f t="shared" si="104"/>
        <v>0</v>
      </c>
      <c r="AA121" s="134">
        <f t="shared" si="104"/>
        <v>0</v>
      </c>
      <c r="AB121" s="134">
        <f t="shared" si="104"/>
        <v>0</v>
      </c>
      <c r="AC121" s="134">
        <f t="shared" si="104"/>
        <v>0</v>
      </c>
      <c r="AD121" s="134">
        <f t="shared" si="104"/>
        <v>0</v>
      </c>
      <c r="AE121" s="134">
        <f t="shared" si="104"/>
        <v>0</v>
      </c>
      <c r="AF121" s="135">
        <f>SUM(AF130:AF139)</f>
        <v>0</v>
      </c>
      <c r="AG121" s="92" t="s">
        <v>168</v>
      </c>
    </row>
    <row r="122" spans="1:33" ht="22.05" customHeight="1" x14ac:dyDescent="0.25">
      <c r="A122" s="206"/>
      <c r="B122" s="212"/>
      <c r="C122" s="247"/>
      <c r="D122" s="79" t="s">
        <v>150</v>
      </c>
      <c r="E122" s="133"/>
      <c r="F122" s="87"/>
      <c r="G122" s="134">
        <f>SUM(G125+G128+G131+G134+G137)</f>
        <v>0</v>
      </c>
      <c r="H122" s="134">
        <f t="shared" ref="H122:S122" si="105">SUM(H125+H128+H131+H134+H137)</f>
        <v>0</v>
      </c>
      <c r="I122" s="134">
        <f t="shared" si="105"/>
        <v>0</v>
      </c>
      <c r="J122" s="134">
        <f t="shared" si="105"/>
        <v>0</v>
      </c>
      <c r="K122" s="134">
        <f t="shared" si="105"/>
        <v>0</v>
      </c>
      <c r="L122" s="134">
        <f t="shared" si="105"/>
        <v>0</v>
      </c>
      <c r="M122" s="134">
        <f t="shared" si="105"/>
        <v>0</v>
      </c>
      <c r="N122" s="134">
        <f t="shared" si="105"/>
        <v>0</v>
      </c>
      <c r="O122" s="134">
        <f t="shared" si="105"/>
        <v>0</v>
      </c>
      <c r="P122" s="134">
        <f t="shared" si="105"/>
        <v>0</v>
      </c>
      <c r="Q122" s="134">
        <f t="shared" si="105"/>
        <v>0</v>
      </c>
      <c r="R122" s="134">
        <f t="shared" si="105"/>
        <v>0</v>
      </c>
      <c r="S122" s="134">
        <f t="shared" si="105"/>
        <v>0</v>
      </c>
      <c r="T122" s="135"/>
      <c r="U122" s="135"/>
      <c r="V122" s="135"/>
      <c r="W122" s="135"/>
      <c r="X122" s="135"/>
      <c r="Y122" s="135"/>
      <c r="Z122" s="135"/>
      <c r="AA122" s="135"/>
      <c r="AB122" s="135"/>
      <c r="AC122" s="135"/>
      <c r="AD122" s="135"/>
      <c r="AE122" s="135"/>
      <c r="AF122" s="135"/>
      <c r="AG122" s="92"/>
    </row>
    <row r="123" spans="1:33" ht="22.05" customHeight="1" x14ac:dyDescent="0.25">
      <c r="A123" s="206"/>
      <c r="B123" s="212"/>
      <c r="C123" s="247"/>
      <c r="D123" s="79" t="s">
        <v>151</v>
      </c>
      <c r="E123" s="133"/>
      <c r="F123" s="87"/>
      <c r="G123" s="120"/>
      <c r="H123" s="118" t="e">
        <f>H122/$G122</f>
        <v>#DIV/0!</v>
      </c>
      <c r="I123" s="118" t="e">
        <f t="shared" ref="I123:S123" si="106">I122/$G122</f>
        <v>#DIV/0!</v>
      </c>
      <c r="J123" s="118" t="e">
        <f t="shared" si="106"/>
        <v>#DIV/0!</v>
      </c>
      <c r="K123" s="118" t="e">
        <f t="shared" si="106"/>
        <v>#DIV/0!</v>
      </c>
      <c r="L123" s="118" t="e">
        <f t="shared" si="106"/>
        <v>#DIV/0!</v>
      </c>
      <c r="M123" s="118" t="e">
        <f t="shared" si="106"/>
        <v>#DIV/0!</v>
      </c>
      <c r="N123" s="118" t="e">
        <f t="shared" si="106"/>
        <v>#DIV/0!</v>
      </c>
      <c r="O123" s="118" t="e">
        <f t="shared" si="106"/>
        <v>#DIV/0!</v>
      </c>
      <c r="P123" s="118" t="e">
        <f t="shared" si="106"/>
        <v>#DIV/0!</v>
      </c>
      <c r="Q123" s="118" t="e">
        <f t="shared" si="106"/>
        <v>#DIV/0!</v>
      </c>
      <c r="R123" s="118" t="e">
        <f t="shared" si="106"/>
        <v>#DIV/0!</v>
      </c>
      <c r="S123" s="118" t="e">
        <f t="shared" si="106"/>
        <v>#DIV/0!</v>
      </c>
      <c r="T123" s="135"/>
      <c r="U123" s="135"/>
      <c r="V123" s="135"/>
      <c r="W123" s="135"/>
      <c r="X123" s="135"/>
      <c r="Y123" s="135"/>
      <c r="Z123" s="135"/>
      <c r="AA123" s="135"/>
      <c r="AB123" s="135"/>
      <c r="AC123" s="135"/>
      <c r="AD123" s="135"/>
      <c r="AE123" s="135"/>
      <c r="AF123" s="135"/>
      <c r="AG123" s="92"/>
    </row>
    <row r="124" spans="1:33" ht="22.05" customHeight="1" x14ac:dyDescent="0.25">
      <c r="A124" s="206"/>
      <c r="B124" s="212"/>
      <c r="C124" s="220" t="s">
        <v>154</v>
      </c>
      <c r="D124" s="79" t="s">
        <v>149</v>
      </c>
      <c r="E124" s="133"/>
      <c r="F124" s="87">
        <v>0.13</v>
      </c>
      <c r="G124" s="120"/>
      <c r="H124" s="132">
        <f>$G124/综合评估表!$C$7</f>
        <v>0</v>
      </c>
      <c r="I124" s="132">
        <f>IF(SUM($H124:H124)&lt;$G124,$G124/综合评估表!$C$7,0)</f>
        <v>0</v>
      </c>
      <c r="J124" s="132">
        <f>IF(SUM($H124:I124)&lt;$G124,$G124/综合评估表!$C$7,0)</f>
        <v>0</v>
      </c>
      <c r="K124" s="132">
        <f>IF(SUM($H124:J124)&lt;$G124,$G124/综合评估表!$C$7,0)</f>
        <v>0</v>
      </c>
      <c r="L124" s="132">
        <f>IF(SUM($H124:K124)&lt;$G124,$G124/综合评估表!$C$7,0)</f>
        <v>0</v>
      </c>
      <c r="M124" s="132">
        <f>IF(SUM($H124:L124)&lt;$G124,$G124/综合评估表!$C$7,0)</f>
        <v>0</v>
      </c>
      <c r="N124" s="132">
        <f>IF(SUM($H124:M124)&lt;$G124,$G124/综合评估表!$C$7,0)</f>
        <v>0</v>
      </c>
      <c r="O124" s="132">
        <f>IF(SUM($H124:N124)&lt;$G124,$G124/综合评估表!$C$7,0)</f>
        <v>0</v>
      </c>
      <c r="P124" s="132">
        <f>IF(SUM($H124:O124)&lt;$G124,$G124/综合评估表!$C$7,0)</f>
        <v>0</v>
      </c>
      <c r="Q124" s="132">
        <f>IF(SUM($H124:P124)&lt;$G124,$G124/综合评估表!$C$7,0)</f>
        <v>0</v>
      </c>
      <c r="R124" s="132">
        <f>IF(SUM($H124:Q124)&lt;$G124,$G124/综合评估表!$C$7,0)</f>
        <v>0</v>
      </c>
      <c r="S124" s="132">
        <f>IF(SUM($H124:R124)&lt;$G124,$G124/综合评估表!$C$7,0)</f>
        <v>0</v>
      </c>
      <c r="T124" s="125">
        <f>SUM(U124:AF124)</f>
        <v>0</v>
      </c>
      <c r="U124" s="125">
        <f>H124/(1+$F$124)</f>
        <v>0</v>
      </c>
      <c r="V124" s="125">
        <f t="shared" ref="V124:AF124" si="107">I124/(1+$F$124)</f>
        <v>0</v>
      </c>
      <c r="W124" s="125">
        <f t="shared" si="107"/>
        <v>0</v>
      </c>
      <c r="X124" s="125">
        <f t="shared" si="107"/>
        <v>0</v>
      </c>
      <c r="Y124" s="125">
        <f t="shared" si="107"/>
        <v>0</v>
      </c>
      <c r="Z124" s="125">
        <f t="shared" si="107"/>
        <v>0</v>
      </c>
      <c r="AA124" s="125">
        <f t="shared" si="107"/>
        <v>0</v>
      </c>
      <c r="AB124" s="125">
        <f t="shared" si="107"/>
        <v>0</v>
      </c>
      <c r="AC124" s="125">
        <f t="shared" si="107"/>
        <v>0</v>
      </c>
      <c r="AD124" s="125">
        <f t="shared" si="107"/>
        <v>0</v>
      </c>
      <c r="AE124" s="125">
        <f t="shared" si="107"/>
        <v>0</v>
      </c>
      <c r="AF124" s="125">
        <f t="shared" si="107"/>
        <v>0</v>
      </c>
      <c r="AG124" s="92"/>
    </row>
    <row r="125" spans="1:33" ht="22.05" customHeight="1" x14ac:dyDescent="0.25">
      <c r="A125" s="206"/>
      <c r="B125" s="212"/>
      <c r="C125" s="221"/>
      <c r="D125" s="79" t="s">
        <v>150</v>
      </c>
      <c r="E125" s="133"/>
      <c r="F125" s="87"/>
      <c r="G125" s="119">
        <f>SUM(H125:S125)</f>
        <v>0</v>
      </c>
      <c r="H125" s="120"/>
      <c r="I125" s="120"/>
      <c r="J125" s="120"/>
      <c r="K125" s="120"/>
      <c r="L125" s="120"/>
      <c r="M125" s="120"/>
      <c r="N125" s="120"/>
      <c r="O125" s="120"/>
      <c r="P125" s="120"/>
      <c r="Q125" s="120"/>
      <c r="R125" s="120"/>
      <c r="S125" s="120"/>
      <c r="T125" s="135"/>
      <c r="U125" s="135"/>
      <c r="V125" s="135"/>
      <c r="W125" s="135"/>
      <c r="X125" s="135"/>
      <c r="Y125" s="135"/>
      <c r="Z125" s="135"/>
      <c r="AA125" s="135"/>
      <c r="AB125" s="135"/>
      <c r="AC125" s="135"/>
      <c r="AD125" s="135"/>
      <c r="AE125" s="135"/>
      <c r="AF125" s="135"/>
      <c r="AG125" s="92"/>
    </row>
    <row r="126" spans="1:33" ht="22.05" customHeight="1" x14ac:dyDescent="0.25">
      <c r="A126" s="206"/>
      <c r="B126" s="212"/>
      <c r="C126" s="222"/>
      <c r="D126" s="79" t="s">
        <v>151</v>
      </c>
      <c r="E126" s="133"/>
      <c r="F126" s="87"/>
      <c r="G126" s="121"/>
      <c r="H126" s="118" t="e">
        <f>H125/$G125</f>
        <v>#DIV/0!</v>
      </c>
      <c r="I126" s="118" t="e">
        <f t="shared" ref="I126:S126" si="108">I125/$G125</f>
        <v>#DIV/0!</v>
      </c>
      <c r="J126" s="118" t="e">
        <f t="shared" si="108"/>
        <v>#DIV/0!</v>
      </c>
      <c r="K126" s="118" t="e">
        <f t="shared" si="108"/>
        <v>#DIV/0!</v>
      </c>
      <c r="L126" s="118" t="e">
        <f t="shared" si="108"/>
        <v>#DIV/0!</v>
      </c>
      <c r="M126" s="118" t="e">
        <f t="shared" si="108"/>
        <v>#DIV/0!</v>
      </c>
      <c r="N126" s="118" t="e">
        <f t="shared" si="108"/>
        <v>#DIV/0!</v>
      </c>
      <c r="O126" s="118" t="e">
        <f t="shared" si="108"/>
        <v>#DIV/0!</v>
      </c>
      <c r="P126" s="118" t="e">
        <f t="shared" si="108"/>
        <v>#DIV/0!</v>
      </c>
      <c r="Q126" s="118" t="e">
        <f t="shared" si="108"/>
        <v>#DIV/0!</v>
      </c>
      <c r="R126" s="118" t="e">
        <f t="shared" si="108"/>
        <v>#DIV/0!</v>
      </c>
      <c r="S126" s="118" t="e">
        <f t="shared" si="108"/>
        <v>#DIV/0!</v>
      </c>
      <c r="T126" s="135"/>
      <c r="U126" s="135"/>
      <c r="V126" s="135"/>
      <c r="W126" s="135"/>
      <c r="X126" s="135"/>
      <c r="Y126" s="135"/>
      <c r="Z126" s="135"/>
      <c r="AA126" s="135"/>
      <c r="AB126" s="135"/>
      <c r="AC126" s="135"/>
      <c r="AD126" s="135"/>
      <c r="AE126" s="135"/>
      <c r="AF126" s="135"/>
      <c r="AG126" s="92"/>
    </row>
    <row r="127" spans="1:33" ht="22.05" customHeight="1" x14ac:dyDescent="0.25">
      <c r="A127" s="206"/>
      <c r="B127" s="212"/>
      <c r="C127" s="220" t="s">
        <v>156</v>
      </c>
      <c r="D127" s="79" t="s">
        <v>149</v>
      </c>
      <c r="E127" s="133"/>
      <c r="F127" s="87">
        <v>0.06</v>
      </c>
      <c r="G127" s="120"/>
      <c r="H127" s="132">
        <f>$G127/综合评估表!$C$7</f>
        <v>0</v>
      </c>
      <c r="I127" s="132">
        <f>IF(SUM($H127:H127)&lt;$G127,$G127/综合评估表!$C$7,0)</f>
        <v>0</v>
      </c>
      <c r="J127" s="132">
        <f>IF(SUM($H127:I127)&lt;$G127,$G127/综合评估表!$C$7,0)</f>
        <v>0</v>
      </c>
      <c r="K127" s="132">
        <f>IF(SUM($H127:J127)&lt;$G127,$G127/综合评估表!$C$7,0)</f>
        <v>0</v>
      </c>
      <c r="L127" s="132">
        <f>IF(SUM($H127:K127)&lt;$G127,$G127/综合评估表!$C$7,0)</f>
        <v>0</v>
      </c>
      <c r="M127" s="132">
        <f>IF(SUM($H127:L127)&lt;$G127,$G127/综合评估表!$C$7,0)</f>
        <v>0</v>
      </c>
      <c r="N127" s="132">
        <f>IF(SUM($H127:M127)&lt;$G127,$G127/综合评估表!$C$7,0)</f>
        <v>0</v>
      </c>
      <c r="O127" s="132">
        <f>IF(SUM($H127:N127)&lt;$G127,$G127/综合评估表!$C$7,0)</f>
        <v>0</v>
      </c>
      <c r="P127" s="132">
        <f>IF(SUM($H127:O127)&lt;$G127,$G127/综合评估表!$C$7,0)</f>
        <v>0</v>
      </c>
      <c r="Q127" s="132">
        <f>IF(SUM($H127:P127)&lt;$G127,$G127/综合评估表!$C$7,0)</f>
        <v>0</v>
      </c>
      <c r="R127" s="132">
        <f>IF(SUM($H127:Q127)&lt;$G127,$G127/综合评估表!$C$7,0)</f>
        <v>0</v>
      </c>
      <c r="S127" s="132">
        <f>IF(SUM($H127:R127)&lt;$G127,$G127/综合评估表!$C$7,0)</f>
        <v>0</v>
      </c>
      <c r="T127" s="125">
        <f>SUM(U127:AF127)</f>
        <v>0</v>
      </c>
      <c r="U127" s="125">
        <f>H127/(1+$F$127)</f>
        <v>0</v>
      </c>
      <c r="V127" s="125">
        <f t="shared" ref="V127:AF127" si="109">I127/(1+$F$127)</f>
        <v>0</v>
      </c>
      <c r="W127" s="125">
        <f t="shared" si="109"/>
        <v>0</v>
      </c>
      <c r="X127" s="125">
        <f t="shared" si="109"/>
        <v>0</v>
      </c>
      <c r="Y127" s="125">
        <f t="shared" si="109"/>
        <v>0</v>
      </c>
      <c r="Z127" s="125">
        <f t="shared" si="109"/>
        <v>0</v>
      </c>
      <c r="AA127" s="125">
        <f t="shared" si="109"/>
        <v>0</v>
      </c>
      <c r="AB127" s="125">
        <f t="shared" si="109"/>
        <v>0</v>
      </c>
      <c r="AC127" s="125">
        <f t="shared" si="109"/>
        <v>0</v>
      </c>
      <c r="AD127" s="125">
        <f t="shared" si="109"/>
        <v>0</v>
      </c>
      <c r="AE127" s="125">
        <f t="shared" si="109"/>
        <v>0</v>
      </c>
      <c r="AF127" s="125">
        <f t="shared" si="109"/>
        <v>0</v>
      </c>
      <c r="AG127" s="92"/>
    </row>
    <row r="128" spans="1:33" ht="22.05" customHeight="1" x14ac:dyDescent="0.25">
      <c r="A128" s="206"/>
      <c r="B128" s="212"/>
      <c r="C128" s="221"/>
      <c r="D128" s="79" t="s">
        <v>150</v>
      </c>
      <c r="E128" s="133"/>
      <c r="F128" s="87"/>
      <c r="G128" s="119">
        <f>SUM(H128:S128)</f>
        <v>0</v>
      </c>
      <c r="H128" s="120"/>
      <c r="I128" s="120"/>
      <c r="J128" s="120"/>
      <c r="K128" s="120"/>
      <c r="L128" s="120"/>
      <c r="M128" s="120"/>
      <c r="N128" s="120"/>
      <c r="O128" s="120"/>
      <c r="P128" s="120"/>
      <c r="Q128" s="120"/>
      <c r="R128" s="120"/>
      <c r="S128" s="120"/>
      <c r="T128" s="135"/>
      <c r="U128" s="135"/>
      <c r="V128" s="135"/>
      <c r="W128" s="135"/>
      <c r="X128" s="135"/>
      <c r="Y128" s="135"/>
      <c r="Z128" s="135"/>
      <c r="AA128" s="135"/>
      <c r="AB128" s="135"/>
      <c r="AC128" s="135"/>
      <c r="AD128" s="135"/>
      <c r="AE128" s="135"/>
      <c r="AF128" s="135"/>
      <c r="AG128" s="92"/>
    </row>
    <row r="129" spans="1:33" ht="22.05" customHeight="1" x14ac:dyDescent="0.25">
      <c r="A129" s="206"/>
      <c r="B129" s="212"/>
      <c r="C129" s="222"/>
      <c r="D129" s="79" t="s">
        <v>151</v>
      </c>
      <c r="E129" s="133"/>
      <c r="F129" s="87"/>
      <c r="G129" s="121"/>
      <c r="H129" s="118" t="e">
        <f>H128/$G128</f>
        <v>#DIV/0!</v>
      </c>
      <c r="I129" s="118" t="e">
        <f t="shared" ref="I129:S129" si="110">I128/$G128</f>
        <v>#DIV/0!</v>
      </c>
      <c r="J129" s="118" t="e">
        <f t="shared" si="110"/>
        <v>#DIV/0!</v>
      </c>
      <c r="K129" s="118" t="e">
        <f t="shared" si="110"/>
        <v>#DIV/0!</v>
      </c>
      <c r="L129" s="118" t="e">
        <f t="shared" si="110"/>
        <v>#DIV/0!</v>
      </c>
      <c r="M129" s="118" t="e">
        <f t="shared" si="110"/>
        <v>#DIV/0!</v>
      </c>
      <c r="N129" s="118" t="e">
        <f t="shared" si="110"/>
        <v>#DIV/0!</v>
      </c>
      <c r="O129" s="118" t="e">
        <f t="shared" si="110"/>
        <v>#DIV/0!</v>
      </c>
      <c r="P129" s="118" t="e">
        <f t="shared" si="110"/>
        <v>#DIV/0!</v>
      </c>
      <c r="Q129" s="118" t="e">
        <f t="shared" si="110"/>
        <v>#DIV/0!</v>
      </c>
      <c r="R129" s="118" t="e">
        <f t="shared" si="110"/>
        <v>#DIV/0!</v>
      </c>
      <c r="S129" s="118" t="e">
        <f t="shared" si="110"/>
        <v>#DIV/0!</v>
      </c>
      <c r="T129" s="135"/>
      <c r="U129" s="135"/>
      <c r="V129" s="135"/>
      <c r="W129" s="135"/>
      <c r="X129" s="135"/>
      <c r="Y129" s="135"/>
      <c r="Z129" s="135"/>
      <c r="AA129" s="135"/>
      <c r="AB129" s="135"/>
      <c r="AC129" s="135"/>
      <c r="AD129" s="135"/>
      <c r="AE129" s="135"/>
      <c r="AF129" s="135"/>
      <c r="AG129" s="92"/>
    </row>
    <row r="130" spans="1:33" ht="22.05" customHeight="1" x14ac:dyDescent="0.25">
      <c r="A130" s="206"/>
      <c r="B130" s="212"/>
      <c r="C130" s="220" t="s">
        <v>169</v>
      </c>
      <c r="D130" s="79" t="s">
        <v>149</v>
      </c>
      <c r="E130" s="105"/>
      <c r="F130" s="87">
        <v>0.09</v>
      </c>
      <c r="G130" s="120"/>
      <c r="H130" s="132">
        <f>$G130/综合评估表!$C$7</f>
        <v>0</v>
      </c>
      <c r="I130" s="132">
        <f>IF(SUM($H130:H130)&lt;$G130,$G130/综合评估表!$C$7,0)</f>
        <v>0</v>
      </c>
      <c r="J130" s="132">
        <f>IF(SUM($H130:I130)&lt;$G130,$G130/综合评估表!$C$7,0)</f>
        <v>0</v>
      </c>
      <c r="K130" s="132">
        <f>IF(SUM($H130:J130)&lt;$G130,$G130/综合评估表!$C$7,0)</f>
        <v>0</v>
      </c>
      <c r="L130" s="132">
        <f>IF(SUM($H130:K130)&lt;$G130,$G130/综合评估表!$C$7,0)</f>
        <v>0</v>
      </c>
      <c r="M130" s="132">
        <f>IF(SUM($H130:L130)&lt;$G130,$G130/综合评估表!$C$7,0)</f>
        <v>0</v>
      </c>
      <c r="N130" s="132">
        <f>IF(SUM($H130:M130)&lt;$G130,$G130/综合评估表!$C$7,0)</f>
        <v>0</v>
      </c>
      <c r="O130" s="132">
        <f>IF(SUM($H130:N130)&lt;$G130,$G130/综合评估表!$C$7,0)</f>
        <v>0</v>
      </c>
      <c r="P130" s="132">
        <f>IF(SUM($H130:O130)&lt;$G130,$G130/综合评估表!$C$7,0)</f>
        <v>0</v>
      </c>
      <c r="Q130" s="132">
        <f>IF(SUM($H130:P130)&lt;$G130,$G130/综合评估表!$C$7,0)</f>
        <v>0</v>
      </c>
      <c r="R130" s="132">
        <f>IF(SUM($H130:Q130)&lt;$G130,$G130/综合评估表!$C$7,0)</f>
        <v>0</v>
      </c>
      <c r="S130" s="132">
        <f>IF(SUM($H130:R130)&lt;$G130,$G130/综合评估表!$C$7,0)</f>
        <v>0</v>
      </c>
      <c r="T130" s="125">
        <f>SUM(U130:AF130)</f>
        <v>0</v>
      </c>
      <c r="U130" s="125">
        <f>H130/(1+$F$130)</f>
        <v>0</v>
      </c>
      <c r="V130" s="125">
        <f t="shared" ref="V130:AF130" si="111">I130/(1+$F$130)</f>
        <v>0</v>
      </c>
      <c r="W130" s="125">
        <f t="shared" si="111"/>
        <v>0</v>
      </c>
      <c r="X130" s="125">
        <f t="shared" si="111"/>
        <v>0</v>
      </c>
      <c r="Y130" s="125">
        <f t="shared" si="111"/>
        <v>0</v>
      </c>
      <c r="Z130" s="125">
        <f t="shared" si="111"/>
        <v>0</v>
      </c>
      <c r="AA130" s="125">
        <f t="shared" si="111"/>
        <v>0</v>
      </c>
      <c r="AB130" s="125">
        <f t="shared" si="111"/>
        <v>0</v>
      </c>
      <c r="AC130" s="125">
        <f t="shared" si="111"/>
        <v>0</v>
      </c>
      <c r="AD130" s="125">
        <f t="shared" si="111"/>
        <v>0</v>
      </c>
      <c r="AE130" s="125">
        <f t="shared" si="111"/>
        <v>0</v>
      </c>
      <c r="AF130" s="125">
        <f t="shared" si="111"/>
        <v>0</v>
      </c>
      <c r="AG130" s="92"/>
    </row>
    <row r="131" spans="1:33" ht="22.05" customHeight="1" x14ac:dyDescent="0.25">
      <c r="A131" s="206"/>
      <c r="B131" s="212"/>
      <c r="C131" s="221"/>
      <c r="D131" s="79" t="s">
        <v>150</v>
      </c>
      <c r="E131" s="105"/>
      <c r="F131" s="87"/>
      <c r="G131" s="119">
        <f>SUM(H131:S131)</f>
        <v>0</v>
      </c>
      <c r="H131" s="120"/>
      <c r="I131" s="120"/>
      <c r="J131" s="120"/>
      <c r="K131" s="120"/>
      <c r="L131" s="120"/>
      <c r="M131" s="120"/>
      <c r="N131" s="120"/>
      <c r="O131" s="120"/>
      <c r="P131" s="120"/>
      <c r="Q131" s="120"/>
      <c r="R131" s="120"/>
      <c r="S131" s="120"/>
      <c r="T131" s="125"/>
      <c r="U131" s="125"/>
      <c r="V131" s="125"/>
      <c r="W131" s="125"/>
      <c r="X131" s="125"/>
      <c r="Y131" s="125"/>
      <c r="Z131" s="125"/>
      <c r="AA131" s="125"/>
      <c r="AB131" s="125"/>
      <c r="AC131" s="125"/>
      <c r="AD131" s="125"/>
      <c r="AE131" s="125"/>
      <c r="AF131" s="125"/>
      <c r="AG131" s="92"/>
    </row>
    <row r="132" spans="1:33" ht="22.05" customHeight="1" x14ac:dyDescent="0.25">
      <c r="A132" s="206"/>
      <c r="B132" s="212"/>
      <c r="C132" s="222"/>
      <c r="D132" s="79" t="s">
        <v>151</v>
      </c>
      <c r="E132" s="105"/>
      <c r="F132" s="87"/>
      <c r="G132" s="121"/>
      <c r="H132" s="118" t="e">
        <f>H131/$G131</f>
        <v>#DIV/0!</v>
      </c>
      <c r="I132" s="118" t="e">
        <f t="shared" ref="I132:S132" si="112">I131/$G131</f>
        <v>#DIV/0!</v>
      </c>
      <c r="J132" s="118" t="e">
        <f t="shared" si="112"/>
        <v>#DIV/0!</v>
      </c>
      <c r="K132" s="118" t="e">
        <f t="shared" si="112"/>
        <v>#DIV/0!</v>
      </c>
      <c r="L132" s="118" t="e">
        <f t="shared" si="112"/>
        <v>#DIV/0!</v>
      </c>
      <c r="M132" s="118" t="e">
        <f t="shared" si="112"/>
        <v>#DIV/0!</v>
      </c>
      <c r="N132" s="118" t="e">
        <f t="shared" si="112"/>
        <v>#DIV/0!</v>
      </c>
      <c r="O132" s="118" t="e">
        <f t="shared" si="112"/>
        <v>#DIV/0!</v>
      </c>
      <c r="P132" s="118" t="e">
        <f t="shared" si="112"/>
        <v>#DIV/0!</v>
      </c>
      <c r="Q132" s="118" t="e">
        <f t="shared" si="112"/>
        <v>#DIV/0!</v>
      </c>
      <c r="R132" s="118" t="e">
        <f t="shared" si="112"/>
        <v>#DIV/0!</v>
      </c>
      <c r="S132" s="118" t="e">
        <f t="shared" si="112"/>
        <v>#DIV/0!</v>
      </c>
      <c r="T132" s="125"/>
      <c r="U132" s="125"/>
      <c r="V132" s="125"/>
      <c r="W132" s="125"/>
      <c r="X132" s="125"/>
      <c r="Y132" s="125"/>
      <c r="Z132" s="125"/>
      <c r="AA132" s="125"/>
      <c r="AB132" s="125"/>
      <c r="AC132" s="125"/>
      <c r="AD132" s="125"/>
      <c r="AE132" s="125"/>
      <c r="AF132" s="125"/>
      <c r="AG132" s="92"/>
    </row>
    <row r="133" spans="1:33" ht="22.05" customHeight="1" x14ac:dyDescent="0.25">
      <c r="A133" s="206"/>
      <c r="B133" s="212"/>
      <c r="C133" s="220" t="s">
        <v>170</v>
      </c>
      <c r="D133" s="79" t="s">
        <v>149</v>
      </c>
      <c r="E133" s="105"/>
      <c r="F133" s="87">
        <v>0.06</v>
      </c>
      <c r="G133" s="120"/>
      <c r="H133" s="132">
        <f>$G133/综合评估表!$C$7</f>
        <v>0</v>
      </c>
      <c r="I133" s="132">
        <f>IF(SUM($H133:H133)&lt;$G133,$G133/综合评估表!$C$7,0)</f>
        <v>0</v>
      </c>
      <c r="J133" s="132">
        <f>IF(SUM($H133:I133)&lt;$G133,$G133/综合评估表!$C$7,0)</f>
        <v>0</v>
      </c>
      <c r="K133" s="132">
        <f>IF(SUM($H133:J133)&lt;$G133,$G133/综合评估表!$C$7,0)</f>
        <v>0</v>
      </c>
      <c r="L133" s="132">
        <f>IF(SUM($H133:K133)&lt;$G133,$G133/综合评估表!$C$7,0)</f>
        <v>0</v>
      </c>
      <c r="M133" s="132">
        <f>IF(SUM($H133:L133)&lt;$G133,$G133/综合评估表!$C$7,0)</f>
        <v>0</v>
      </c>
      <c r="N133" s="132">
        <f>IF(SUM($H133:M133)&lt;$G133,$G133/综合评估表!$C$7,0)</f>
        <v>0</v>
      </c>
      <c r="O133" s="132">
        <f>IF(SUM($H133:N133)&lt;$G133,$G133/综合评估表!$C$7,0)</f>
        <v>0</v>
      </c>
      <c r="P133" s="132">
        <f>IF(SUM($H133:O133)&lt;$G133,$G133/综合评估表!$C$7,0)</f>
        <v>0</v>
      </c>
      <c r="Q133" s="132">
        <f>IF(SUM($H133:P133)&lt;$G133,$G133/综合评估表!$C$7,0)</f>
        <v>0</v>
      </c>
      <c r="R133" s="132">
        <f>IF(SUM($H133:Q133)&lt;$G133,$G133/综合评估表!$C$7,0)</f>
        <v>0</v>
      </c>
      <c r="S133" s="132">
        <f>IF(SUM($H133:R133)&lt;$G133,$G133/综合评估表!$C$7,0)</f>
        <v>0</v>
      </c>
      <c r="T133" s="125">
        <f>SUM(U133:AF133)</f>
        <v>0</v>
      </c>
      <c r="U133" s="125">
        <f>H133/(1+$F$133)</f>
        <v>0</v>
      </c>
      <c r="V133" s="125">
        <f t="shared" ref="V133:AF133" si="113">I133/(1+$F$133)</f>
        <v>0</v>
      </c>
      <c r="W133" s="125">
        <f t="shared" si="113"/>
        <v>0</v>
      </c>
      <c r="X133" s="125">
        <f t="shared" si="113"/>
        <v>0</v>
      </c>
      <c r="Y133" s="125">
        <f t="shared" si="113"/>
        <v>0</v>
      </c>
      <c r="Z133" s="125">
        <f t="shared" si="113"/>
        <v>0</v>
      </c>
      <c r="AA133" s="125">
        <f t="shared" si="113"/>
        <v>0</v>
      </c>
      <c r="AB133" s="125">
        <f t="shared" si="113"/>
        <v>0</v>
      </c>
      <c r="AC133" s="125">
        <f t="shared" si="113"/>
        <v>0</v>
      </c>
      <c r="AD133" s="125">
        <f t="shared" si="113"/>
        <v>0</v>
      </c>
      <c r="AE133" s="125">
        <f t="shared" si="113"/>
        <v>0</v>
      </c>
      <c r="AF133" s="125">
        <f t="shared" si="113"/>
        <v>0</v>
      </c>
      <c r="AG133" s="92"/>
    </row>
    <row r="134" spans="1:33" ht="22.05" customHeight="1" x14ac:dyDescent="0.25">
      <c r="A134" s="206"/>
      <c r="B134" s="212"/>
      <c r="C134" s="221"/>
      <c r="D134" s="79" t="s">
        <v>150</v>
      </c>
      <c r="E134" s="105"/>
      <c r="F134" s="87"/>
      <c r="G134" s="119">
        <f>SUM(H134:S134)</f>
        <v>0</v>
      </c>
      <c r="H134" s="120"/>
      <c r="I134" s="120"/>
      <c r="J134" s="120"/>
      <c r="K134" s="120"/>
      <c r="L134" s="120"/>
      <c r="M134" s="120"/>
      <c r="N134" s="120"/>
      <c r="O134" s="120"/>
      <c r="P134" s="120"/>
      <c r="Q134" s="120"/>
      <c r="R134" s="120"/>
      <c r="S134" s="120"/>
      <c r="T134" s="125"/>
      <c r="U134" s="125"/>
      <c r="V134" s="125"/>
      <c r="W134" s="125"/>
      <c r="X134" s="125"/>
      <c r="Y134" s="125"/>
      <c r="Z134" s="125"/>
      <c r="AA134" s="125"/>
      <c r="AB134" s="125"/>
      <c r="AC134" s="125"/>
      <c r="AD134" s="125"/>
      <c r="AE134" s="125"/>
      <c r="AF134" s="125"/>
      <c r="AG134" s="92"/>
    </row>
    <row r="135" spans="1:33" ht="22.05" customHeight="1" x14ac:dyDescent="0.25">
      <c r="A135" s="206"/>
      <c r="B135" s="212"/>
      <c r="C135" s="222"/>
      <c r="D135" s="79" t="s">
        <v>151</v>
      </c>
      <c r="E135" s="105"/>
      <c r="F135" s="87"/>
      <c r="G135" s="121"/>
      <c r="H135" s="118" t="e">
        <f>H134/$G134</f>
        <v>#DIV/0!</v>
      </c>
      <c r="I135" s="118" t="e">
        <f t="shared" ref="I135:S135" si="114">I134/$G134</f>
        <v>#DIV/0!</v>
      </c>
      <c r="J135" s="118" t="e">
        <f t="shared" si="114"/>
        <v>#DIV/0!</v>
      </c>
      <c r="K135" s="118" t="e">
        <f t="shared" si="114"/>
        <v>#DIV/0!</v>
      </c>
      <c r="L135" s="118" t="e">
        <f t="shared" si="114"/>
        <v>#DIV/0!</v>
      </c>
      <c r="M135" s="118" t="e">
        <f t="shared" si="114"/>
        <v>#DIV/0!</v>
      </c>
      <c r="N135" s="118" t="e">
        <f t="shared" si="114"/>
        <v>#DIV/0!</v>
      </c>
      <c r="O135" s="118" t="e">
        <f t="shared" si="114"/>
        <v>#DIV/0!</v>
      </c>
      <c r="P135" s="118" t="e">
        <f t="shared" si="114"/>
        <v>#DIV/0!</v>
      </c>
      <c r="Q135" s="118" t="e">
        <f t="shared" si="114"/>
        <v>#DIV/0!</v>
      </c>
      <c r="R135" s="118" t="e">
        <f t="shared" si="114"/>
        <v>#DIV/0!</v>
      </c>
      <c r="S135" s="118" t="e">
        <f t="shared" si="114"/>
        <v>#DIV/0!</v>
      </c>
      <c r="T135" s="125"/>
      <c r="U135" s="125"/>
      <c r="V135" s="125"/>
      <c r="W135" s="125"/>
      <c r="X135" s="125"/>
      <c r="Y135" s="125"/>
      <c r="Z135" s="125"/>
      <c r="AA135" s="125"/>
      <c r="AB135" s="125"/>
      <c r="AC135" s="125"/>
      <c r="AD135" s="125"/>
      <c r="AE135" s="125"/>
      <c r="AF135" s="125"/>
      <c r="AG135" s="92"/>
    </row>
    <row r="136" spans="1:33" ht="22.05" customHeight="1" x14ac:dyDescent="0.25">
      <c r="A136" s="206"/>
      <c r="B136" s="212"/>
      <c r="C136" s="220" t="s">
        <v>171</v>
      </c>
      <c r="D136" s="79" t="s">
        <v>149</v>
      </c>
      <c r="E136" s="105"/>
      <c r="F136" s="87">
        <v>0.09</v>
      </c>
      <c r="G136" s="120"/>
      <c r="H136" s="132">
        <f>$G136/综合评估表!$C$7</f>
        <v>0</v>
      </c>
      <c r="I136" s="132">
        <f>$G136/综合评估表!$C$7</f>
        <v>0</v>
      </c>
      <c r="J136" s="132">
        <f>$G136/综合评估表!$C$7</f>
        <v>0</v>
      </c>
      <c r="K136" s="132">
        <f>$G136/综合评估表!$C$7</f>
        <v>0</v>
      </c>
      <c r="L136" s="132">
        <f>$G136/综合评估表!$C$7</f>
        <v>0</v>
      </c>
      <c r="M136" s="132">
        <f>$G136/综合评估表!$C$7</f>
        <v>0</v>
      </c>
      <c r="N136" s="132">
        <f>$G136/综合评估表!$C$7</f>
        <v>0</v>
      </c>
      <c r="O136" s="132">
        <f>$G136/综合评估表!$C$7</f>
        <v>0</v>
      </c>
      <c r="P136" s="132">
        <f>$G136/综合评估表!$C$7</f>
        <v>0</v>
      </c>
      <c r="Q136" s="132">
        <f>$G136/综合评估表!$C$7</f>
        <v>0</v>
      </c>
      <c r="R136" s="132">
        <f>$G136/综合评估表!$C$7</f>
        <v>0</v>
      </c>
      <c r="S136" s="132">
        <f>$G136/综合评估表!$C$7</f>
        <v>0</v>
      </c>
      <c r="T136" s="125">
        <f>SUM(U136:AF136)</f>
        <v>0</v>
      </c>
      <c r="U136" s="125">
        <f>H136/(1+$F$136)</f>
        <v>0</v>
      </c>
      <c r="V136" s="125">
        <f t="shared" ref="V136:AF136" si="115">I136/(1+$F$136)</f>
        <v>0</v>
      </c>
      <c r="W136" s="125">
        <f t="shared" si="115"/>
        <v>0</v>
      </c>
      <c r="X136" s="125">
        <f t="shared" si="115"/>
        <v>0</v>
      </c>
      <c r="Y136" s="125">
        <f t="shared" si="115"/>
        <v>0</v>
      </c>
      <c r="Z136" s="125">
        <f t="shared" si="115"/>
        <v>0</v>
      </c>
      <c r="AA136" s="125">
        <f t="shared" si="115"/>
        <v>0</v>
      </c>
      <c r="AB136" s="125">
        <f t="shared" si="115"/>
        <v>0</v>
      </c>
      <c r="AC136" s="125">
        <f t="shared" si="115"/>
        <v>0</v>
      </c>
      <c r="AD136" s="125">
        <f t="shared" si="115"/>
        <v>0</v>
      </c>
      <c r="AE136" s="125">
        <f t="shared" si="115"/>
        <v>0</v>
      </c>
      <c r="AF136" s="125">
        <f t="shared" si="115"/>
        <v>0</v>
      </c>
      <c r="AG136" s="92"/>
    </row>
    <row r="137" spans="1:33" ht="22.05" customHeight="1" x14ac:dyDescent="0.25">
      <c r="A137" s="206"/>
      <c r="B137" s="212"/>
      <c r="C137" s="221"/>
      <c r="D137" s="79" t="s">
        <v>150</v>
      </c>
      <c r="E137" s="105"/>
      <c r="F137" s="87"/>
      <c r="G137" s="119">
        <f>SUM(H137:S137)</f>
        <v>0</v>
      </c>
      <c r="H137" s="120"/>
      <c r="I137" s="120"/>
      <c r="J137" s="120"/>
      <c r="K137" s="120"/>
      <c r="L137" s="120"/>
      <c r="M137" s="120"/>
      <c r="N137" s="120"/>
      <c r="O137" s="120"/>
      <c r="P137" s="120"/>
      <c r="Q137" s="120"/>
      <c r="R137" s="120"/>
      <c r="S137" s="120"/>
      <c r="T137" s="125"/>
      <c r="U137" s="125"/>
      <c r="V137" s="125"/>
      <c r="W137" s="125"/>
      <c r="X137" s="125"/>
      <c r="Y137" s="125"/>
      <c r="Z137" s="125"/>
      <c r="AA137" s="125"/>
      <c r="AB137" s="125"/>
      <c r="AC137" s="125"/>
      <c r="AD137" s="125"/>
      <c r="AE137" s="125"/>
      <c r="AF137" s="125"/>
      <c r="AG137" s="92"/>
    </row>
    <row r="138" spans="1:33" ht="22.05" customHeight="1" x14ac:dyDescent="0.25">
      <c r="A138" s="206"/>
      <c r="B138" s="212"/>
      <c r="C138" s="222"/>
      <c r="D138" s="79" t="s">
        <v>151</v>
      </c>
      <c r="E138" s="105"/>
      <c r="F138" s="87"/>
      <c r="G138" s="121"/>
      <c r="H138" s="118" t="e">
        <f>H137/$G137</f>
        <v>#DIV/0!</v>
      </c>
      <c r="I138" s="118" t="e">
        <f t="shared" ref="I138:S138" si="116">I137/$G137</f>
        <v>#DIV/0!</v>
      </c>
      <c r="J138" s="118" t="e">
        <f t="shared" si="116"/>
        <v>#DIV/0!</v>
      </c>
      <c r="K138" s="118" t="e">
        <f t="shared" si="116"/>
        <v>#DIV/0!</v>
      </c>
      <c r="L138" s="118" t="e">
        <f t="shared" si="116"/>
        <v>#DIV/0!</v>
      </c>
      <c r="M138" s="118" t="e">
        <f t="shared" si="116"/>
        <v>#DIV/0!</v>
      </c>
      <c r="N138" s="118" t="e">
        <f t="shared" si="116"/>
        <v>#DIV/0!</v>
      </c>
      <c r="O138" s="118" t="e">
        <f t="shared" si="116"/>
        <v>#DIV/0!</v>
      </c>
      <c r="P138" s="118" t="e">
        <f t="shared" si="116"/>
        <v>#DIV/0!</v>
      </c>
      <c r="Q138" s="118" t="e">
        <f t="shared" si="116"/>
        <v>#DIV/0!</v>
      </c>
      <c r="R138" s="118" t="e">
        <f t="shared" si="116"/>
        <v>#DIV/0!</v>
      </c>
      <c r="S138" s="118" t="e">
        <f t="shared" si="116"/>
        <v>#DIV/0!</v>
      </c>
      <c r="T138" s="125"/>
      <c r="U138" s="125"/>
      <c r="V138" s="125"/>
      <c r="W138" s="125"/>
      <c r="X138" s="125"/>
      <c r="Y138" s="125"/>
      <c r="Z138" s="125"/>
      <c r="AA138" s="125"/>
      <c r="AB138" s="125"/>
      <c r="AC138" s="125"/>
      <c r="AD138" s="125"/>
      <c r="AE138" s="125"/>
      <c r="AF138" s="125"/>
      <c r="AG138" s="92"/>
    </row>
    <row r="139" spans="1:33" ht="22.05" customHeight="1" x14ac:dyDescent="0.25">
      <c r="A139" s="206"/>
      <c r="B139" s="213"/>
      <c r="C139" s="79" t="s">
        <v>125</v>
      </c>
      <c r="D139" s="105"/>
      <c r="E139" s="105"/>
      <c r="F139" s="87"/>
      <c r="G139" s="120"/>
      <c r="H139" s="132">
        <f>$G139/综合评估表!$C$7</f>
        <v>0</v>
      </c>
      <c r="I139" s="132">
        <f>IF(SUM($H139:H139)&lt;$G139,$G139/综合评估表!$C$7,0)</f>
        <v>0</v>
      </c>
      <c r="J139" s="132">
        <f>IF(SUM($H139:I139)&lt;$G139,$G139/综合评估表!$C$7,0)</f>
        <v>0</v>
      </c>
      <c r="K139" s="132">
        <f>IF(SUM($H139:J139)&lt;$G139,$G139/综合评估表!$C$7,0)</f>
        <v>0</v>
      </c>
      <c r="L139" s="132">
        <f>IF(SUM($H139:K139)&lt;$G139,$G139/综合评估表!$C$7,0)</f>
        <v>0</v>
      </c>
      <c r="M139" s="132">
        <f>IF(SUM($H139:L139)&lt;$G139,$G139/综合评估表!$C$7,0)</f>
        <v>0</v>
      </c>
      <c r="N139" s="132">
        <f>IF(SUM($H139:M139)&lt;$G139,$G139/综合评估表!$C$7,0)</f>
        <v>0</v>
      </c>
      <c r="O139" s="132">
        <f>IF(SUM($H139:N139)&lt;$G139,$G139/综合评估表!$C$7,0)</f>
        <v>0</v>
      </c>
      <c r="P139" s="132">
        <f>IF(SUM($H139:O139)&lt;$G139,$G139/综合评估表!$C$7,0)</f>
        <v>0</v>
      </c>
      <c r="Q139" s="132">
        <f>IF(SUM($H139:P139)&lt;$G139,$G139/综合评估表!$C$7,0)</f>
        <v>0</v>
      </c>
      <c r="R139" s="132">
        <f>IF(SUM($H139:Q139)&lt;$G139,$G139/综合评估表!$C$7,0)</f>
        <v>0</v>
      </c>
      <c r="S139" s="132">
        <f>IF(SUM($H139:R139)&lt;$G139,$G139/综合评估表!$C$7,0)</f>
        <v>0</v>
      </c>
      <c r="T139" s="125">
        <f>SUM(U139:AF139)</f>
        <v>0</v>
      </c>
      <c r="U139" s="125">
        <f t="shared" ref="U139:AF139" si="117">H139/(1+$F$139)</f>
        <v>0</v>
      </c>
      <c r="V139" s="125">
        <f t="shared" si="117"/>
        <v>0</v>
      </c>
      <c r="W139" s="125">
        <f t="shared" si="117"/>
        <v>0</v>
      </c>
      <c r="X139" s="125">
        <f t="shared" si="117"/>
        <v>0</v>
      </c>
      <c r="Y139" s="125">
        <f t="shared" si="117"/>
        <v>0</v>
      </c>
      <c r="Z139" s="125">
        <f t="shared" si="117"/>
        <v>0</v>
      </c>
      <c r="AA139" s="125">
        <f t="shared" si="117"/>
        <v>0</v>
      </c>
      <c r="AB139" s="125">
        <f t="shared" si="117"/>
        <v>0</v>
      </c>
      <c r="AC139" s="125">
        <f t="shared" si="117"/>
        <v>0</v>
      </c>
      <c r="AD139" s="125">
        <f t="shared" si="117"/>
        <v>0</v>
      </c>
      <c r="AE139" s="125">
        <f t="shared" si="117"/>
        <v>0</v>
      </c>
      <c r="AF139" s="125">
        <f t="shared" si="117"/>
        <v>0</v>
      </c>
      <c r="AG139" s="92"/>
    </row>
    <row r="140" spans="1:33" ht="22.05" customHeight="1" x14ac:dyDescent="0.25">
      <c r="A140" s="204" t="s">
        <v>172</v>
      </c>
      <c r="B140" s="214" t="s">
        <v>173</v>
      </c>
      <c r="C140" s="246" t="s">
        <v>174</v>
      </c>
      <c r="D140" s="79" t="s">
        <v>149</v>
      </c>
      <c r="E140" s="133"/>
      <c r="F140" s="84"/>
      <c r="G140" s="123">
        <f>G143+G161+G164+G167</f>
        <v>0</v>
      </c>
      <c r="H140" s="123">
        <f t="shared" ref="H140:AF140" si="118">H143+H161+H164+H167+H170</f>
        <v>0</v>
      </c>
      <c r="I140" s="123">
        <f t="shared" si="118"/>
        <v>0</v>
      </c>
      <c r="J140" s="123">
        <f t="shared" si="118"/>
        <v>0</v>
      </c>
      <c r="K140" s="123">
        <f t="shared" si="118"/>
        <v>0</v>
      </c>
      <c r="L140" s="123">
        <f t="shared" si="118"/>
        <v>0</v>
      </c>
      <c r="M140" s="123">
        <f t="shared" si="118"/>
        <v>0</v>
      </c>
      <c r="N140" s="123">
        <f t="shared" si="118"/>
        <v>0</v>
      </c>
      <c r="O140" s="123">
        <f t="shared" si="118"/>
        <v>0</v>
      </c>
      <c r="P140" s="123">
        <f t="shared" si="118"/>
        <v>0</v>
      </c>
      <c r="Q140" s="123">
        <f t="shared" si="118"/>
        <v>0</v>
      </c>
      <c r="R140" s="123">
        <f t="shared" si="118"/>
        <v>0</v>
      </c>
      <c r="S140" s="123">
        <f t="shared" si="118"/>
        <v>0</v>
      </c>
      <c r="T140" s="123">
        <f t="shared" si="118"/>
        <v>0</v>
      </c>
      <c r="U140" s="123">
        <f t="shared" si="118"/>
        <v>0</v>
      </c>
      <c r="V140" s="123">
        <f t="shared" si="118"/>
        <v>0</v>
      </c>
      <c r="W140" s="123">
        <f t="shared" si="118"/>
        <v>0</v>
      </c>
      <c r="X140" s="123">
        <f t="shared" si="118"/>
        <v>0</v>
      </c>
      <c r="Y140" s="123">
        <f t="shared" si="118"/>
        <v>0</v>
      </c>
      <c r="Z140" s="123">
        <f t="shared" si="118"/>
        <v>0</v>
      </c>
      <c r="AA140" s="123">
        <f t="shared" si="118"/>
        <v>0</v>
      </c>
      <c r="AB140" s="123">
        <f t="shared" si="118"/>
        <v>0</v>
      </c>
      <c r="AC140" s="123">
        <f t="shared" si="118"/>
        <v>0</v>
      </c>
      <c r="AD140" s="123">
        <f t="shared" si="118"/>
        <v>0</v>
      </c>
      <c r="AE140" s="123">
        <f t="shared" si="118"/>
        <v>0</v>
      </c>
      <c r="AF140" s="123">
        <f t="shared" si="118"/>
        <v>0</v>
      </c>
      <c r="AG140" s="92"/>
    </row>
    <row r="141" spans="1:33" ht="22.05" customHeight="1" x14ac:dyDescent="0.25">
      <c r="A141" s="204"/>
      <c r="B141" s="214"/>
      <c r="C141" s="247"/>
      <c r="D141" s="79" t="s">
        <v>150</v>
      </c>
      <c r="E141" s="133"/>
      <c r="F141" s="84"/>
      <c r="G141" s="123">
        <f>G144+G162+G165+G168</f>
        <v>0</v>
      </c>
      <c r="H141" s="123">
        <f t="shared" ref="H141:S141" si="119">H144+H162+H165+H168</f>
        <v>0</v>
      </c>
      <c r="I141" s="123">
        <f t="shared" si="119"/>
        <v>0</v>
      </c>
      <c r="J141" s="123">
        <f t="shared" si="119"/>
        <v>0</v>
      </c>
      <c r="K141" s="123">
        <f t="shared" si="119"/>
        <v>0</v>
      </c>
      <c r="L141" s="123">
        <f t="shared" si="119"/>
        <v>0</v>
      </c>
      <c r="M141" s="123">
        <f t="shared" si="119"/>
        <v>0</v>
      </c>
      <c r="N141" s="123">
        <f t="shared" si="119"/>
        <v>0</v>
      </c>
      <c r="O141" s="123">
        <f t="shared" si="119"/>
        <v>0</v>
      </c>
      <c r="P141" s="123">
        <f t="shared" si="119"/>
        <v>0</v>
      </c>
      <c r="Q141" s="123">
        <f t="shared" si="119"/>
        <v>0</v>
      </c>
      <c r="R141" s="123">
        <f t="shared" si="119"/>
        <v>0</v>
      </c>
      <c r="S141" s="123">
        <f t="shared" si="119"/>
        <v>0</v>
      </c>
      <c r="T141" s="123"/>
      <c r="U141" s="123"/>
      <c r="V141" s="123"/>
      <c r="W141" s="123"/>
      <c r="X141" s="123"/>
      <c r="Y141" s="123"/>
      <c r="Z141" s="123"/>
      <c r="AA141" s="123"/>
      <c r="AB141" s="123"/>
      <c r="AC141" s="123"/>
      <c r="AD141" s="123"/>
      <c r="AE141" s="123"/>
      <c r="AF141" s="123"/>
      <c r="AG141" s="92"/>
    </row>
    <row r="142" spans="1:33" ht="22.05" customHeight="1" x14ac:dyDescent="0.25">
      <c r="A142" s="204"/>
      <c r="B142" s="214"/>
      <c r="C142" s="248"/>
      <c r="D142" s="79" t="s">
        <v>151</v>
      </c>
      <c r="E142" s="133"/>
      <c r="F142" s="84"/>
      <c r="G142" s="124"/>
      <c r="H142" s="118" t="e">
        <f>H141/$G141</f>
        <v>#DIV/0!</v>
      </c>
      <c r="I142" s="118" t="e">
        <f t="shared" ref="I142:S142" si="120">I141/$G141</f>
        <v>#DIV/0!</v>
      </c>
      <c r="J142" s="118" t="e">
        <f t="shared" si="120"/>
        <v>#DIV/0!</v>
      </c>
      <c r="K142" s="118" t="e">
        <f t="shared" si="120"/>
        <v>#DIV/0!</v>
      </c>
      <c r="L142" s="118" t="e">
        <f t="shared" si="120"/>
        <v>#DIV/0!</v>
      </c>
      <c r="M142" s="118" t="e">
        <f t="shared" si="120"/>
        <v>#DIV/0!</v>
      </c>
      <c r="N142" s="118" t="e">
        <f t="shared" si="120"/>
        <v>#DIV/0!</v>
      </c>
      <c r="O142" s="118" t="e">
        <f t="shared" si="120"/>
        <v>#DIV/0!</v>
      </c>
      <c r="P142" s="118" t="e">
        <f t="shared" si="120"/>
        <v>#DIV/0!</v>
      </c>
      <c r="Q142" s="118" t="e">
        <f t="shared" si="120"/>
        <v>#DIV/0!</v>
      </c>
      <c r="R142" s="118" t="e">
        <f t="shared" si="120"/>
        <v>#DIV/0!</v>
      </c>
      <c r="S142" s="118" t="e">
        <f t="shared" si="120"/>
        <v>#DIV/0!</v>
      </c>
      <c r="T142" s="123"/>
      <c r="U142" s="123"/>
      <c r="V142" s="123"/>
      <c r="W142" s="123"/>
      <c r="X142" s="123"/>
      <c r="Y142" s="123"/>
      <c r="Z142" s="123"/>
      <c r="AA142" s="123"/>
      <c r="AB142" s="123"/>
      <c r="AC142" s="123"/>
      <c r="AD142" s="123"/>
      <c r="AE142" s="123"/>
      <c r="AF142" s="123"/>
      <c r="AG142" s="92"/>
    </row>
    <row r="143" spans="1:33" ht="22.05" customHeight="1" x14ac:dyDescent="0.25">
      <c r="A143" s="204"/>
      <c r="B143" s="214"/>
      <c r="C143" s="235" t="s">
        <v>175</v>
      </c>
      <c r="D143" s="79" t="s">
        <v>149</v>
      </c>
      <c r="E143" s="105"/>
      <c r="F143" s="84"/>
      <c r="G143" s="119">
        <f>SUM(G146+G149++G152+G155+G158)</f>
        <v>0</v>
      </c>
      <c r="H143" s="119">
        <f t="shared" ref="H143:S143" si="121">SUM(H146+H149++H152+H155+H158)</f>
        <v>0</v>
      </c>
      <c r="I143" s="119">
        <f t="shared" si="121"/>
        <v>0</v>
      </c>
      <c r="J143" s="119">
        <f t="shared" si="121"/>
        <v>0</v>
      </c>
      <c r="K143" s="119">
        <f t="shared" si="121"/>
        <v>0</v>
      </c>
      <c r="L143" s="119">
        <f t="shared" si="121"/>
        <v>0</v>
      </c>
      <c r="M143" s="119">
        <f t="shared" si="121"/>
        <v>0</v>
      </c>
      <c r="N143" s="119">
        <f t="shared" si="121"/>
        <v>0</v>
      </c>
      <c r="O143" s="119">
        <f t="shared" si="121"/>
        <v>0</v>
      </c>
      <c r="P143" s="119">
        <f t="shared" si="121"/>
        <v>0</v>
      </c>
      <c r="Q143" s="119">
        <f t="shared" si="121"/>
        <v>0</v>
      </c>
      <c r="R143" s="119">
        <f t="shared" si="121"/>
        <v>0</v>
      </c>
      <c r="S143" s="119">
        <f t="shared" si="121"/>
        <v>0</v>
      </c>
      <c r="T143" s="123">
        <f t="shared" ref="T143:AF143" si="122">SUM(T146:T155)</f>
        <v>0</v>
      </c>
      <c r="U143" s="123">
        <f t="shared" si="122"/>
        <v>0</v>
      </c>
      <c r="V143" s="123">
        <f t="shared" si="122"/>
        <v>0</v>
      </c>
      <c r="W143" s="123">
        <f t="shared" si="122"/>
        <v>0</v>
      </c>
      <c r="X143" s="123">
        <f t="shared" si="122"/>
        <v>0</v>
      </c>
      <c r="Y143" s="123">
        <f t="shared" si="122"/>
        <v>0</v>
      </c>
      <c r="Z143" s="123">
        <f t="shared" si="122"/>
        <v>0</v>
      </c>
      <c r="AA143" s="123">
        <f t="shared" si="122"/>
        <v>0</v>
      </c>
      <c r="AB143" s="123">
        <f t="shared" si="122"/>
        <v>0</v>
      </c>
      <c r="AC143" s="123">
        <f t="shared" si="122"/>
        <v>0</v>
      </c>
      <c r="AD143" s="123">
        <f t="shared" si="122"/>
        <v>0</v>
      </c>
      <c r="AE143" s="123">
        <f t="shared" si="122"/>
        <v>0</v>
      </c>
      <c r="AF143" s="123">
        <f t="shared" si="122"/>
        <v>0</v>
      </c>
      <c r="AG143" s="260"/>
    </row>
    <row r="144" spans="1:33" ht="22.05" customHeight="1" x14ac:dyDescent="0.25">
      <c r="A144" s="204"/>
      <c r="B144" s="214"/>
      <c r="C144" s="236"/>
      <c r="D144" s="79" t="s">
        <v>150</v>
      </c>
      <c r="E144" s="105"/>
      <c r="F144" s="84"/>
      <c r="G144" s="119">
        <f>SUM(G147+G150++G153+G156+G159)</f>
        <v>0</v>
      </c>
      <c r="H144" s="119">
        <f t="shared" ref="H144:S144" si="123">SUM(H147+H150++H153+H156+H159)</f>
        <v>0</v>
      </c>
      <c r="I144" s="119">
        <f t="shared" si="123"/>
        <v>0</v>
      </c>
      <c r="J144" s="119">
        <f t="shared" si="123"/>
        <v>0</v>
      </c>
      <c r="K144" s="119">
        <f t="shared" si="123"/>
        <v>0</v>
      </c>
      <c r="L144" s="119">
        <f t="shared" si="123"/>
        <v>0</v>
      </c>
      <c r="M144" s="119">
        <f t="shared" si="123"/>
        <v>0</v>
      </c>
      <c r="N144" s="119">
        <f t="shared" si="123"/>
        <v>0</v>
      </c>
      <c r="O144" s="119">
        <f t="shared" si="123"/>
        <v>0</v>
      </c>
      <c r="P144" s="119">
        <f t="shared" si="123"/>
        <v>0</v>
      </c>
      <c r="Q144" s="119">
        <f t="shared" si="123"/>
        <v>0</v>
      </c>
      <c r="R144" s="119">
        <f t="shared" si="123"/>
        <v>0</v>
      </c>
      <c r="S144" s="119">
        <f t="shared" si="123"/>
        <v>0</v>
      </c>
      <c r="T144" s="123"/>
      <c r="U144" s="123"/>
      <c r="V144" s="123"/>
      <c r="W144" s="123"/>
      <c r="X144" s="123"/>
      <c r="Y144" s="123"/>
      <c r="Z144" s="123"/>
      <c r="AA144" s="123"/>
      <c r="AB144" s="123"/>
      <c r="AC144" s="123"/>
      <c r="AD144" s="123"/>
      <c r="AE144" s="123"/>
      <c r="AF144" s="123"/>
      <c r="AG144" s="261"/>
    </row>
    <row r="145" spans="1:33" ht="22.05" customHeight="1" x14ac:dyDescent="0.25">
      <c r="A145" s="204"/>
      <c r="B145" s="214"/>
      <c r="C145" s="237"/>
      <c r="D145" s="79" t="s">
        <v>151</v>
      </c>
      <c r="E145" s="105"/>
      <c r="F145" s="84"/>
      <c r="G145" s="121"/>
      <c r="H145" s="118" t="e">
        <f>H144/$G144</f>
        <v>#DIV/0!</v>
      </c>
      <c r="I145" s="118" t="e">
        <f t="shared" ref="I145:S145" si="124">I144/$G144</f>
        <v>#DIV/0!</v>
      </c>
      <c r="J145" s="118" t="e">
        <f t="shared" si="124"/>
        <v>#DIV/0!</v>
      </c>
      <c r="K145" s="118" t="e">
        <f t="shared" si="124"/>
        <v>#DIV/0!</v>
      </c>
      <c r="L145" s="118" t="e">
        <f t="shared" si="124"/>
        <v>#DIV/0!</v>
      </c>
      <c r="M145" s="118" t="e">
        <f t="shared" si="124"/>
        <v>#DIV/0!</v>
      </c>
      <c r="N145" s="118" t="e">
        <f t="shared" si="124"/>
        <v>#DIV/0!</v>
      </c>
      <c r="O145" s="118" t="e">
        <f t="shared" si="124"/>
        <v>#DIV/0!</v>
      </c>
      <c r="P145" s="118" t="e">
        <f t="shared" si="124"/>
        <v>#DIV/0!</v>
      </c>
      <c r="Q145" s="118" t="e">
        <f t="shared" si="124"/>
        <v>#DIV/0!</v>
      </c>
      <c r="R145" s="118" t="e">
        <f t="shared" si="124"/>
        <v>#DIV/0!</v>
      </c>
      <c r="S145" s="118" t="e">
        <f t="shared" si="124"/>
        <v>#DIV/0!</v>
      </c>
      <c r="T145" s="123"/>
      <c r="U145" s="123"/>
      <c r="V145" s="123"/>
      <c r="W145" s="123"/>
      <c r="X145" s="123"/>
      <c r="Y145" s="123"/>
      <c r="Z145" s="123"/>
      <c r="AA145" s="123"/>
      <c r="AB145" s="123"/>
      <c r="AC145" s="123"/>
      <c r="AD145" s="123"/>
      <c r="AE145" s="123"/>
      <c r="AF145" s="123"/>
      <c r="AG145" s="262"/>
    </row>
    <row r="146" spans="1:33" ht="22.05" customHeight="1" x14ac:dyDescent="0.25">
      <c r="A146" s="204"/>
      <c r="B146" s="214"/>
      <c r="C146" s="249" t="s">
        <v>176</v>
      </c>
      <c r="D146" s="79" t="s">
        <v>149</v>
      </c>
      <c r="E146" s="136"/>
      <c r="F146" s="84">
        <v>0.06</v>
      </c>
      <c r="G146" s="119">
        <f>SUM(H146:R146)</f>
        <v>0</v>
      </c>
      <c r="H146" s="129"/>
      <c r="I146" s="129"/>
      <c r="J146" s="129"/>
      <c r="K146" s="129"/>
      <c r="L146" s="129"/>
      <c r="M146" s="129"/>
      <c r="N146" s="129"/>
      <c r="O146" s="129"/>
      <c r="P146" s="129"/>
      <c r="Q146" s="129"/>
      <c r="R146" s="129"/>
      <c r="S146" s="129"/>
      <c r="T146" s="125">
        <f>SUM(U146:AF146)</f>
        <v>0</v>
      </c>
      <c r="U146" s="125">
        <f t="shared" ref="U146:AF146" si="125">H146/(1+$F$146)</f>
        <v>0</v>
      </c>
      <c r="V146" s="125">
        <f t="shared" si="125"/>
        <v>0</v>
      </c>
      <c r="W146" s="125">
        <f t="shared" si="125"/>
        <v>0</v>
      </c>
      <c r="X146" s="125">
        <f t="shared" si="125"/>
        <v>0</v>
      </c>
      <c r="Y146" s="125">
        <f t="shared" si="125"/>
        <v>0</v>
      </c>
      <c r="Z146" s="125">
        <f t="shared" si="125"/>
        <v>0</v>
      </c>
      <c r="AA146" s="125">
        <f t="shared" si="125"/>
        <v>0</v>
      </c>
      <c r="AB146" s="125">
        <f t="shared" si="125"/>
        <v>0</v>
      </c>
      <c r="AC146" s="125">
        <f t="shared" si="125"/>
        <v>0</v>
      </c>
      <c r="AD146" s="125">
        <f t="shared" si="125"/>
        <v>0</v>
      </c>
      <c r="AE146" s="125">
        <f t="shared" si="125"/>
        <v>0</v>
      </c>
      <c r="AF146" s="125">
        <f t="shared" si="125"/>
        <v>0</v>
      </c>
      <c r="AG146" s="260" t="s">
        <v>177</v>
      </c>
    </row>
    <row r="147" spans="1:33" ht="22.05" customHeight="1" x14ac:dyDescent="0.25">
      <c r="A147" s="204"/>
      <c r="B147" s="214"/>
      <c r="C147" s="250"/>
      <c r="D147" s="79" t="s">
        <v>150</v>
      </c>
      <c r="E147" s="136"/>
      <c r="F147" s="84"/>
      <c r="G147" s="119">
        <f>SUM(H147:R147)</f>
        <v>0</v>
      </c>
      <c r="H147" s="129"/>
      <c r="I147" s="129"/>
      <c r="J147" s="129"/>
      <c r="K147" s="129"/>
      <c r="L147" s="129"/>
      <c r="M147" s="129"/>
      <c r="N147" s="129"/>
      <c r="O147" s="129"/>
      <c r="P147" s="129"/>
      <c r="Q147" s="129"/>
      <c r="R147" s="129"/>
      <c r="S147" s="129"/>
      <c r="T147" s="125"/>
      <c r="U147" s="125"/>
      <c r="V147" s="125"/>
      <c r="W147" s="125"/>
      <c r="X147" s="125"/>
      <c r="Y147" s="125"/>
      <c r="Z147" s="125"/>
      <c r="AA147" s="125"/>
      <c r="AB147" s="125"/>
      <c r="AC147" s="125"/>
      <c r="AD147" s="125"/>
      <c r="AE147" s="125"/>
      <c r="AF147" s="125"/>
      <c r="AG147" s="261"/>
    </row>
    <row r="148" spans="1:33" ht="22.05" customHeight="1" x14ac:dyDescent="0.25">
      <c r="A148" s="204"/>
      <c r="B148" s="214"/>
      <c r="C148" s="251"/>
      <c r="D148" s="79" t="s">
        <v>151</v>
      </c>
      <c r="E148" s="136"/>
      <c r="F148" s="84"/>
      <c r="G148" s="121"/>
      <c r="H148" s="118" t="e">
        <f>H147/$G147</f>
        <v>#DIV/0!</v>
      </c>
      <c r="I148" s="118" t="e">
        <f t="shared" ref="I148:S148" si="126">I147/$G147</f>
        <v>#DIV/0!</v>
      </c>
      <c r="J148" s="118" t="e">
        <f t="shared" si="126"/>
        <v>#DIV/0!</v>
      </c>
      <c r="K148" s="118" t="e">
        <f t="shared" si="126"/>
        <v>#DIV/0!</v>
      </c>
      <c r="L148" s="118" t="e">
        <f t="shared" si="126"/>
        <v>#DIV/0!</v>
      </c>
      <c r="M148" s="118" t="e">
        <f t="shared" si="126"/>
        <v>#DIV/0!</v>
      </c>
      <c r="N148" s="118" t="e">
        <f t="shared" si="126"/>
        <v>#DIV/0!</v>
      </c>
      <c r="O148" s="118" t="e">
        <f t="shared" si="126"/>
        <v>#DIV/0!</v>
      </c>
      <c r="P148" s="118" t="e">
        <f t="shared" si="126"/>
        <v>#DIV/0!</v>
      </c>
      <c r="Q148" s="118" t="e">
        <f t="shared" si="126"/>
        <v>#DIV/0!</v>
      </c>
      <c r="R148" s="118" t="e">
        <f t="shared" si="126"/>
        <v>#DIV/0!</v>
      </c>
      <c r="S148" s="118" t="e">
        <f t="shared" si="126"/>
        <v>#DIV/0!</v>
      </c>
      <c r="T148" s="125"/>
      <c r="U148" s="125"/>
      <c r="V148" s="125"/>
      <c r="W148" s="125"/>
      <c r="X148" s="125"/>
      <c r="Y148" s="125"/>
      <c r="Z148" s="125"/>
      <c r="AA148" s="125"/>
      <c r="AB148" s="125"/>
      <c r="AC148" s="125"/>
      <c r="AD148" s="125"/>
      <c r="AE148" s="125"/>
      <c r="AF148" s="125"/>
      <c r="AG148" s="261"/>
    </row>
    <row r="149" spans="1:33" ht="22.05" customHeight="1" x14ac:dyDescent="0.25">
      <c r="A149" s="204"/>
      <c r="B149" s="214"/>
      <c r="C149" s="249" t="s">
        <v>178</v>
      </c>
      <c r="D149" s="79" t="s">
        <v>149</v>
      </c>
      <c r="E149" s="136"/>
      <c r="F149" s="84">
        <v>0.09</v>
      </c>
      <c r="G149" s="119">
        <f t="shared" ref="G149:G153" si="127">SUM(H149:S149)</f>
        <v>0</v>
      </c>
      <c r="H149" s="129"/>
      <c r="I149" s="129"/>
      <c r="J149" s="129"/>
      <c r="K149" s="129"/>
      <c r="L149" s="129"/>
      <c r="M149" s="129"/>
      <c r="N149" s="129"/>
      <c r="O149" s="129"/>
      <c r="P149" s="129"/>
      <c r="Q149" s="129"/>
      <c r="R149" s="129"/>
      <c r="S149" s="129"/>
      <c r="T149" s="125">
        <f>SUM(U149:AF149)</f>
        <v>0</v>
      </c>
      <c r="U149" s="125">
        <f t="shared" ref="U149:AF149" si="128">H149/(1+$F$149)</f>
        <v>0</v>
      </c>
      <c r="V149" s="125">
        <f t="shared" si="128"/>
        <v>0</v>
      </c>
      <c r="W149" s="125">
        <f t="shared" si="128"/>
        <v>0</v>
      </c>
      <c r="X149" s="125">
        <f t="shared" si="128"/>
        <v>0</v>
      </c>
      <c r="Y149" s="125">
        <f t="shared" si="128"/>
        <v>0</v>
      </c>
      <c r="Z149" s="125">
        <f t="shared" si="128"/>
        <v>0</v>
      </c>
      <c r="AA149" s="125">
        <f t="shared" si="128"/>
        <v>0</v>
      </c>
      <c r="AB149" s="125">
        <f t="shared" si="128"/>
        <v>0</v>
      </c>
      <c r="AC149" s="125">
        <f t="shared" si="128"/>
        <v>0</v>
      </c>
      <c r="AD149" s="125">
        <f t="shared" si="128"/>
        <v>0</v>
      </c>
      <c r="AE149" s="125">
        <f t="shared" si="128"/>
        <v>0</v>
      </c>
      <c r="AF149" s="125">
        <f t="shared" si="128"/>
        <v>0</v>
      </c>
      <c r="AG149" s="261"/>
    </row>
    <row r="150" spans="1:33" ht="22.05" customHeight="1" x14ac:dyDescent="0.25">
      <c r="A150" s="204"/>
      <c r="B150" s="214"/>
      <c r="C150" s="250"/>
      <c r="D150" s="79" t="s">
        <v>150</v>
      </c>
      <c r="E150" s="136"/>
      <c r="F150" s="84"/>
      <c r="G150" s="119">
        <f t="shared" si="127"/>
        <v>0</v>
      </c>
      <c r="H150" s="129"/>
      <c r="I150" s="129"/>
      <c r="J150" s="129"/>
      <c r="K150" s="129"/>
      <c r="L150" s="129"/>
      <c r="M150" s="129"/>
      <c r="N150" s="129"/>
      <c r="O150" s="129"/>
      <c r="P150" s="129"/>
      <c r="Q150" s="129"/>
      <c r="R150" s="129"/>
      <c r="S150" s="129"/>
      <c r="T150" s="125"/>
      <c r="U150" s="125"/>
      <c r="V150" s="125"/>
      <c r="W150" s="125"/>
      <c r="X150" s="125"/>
      <c r="Y150" s="125"/>
      <c r="Z150" s="125"/>
      <c r="AA150" s="125"/>
      <c r="AB150" s="125"/>
      <c r="AC150" s="125"/>
      <c r="AD150" s="125"/>
      <c r="AE150" s="125"/>
      <c r="AF150" s="125"/>
      <c r="AG150" s="261"/>
    </row>
    <row r="151" spans="1:33" ht="22.05" customHeight="1" x14ac:dyDescent="0.25">
      <c r="A151" s="204"/>
      <c r="B151" s="214"/>
      <c r="C151" s="251"/>
      <c r="D151" s="79" t="s">
        <v>151</v>
      </c>
      <c r="E151" s="136"/>
      <c r="F151" s="84"/>
      <c r="G151" s="121"/>
      <c r="H151" s="118" t="e">
        <f>H150/$G150</f>
        <v>#DIV/0!</v>
      </c>
      <c r="I151" s="118" t="e">
        <f t="shared" ref="I151:S151" si="129">I150/$G150</f>
        <v>#DIV/0!</v>
      </c>
      <c r="J151" s="118" t="e">
        <f t="shared" si="129"/>
        <v>#DIV/0!</v>
      </c>
      <c r="K151" s="118" t="e">
        <f t="shared" si="129"/>
        <v>#DIV/0!</v>
      </c>
      <c r="L151" s="118" t="e">
        <f t="shared" si="129"/>
        <v>#DIV/0!</v>
      </c>
      <c r="M151" s="118" t="e">
        <f t="shared" si="129"/>
        <v>#DIV/0!</v>
      </c>
      <c r="N151" s="118" t="e">
        <f t="shared" si="129"/>
        <v>#DIV/0!</v>
      </c>
      <c r="O151" s="118" t="e">
        <f t="shared" si="129"/>
        <v>#DIV/0!</v>
      </c>
      <c r="P151" s="118" t="e">
        <f t="shared" si="129"/>
        <v>#DIV/0!</v>
      </c>
      <c r="Q151" s="118" t="e">
        <f t="shared" si="129"/>
        <v>#DIV/0!</v>
      </c>
      <c r="R151" s="118" t="e">
        <f t="shared" si="129"/>
        <v>#DIV/0!</v>
      </c>
      <c r="S151" s="118" t="e">
        <f t="shared" si="129"/>
        <v>#DIV/0!</v>
      </c>
      <c r="T151" s="125"/>
      <c r="U151" s="125"/>
      <c r="V151" s="125"/>
      <c r="W151" s="125"/>
      <c r="X151" s="125"/>
      <c r="Y151" s="125"/>
      <c r="Z151" s="125"/>
      <c r="AA151" s="125"/>
      <c r="AB151" s="125"/>
      <c r="AC151" s="125"/>
      <c r="AD151" s="125"/>
      <c r="AE151" s="125"/>
      <c r="AF151" s="125"/>
      <c r="AG151" s="262"/>
    </row>
    <row r="152" spans="1:33" ht="22.05" customHeight="1" x14ac:dyDescent="0.25">
      <c r="A152" s="204"/>
      <c r="B152" s="214"/>
      <c r="C152" s="249" t="s">
        <v>179</v>
      </c>
      <c r="D152" s="79" t="s">
        <v>149</v>
      </c>
      <c r="E152" s="136"/>
      <c r="F152" s="84">
        <v>0.06</v>
      </c>
      <c r="G152" s="119">
        <f t="shared" si="127"/>
        <v>0</v>
      </c>
      <c r="H152" s="129"/>
      <c r="I152" s="129"/>
      <c r="J152" s="129"/>
      <c r="K152" s="129"/>
      <c r="L152" s="129"/>
      <c r="M152" s="129"/>
      <c r="N152" s="129"/>
      <c r="O152" s="129"/>
      <c r="P152" s="129"/>
      <c r="Q152" s="129"/>
      <c r="R152" s="129"/>
      <c r="S152" s="129"/>
      <c r="T152" s="125">
        <f>SUM(U152:AF152)</f>
        <v>0</v>
      </c>
      <c r="U152" s="125">
        <f t="shared" ref="U152:AF152" si="130">H152/(1+$F$152)</f>
        <v>0</v>
      </c>
      <c r="V152" s="125">
        <f t="shared" si="130"/>
        <v>0</v>
      </c>
      <c r="W152" s="125">
        <f t="shared" si="130"/>
        <v>0</v>
      </c>
      <c r="X152" s="125">
        <f t="shared" si="130"/>
        <v>0</v>
      </c>
      <c r="Y152" s="125">
        <f t="shared" si="130"/>
        <v>0</v>
      </c>
      <c r="Z152" s="125">
        <f t="shared" si="130"/>
        <v>0</v>
      </c>
      <c r="AA152" s="125">
        <f t="shared" si="130"/>
        <v>0</v>
      </c>
      <c r="AB152" s="125">
        <f t="shared" si="130"/>
        <v>0</v>
      </c>
      <c r="AC152" s="125">
        <f t="shared" si="130"/>
        <v>0</v>
      </c>
      <c r="AD152" s="125">
        <f t="shared" si="130"/>
        <v>0</v>
      </c>
      <c r="AE152" s="125">
        <f t="shared" si="130"/>
        <v>0</v>
      </c>
      <c r="AF152" s="125">
        <f t="shared" si="130"/>
        <v>0</v>
      </c>
      <c r="AG152" s="92"/>
    </row>
    <row r="153" spans="1:33" ht="22.05" customHeight="1" x14ac:dyDescent="0.25">
      <c r="A153" s="204"/>
      <c r="B153" s="214"/>
      <c r="C153" s="250"/>
      <c r="D153" s="79" t="s">
        <v>150</v>
      </c>
      <c r="E153" s="136"/>
      <c r="F153" s="84"/>
      <c r="G153" s="119">
        <f t="shared" si="127"/>
        <v>0</v>
      </c>
      <c r="H153" s="129"/>
      <c r="I153" s="129"/>
      <c r="J153" s="129"/>
      <c r="K153" s="129"/>
      <c r="L153" s="129"/>
      <c r="M153" s="129"/>
      <c r="N153" s="129"/>
      <c r="O153" s="129"/>
      <c r="P153" s="129"/>
      <c r="Q153" s="129"/>
      <c r="R153" s="129"/>
      <c r="S153" s="129"/>
      <c r="T153" s="125"/>
      <c r="U153" s="125"/>
      <c r="V153" s="125"/>
      <c r="W153" s="125"/>
      <c r="X153" s="125"/>
      <c r="Y153" s="125"/>
      <c r="Z153" s="125"/>
      <c r="AA153" s="125"/>
      <c r="AB153" s="125"/>
      <c r="AC153" s="125"/>
      <c r="AD153" s="125"/>
      <c r="AE153" s="125"/>
      <c r="AF153" s="125"/>
      <c r="AG153" s="260" t="s">
        <v>180</v>
      </c>
    </row>
    <row r="154" spans="1:33" ht="22.05" customHeight="1" x14ac:dyDescent="0.25">
      <c r="A154" s="204"/>
      <c r="B154" s="214"/>
      <c r="C154" s="251"/>
      <c r="D154" s="79" t="s">
        <v>151</v>
      </c>
      <c r="E154" s="136"/>
      <c r="F154" s="84"/>
      <c r="G154" s="121"/>
      <c r="H154" s="118" t="e">
        <f>H153/$G153</f>
        <v>#DIV/0!</v>
      </c>
      <c r="I154" s="118" t="e">
        <f t="shared" ref="I154:S154" si="131">I153/$G153</f>
        <v>#DIV/0!</v>
      </c>
      <c r="J154" s="118" t="e">
        <f t="shared" si="131"/>
        <v>#DIV/0!</v>
      </c>
      <c r="K154" s="118" t="e">
        <f t="shared" si="131"/>
        <v>#DIV/0!</v>
      </c>
      <c r="L154" s="118" t="e">
        <f t="shared" si="131"/>
        <v>#DIV/0!</v>
      </c>
      <c r="M154" s="118" t="e">
        <f t="shared" si="131"/>
        <v>#DIV/0!</v>
      </c>
      <c r="N154" s="118" t="e">
        <f t="shared" si="131"/>
        <v>#DIV/0!</v>
      </c>
      <c r="O154" s="118" t="e">
        <f t="shared" si="131"/>
        <v>#DIV/0!</v>
      </c>
      <c r="P154" s="118" t="e">
        <f t="shared" si="131"/>
        <v>#DIV/0!</v>
      </c>
      <c r="Q154" s="118" t="e">
        <f t="shared" si="131"/>
        <v>#DIV/0!</v>
      </c>
      <c r="R154" s="118" t="e">
        <f t="shared" si="131"/>
        <v>#DIV/0!</v>
      </c>
      <c r="S154" s="118" t="e">
        <f t="shared" si="131"/>
        <v>#DIV/0!</v>
      </c>
      <c r="T154" s="125"/>
      <c r="U154" s="125"/>
      <c r="V154" s="125"/>
      <c r="W154" s="125"/>
      <c r="X154" s="125"/>
      <c r="Y154" s="125"/>
      <c r="Z154" s="125"/>
      <c r="AA154" s="125"/>
      <c r="AB154" s="125"/>
      <c r="AC154" s="125"/>
      <c r="AD154" s="125"/>
      <c r="AE154" s="125"/>
      <c r="AF154" s="125"/>
      <c r="AG154" s="261"/>
    </row>
    <row r="155" spans="1:33" ht="22.05" customHeight="1" x14ac:dyDescent="0.25">
      <c r="A155" s="204"/>
      <c r="B155" s="214"/>
      <c r="C155" s="249" t="s">
        <v>181</v>
      </c>
      <c r="D155" s="79" t="s">
        <v>149</v>
      </c>
      <c r="E155" s="136"/>
      <c r="F155" s="84">
        <v>0.09</v>
      </c>
      <c r="G155" s="119">
        <f t="shared" ref="G155:G159" si="132">SUM(H155:S155)</f>
        <v>0</v>
      </c>
      <c r="H155" s="129"/>
      <c r="I155" s="129"/>
      <c r="J155" s="129"/>
      <c r="K155" s="129"/>
      <c r="L155" s="129"/>
      <c r="M155" s="129"/>
      <c r="N155" s="129"/>
      <c r="O155" s="129"/>
      <c r="P155" s="129"/>
      <c r="Q155" s="129"/>
      <c r="R155" s="129"/>
      <c r="S155" s="129"/>
      <c r="T155" s="125">
        <f>SUM(U155:AF155)</f>
        <v>0</v>
      </c>
      <c r="U155" s="125">
        <f t="shared" ref="U155:AF155" si="133">H155/(1+$F$155)</f>
        <v>0</v>
      </c>
      <c r="V155" s="125">
        <f t="shared" si="133"/>
        <v>0</v>
      </c>
      <c r="W155" s="125">
        <f t="shared" si="133"/>
        <v>0</v>
      </c>
      <c r="X155" s="125">
        <f t="shared" si="133"/>
        <v>0</v>
      </c>
      <c r="Y155" s="125">
        <f t="shared" si="133"/>
        <v>0</v>
      </c>
      <c r="Z155" s="125">
        <f t="shared" si="133"/>
        <v>0</v>
      </c>
      <c r="AA155" s="125">
        <f t="shared" si="133"/>
        <v>0</v>
      </c>
      <c r="AB155" s="125">
        <f t="shared" si="133"/>
        <v>0</v>
      </c>
      <c r="AC155" s="125">
        <f t="shared" si="133"/>
        <v>0</v>
      </c>
      <c r="AD155" s="125">
        <f t="shared" si="133"/>
        <v>0</v>
      </c>
      <c r="AE155" s="125">
        <f t="shared" si="133"/>
        <v>0</v>
      </c>
      <c r="AF155" s="125">
        <f t="shared" si="133"/>
        <v>0</v>
      </c>
      <c r="AG155" s="261"/>
    </row>
    <row r="156" spans="1:33" ht="22.05" customHeight="1" x14ac:dyDescent="0.25">
      <c r="A156" s="204"/>
      <c r="B156" s="214"/>
      <c r="C156" s="250"/>
      <c r="D156" s="79" t="s">
        <v>150</v>
      </c>
      <c r="E156" s="136"/>
      <c r="F156" s="84"/>
      <c r="G156" s="119">
        <f t="shared" si="132"/>
        <v>0</v>
      </c>
      <c r="H156" s="129"/>
      <c r="I156" s="129"/>
      <c r="J156" s="129"/>
      <c r="K156" s="129"/>
      <c r="L156" s="129"/>
      <c r="M156" s="129"/>
      <c r="N156" s="129"/>
      <c r="O156" s="129"/>
      <c r="P156" s="129"/>
      <c r="Q156" s="129"/>
      <c r="R156" s="129"/>
      <c r="S156" s="129"/>
      <c r="T156" s="125"/>
      <c r="U156" s="125"/>
      <c r="V156" s="125"/>
      <c r="W156" s="125"/>
      <c r="X156" s="125"/>
      <c r="Y156" s="125"/>
      <c r="Z156" s="125"/>
      <c r="AA156" s="125"/>
      <c r="AB156" s="125"/>
      <c r="AC156" s="125"/>
      <c r="AD156" s="125"/>
      <c r="AE156" s="125"/>
      <c r="AF156" s="125"/>
      <c r="AG156" s="261"/>
    </row>
    <row r="157" spans="1:33" ht="22.05" customHeight="1" x14ac:dyDescent="0.25">
      <c r="A157" s="204"/>
      <c r="B157" s="214"/>
      <c r="C157" s="251"/>
      <c r="D157" s="79" t="s">
        <v>151</v>
      </c>
      <c r="E157" s="136"/>
      <c r="F157" s="84"/>
      <c r="G157" s="121"/>
      <c r="H157" s="118" t="e">
        <f>H156/$G156</f>
        <v>#DIV/0!</v>
      </c>
      <c r="I157" s="118" t="e">
        <f t="shared" ref="I157:S157" si="134">I156/$G156</f>
        <v>#DIV/0!</v>
      </c>
      <c r="J157" s="118" t="e">
        <f t="shared" si="134"/>
        <v>#DIV/0!</v>
      </c>
      <c r="K157" s="118" t="e">
        <f t="shared" si="134"/>
        <v>#DIV/0!</v>
      </c>
      <c r="L157" s="118" t="e">
        <f t="shared" si="134"/>
        <v>#DIV/0!</v>
      </c>
      <c r="M157" s="118" t="e">
        <f t="shared" si="134"/>
        <v>#DIV/0!</v>
      </c>
      <c r="N157" s="118" t="e">
        <f t="shared" si="134"/>
        <v>#DIV/0!</v>
      </c>
      <c r="O157" s="118" t="e">
        <f t="shared" si="134"/>
        <v>#DIV/0!</v>
      </c>
      <c r="P157" s="118" t="e">
        <f t="shared" si="134"/>
        <v>#DIV/0!</v>
      </c>
      <c r="Q157" s="118" t="e">
        <f t="shared" si="134"/>
        <v>#DIV/0!</v>
      </c>
      <c r="R157" s="118" t="e">
        <f t="shared" si="134"/>
        <v>#DIV/0!</v>
      </c>
      <c r="S157" s="118" t="e">
        <f t="shared" si="134"/>
        <v>#DIV/0!</v>
      </c>
      <c r="T157" s="125"/>
      <c r="U157" s="125"/>
      <c r="V157" s="125"/>
      <c r="W157" s="125"/>
      <c r="X157" s="125"/>
      <c r="Y157" s="125"/>
      <c r="Z157" s="125"/>
      <c r="AA157" s="125"/>
      <c r="AB157" s="125"/>
      <c r="AC157" s="125"/>
      <c r="AD157" s="125"/>
      <c r="AE157" s="125"/>
      <c r="AF157" s="125"/>
      <c r="AG157" s="262"/>
    </row>
    <row r="158" spans="1:33" ht="22.05" customHeight="1" x14ac:dyDescent="0.25">
      <c r="A158" s="204"/>
      <c r="B158" s="214"/>
      <c r="C158" s="252" t="s">
        <v>182</v>
      </c>
      <c r="D158" s="79" t="s">
        <v>149</v>
      </c>
      <c r="E158" s="136"/>
      <c r="F158" s="84">
        <v>0.13</v>
      </c>
      <c r="G158" s="119">
        <f t="shared" si="132"/>
        <v>0</v>
      </c>
      <c r="H158" s="137"/>
      <c r="I158" s="137"/>
      <c r="J158" s="137"/>
      <c r="K158" s="137"/>
      <c r="L158" s="137"/>
      <c r="M158" s="137"/>
      <c r="N158" s="137"/>
      <c r="O158" s="137"/>
      <c r="P158" s="137"/>
      <c r="Q158" s="122"/>
      <c r="R158" s="122"/>
      <c r="S158" s="122"/>
      <c r="T158" s="125">
        <f>SUM(U158:AF158)</f>
        <v>0</v>
      </c>
      <c r="U158" s="125">
        <f t="shared" ref="U158:AF158" si="135">H158/(1+$F$155)</f>
        <v>0</v>
      </c>
      <c r="V158" s="125">
        <f t="shared" si="135"/>
        <v>0</v>
      </c>
      <c r="W158" s="125">
        <f t="shared" si="135"/>
        <v>0</v>
      </c>
      <c r="X158" s="125">
        <f t="shared" si="135"/>
        <v>0</v>
      </c>
      <c r="Y158" s="125">
        <f t="shared" si="135"/>
        <v>0</v>
      </c>
      <c r="Z158" s="125">
        <f t="shared" si="135"/>
        <v>0</v>
      </c>
      <c r="AA158" s="125">
        <f t="shared" si="135"/>
        <v>0</v>
      </c>
      <c r="AB158" s="125">
        <f t="shared" si="135"/>
        <v>0</v>
      </c>
      <c r="AC158" s="125">
        <f t="shared" si="135"/>
        <v>0</v>
      </c>
      <c r="AD158" s="125">
        <f t="shared" si="135"/>
        <v>0</v>
      </c>
      <c r="AE158" s="125">
        <f t="shared" si="135"/>
        <v>0</v>
      </c>
      <c r="AF158" s="125">
        <f t="shared" si="135"/>
        <v>0</v>
      </c>
      <c r="AG158" s="92" t="s">
        <v>183</v>
      </c>
    </row>
    <row r="159" spans="1:33" ht="22.05" customHeight="1" x14ac:dyDescent="0.25">
      <c r="A159" s="204"/>
      <c r="B159" s="214"/>
      <c r="C159" s="253"/>
      <c r="D159" s="79" t="s">
        <v>150</v>
      </c>
      <c r="E159" s="136"/>
      <c r="F159" s="84"/>
      <c r="G159" s="119">
        <f t="shared" si="132"/>
        <v>0</v>
      </c>
      <c r="H159" s="137"/>
      <c r="I159" s="137"/>
      <c r="J159" s="137"/>
      <c r="K159" s="137"/>
      <c r="L159" s="137"/>
      <c r="M159" s="137"/>
      <c r="N159" s="137"/>
      <c r="O159" s="137"/>
      <c r="P159" s="137"/>
      <c r="Q159" s="122"/>
      <c r="R159" s="122"/>
      <c r="S159" s="122"/>
      <c r="T159" s="125"/>
      <c r="U159" s="125"/>
      <c r="V159" s="125"/>
      <c r="W159" s="125"/>
      <c r="X159" s="125"/>
      <c r="Y159" s="125"/>
      <c r="Z159" s="125"/>
      <c r="AA159" s="125"/>
      <c r="AB159" s="125"/>
      <c r="AC159" s="125"/>
      <c r="AD159" s="125"/>
      <c r="AE159" s="125"/>
      <c r="AF159" s="125"/>
      <c r="AG159" s="92"/>
    </row>
    <row r="160" spans="1:33" ht="22.05" customHeight="1" x14ac:dyDescent="0.25">
      <c r="A160" s="204"/>
      <c r="B160" s="214"/>
      <c r="C160" s="254"/>
      <c r="D160" s="79" t="s">
        <v>151</v>
      </c>
      <c r="E160" s="136"/>
      <c r="F160" s="84"/>
      <c r="G160" s="121"/>
      <c r="H160" s="118" t="e">
        <f t="shared" ref="H160:S160" si="136">H159/$G159</f>
        <v>#DIV/0!</v>
      </c>
      <c r="I160" s="118" t="e">
        <f t="shared" si="136"/>
        <v>#DIV/0!</v>
      </c>
      <c r="J160" s="118" t="e">
        <f t="shared" si="136"/>
        <v>#DIV/0!</v>
      </c>
      <c r="K160" s="118" t="e">
        <f t="shared" si="136"/>
        <v>#DIV/0!</v>
      </c>
      <c r="L160" s="118" t="e">
        <f t="shared" si="136"/>
        <v>#DIV/0!</v>
      </c>
      <c r="M160" s="118" t="e">
        <f t="shared" si="136"/>
        <v>#DIV/0!</v>
      </c>
      <c r="N160" s="118" t="e">
        <f t="shared" si="136"/>
        <v>#DIV/0!</v>
      </c>
      <c r="O160" s="118" t="e">
        <f t="shared" si="136"/>
        <v>#DIV/0!</v>
      </c>
      <c r="P160" s="118" t="e">
        <f t="shared" si="136"/>
        <v>#DIV/0!</v>
      </c>
      <c r="Q160" s="118" t="e">
        <f t="shared" si="136"/>
        <v>#DIV/0!</v>
      </c>
      <c r="R160" s="118" t="e">
        <f t="shared" si="136"/>
        <v>#DIV/0!</v>
      </c>
      <c r="S160" s="118" t="e">
        <f t="shared" si="136"/>
        <v>#DIV/0!</v>
      </c>
      <c r="T160" s="125"/>
      <c r="U160" s="125"/>
      <c r="V160" s="125"/>
      <c r="W160" s="125"/>
      <c r="X160" s="125"/>
      <c r="Y160" s="125"/>
      <c r="Z160" s="125"/>
      <c r="AA160" s="125"/>
      <c r="AB160" s="125"/>
      <c r="AC160" s="125"/>
      <c r="AD160" s="125"/>
      <c r="AE160" s="125"/>
      <c r="AF160" s="125"/>
      <c r="AG160" s="92"/>
    </row>
    <row r="161" spans="1:33" ht="22.05" customHeight="1" x14ac:dyDescent="0.25">
      <c r="A161" s="204"/>
      <c r="B161" s="214"/>
      <c r="C161" s="235" t="s">
        <v>184</v>
      </c>
      <c r="D161" s="79" t="s">
        <v>149</v>
      </c>
      <c r="E161" s="105"/>
      <c r="F161" s="84">
        <v>0.13</v>
      </c>
      <c r="G161" s="119">
        <f>SUM(H161:S161)</f>
        <v>0</v>
      </c>
      <c r="H161" s="122"/>
      <c r="I161" s="129"/>
      <c r="J161" s="129"/>
      <c r="K161" s="129"/>
      <c r="L161" s="122"/>
      <c r="M161" s="122"/>
      <c r="N161" s="122"/>
      <c r="O161" s="122"/>
      <c r="P161" s="122"/>
      <c r="Q161" s="122"/>
      <c r="R161" s="122"/>
      <c r="S161" s="122"/>
      <c r="T161" s="125">
        <f>SUM(U161:AF161)</f>
        <v>0</v>
      </c>
      <c r="U161" s="117">
        <f t="shared" ref="U161:AF161" si="137">H161/(1+$F$161)</f>
        <v>0</v>
      </c>
      <c r="V161" s="117">
        <f t="shared" si="137"/>
        <v>0</v>
      </c>
      <c r="W161" s="117">
        <f t="shared" si="137"/>
        <v>0</v>
      </c>
      <c r="X161" s="117">
        <f t="shared" si="137"/>
        <v>0</v>
      </c>
      <c r="Y161" s="117">
        <f t="shared" si="137"/>
        <v>0</v>
      </c>
      <c r="Z161" s="117">
        <f t="shared" si="137"/>
        <v>0</v>
      </c>
      <c r="AA161" s="117">
        <f t="shared" si="137"/>
        <v>0</v>
      </c>
      <c r="AB161" s="117">
        <f t="shared" si="137"/>
        <v>0</v>
      </c>
      <c r="AC161" s="117">
        <f t="shared" si="137"/>
        <v>0</v>
      </c>
      <c r="AD161" s="117">
        <f t="shared" si="137"/>
        <v>0</v>
      </c>
      <c r="AE161" s="117">
        <f t="shared" si="137"/>
        <v>0</v>
      </c>
      <c r="AF161" s="117">
        <f t="shared" si="137"/>
        <v>0</v>
      </c>
      <c r="AG161" s="92" t="s">
        <v>183</v>
      </c>
    </row>
    <row r="162" spans="1:33" ht="22.05" customHeight="1" x14ac:dyDescent="0.25">
      <c r="A162" s="204"/>
      <c r="B162" s="214"/>
      <c r="C162" s="236"/>
      <c r="D162" s="79" t="s">
        <v>150</v>
      </c>
      <c r="E162" s="105"/>
      <c r="F162" s="84"/>
      <c r="G162" s="119">
        <f t="shared" ref="G162:G165" si="138">SUM(H162:S162)</f>
        <v>0</v>
      </c>
      <c r="H162" s="122"/>
      <c r="I162" s="129"/>
      <c r="J162" s="129"/>
      <c r="K162" s="129"/>
      <c r="L162" s="122"/>
      <c r="M162" s="122"/>
      <c r="N162" s="122"/>
      <c r="O162" s="122"/>
      <c r="P162" s="122"/>
      <c r="Q162" s="122"/>
      <c r="R162" s="122"/>
      <c r="S162" s="122"/>
      <c r="T162" s="125"/>
      <c r="U162" s="117"/>
      <c r="V162" s="117"/>
      <c r="W162" s="117"/>
      <c r="X162" s="117"/>
      <c r="Y162" s="117"/>
      <c r="Z162" s="117"/>
      <c r="AA162" s="117"/>
      <c r="AB162" s="117"/>
      <c r="AC162" s="117"/>
      <c r="AD162" s="117"/>
      <c r="AE162" s="117"/>
      <c r="AF162" s="117"/>
      <c r="AG162" s="92"/>
    </row>
    <row r="163" spans="1:33" ht="22.05" customHeight="1" x14ac:dyDescent="0.25">
      <c r="A163" s="204"/>
      <c r="B163" s="214"/>
      <c r="C163" s="237"/>
      <c r="D163" s="79" t="s">
        <v>151</v>
      </c>
      <c r="E163" s="105"/>
      <c r="F163" s="84"/>
      <c r="G163" s="121"/>
      <c r="H163" s="118" t="e">
        <f>H162/$G162</f>
        <v>#DIV/0!</v>
      </c>
      <c r="I163" s="118" t="e">
        <f t="shared" ref="I163:S163" si="139">I162/$G162</f>
        <v>#DIV/0!</v>
      </c>
      <c r="J163" s="118" t="e">
        <f t="shared" si="139"/>
        <v>#DIV/0!</v>
      </c>
      <c r="K163" s="118" t="e">
        <f t="shared" si="139"/>
        <v>#DIV/0!</v>
      </c>
      <c r="L163" s="118" t="e">
        <f t="shared" si="139"/>
        <v>#DIV/0!</v>
      </c>
      <c r="M163" s="118" t="e">
        <f t="shared" si="139"/>
        <v>#DIV/0!</v>
      </c>
      <c r="N163" s="118" t="e">
        <f t="shared" si="139"/>
        <v>#DIV/0!</v>
      </c>
      <c r="O163" s="118" t="e">
        <f t="shared" si="139"/>
        <v>#DIV/0!</v>
      </c>
      <c r="P163" s="118" t="e">
        <f t="shared" si="139"/>
        <v>#DIV/0!</v>
      </c>
      <c r="Q163" s="118" t="e">
        <f t="shared" si="139"/>
        <v>#DIV/0!</v>
      </c>
      <c r="R163" s="118" t="e">
        <f t="shared" si="139"/>
        <v>#DIV/0!</v>
      </c>
      <c r="S163" s="118" t="e">
        <f t="shared" si="139"/>
        <v>#DIV/0!</v>
      </c>
      <c r="T163" s="125"/>
      <c r="U163" s="117"/>
      <c r="V163" s="117"/>
      <c r="W163" s="117"/>
      <c r="X163" s="117"/>
      <c r="Y163" s="117"/>
      <c r="Z163" s="117"/>
      <c r="AA163" s="117"/>
      <c r="AB163" s="117"/>
      <c r="AC163" s="117"/>
      <c r="AD163" s="117"/>
      <c r="AE163" s="117"/>
      <c r="AF163" s="117"/>
      <c r="AG163" s="92"/>
    </row>
    <row r="164" spans="1:33" ht="22.05" customHeight="1" x14ac:dyDescent="0.25">
      <c r="A164" s="204"/>
      <c r="B164" s="214"/>
      <c r="C164" s="235" t="s">
        <v>185</v>
      </c>
      <c r="D164" s="79" t="s">
        <v>149</v>
      </c>
      <c r="E164" s="105"/>
      <c r="F164" s="84">
        <v>0.13</v>
      </c>
      <c r="G164" s="119">
        <f t="shared" si="138"/>
        <v>0</v>
      </c>
      <c r="H164" s="138"/>
      <c r="I164" s="138"/>
      <c r="J164" s="138"/>
      <c r="K164" s="138"/>
      <c r="L164" s="138"/>
      <c r="M164" s="138"/>
      <c r="N164" s="138"/>
      <c r="O164" s="138"/>
      <c r="P164" s="138"/>
      <c r="Q164" s="138"/>
      <c r="R164" s="138"/>
      <c r="S164" s="138"/>
      <c r="T164" s="125">
        <f>SUM(U164:AF164)</f>
        <v>0</v>
      </c>
      <c r="U164" s="117">
        <f>H164/(1+$F$164)</f>
        <v>0</v>
      </c>
      <c r="V164" s="117">
        <f t="shared" ref="V164:AF164" si="140">I164/(1+$F$164)</f>
        <v>0</v>
      </c>
      <c r="W164" s="117">
        <f t="shared" si="140"/>
        <v>0</v>
      </c>
      <c r="X164" s="117">
        <f t="shared" si="140"/>
        <v>0</v>
      </c>
      <c r="Y164" s="117">
        <f t="shared" si="140"/>
        <v>0</v>
      </c>
      <c r="Z164" s="117">
        <f t="shared" si="140"/>
        <v>0</v>
      </c>
      <c r="AA164" s="117">
        <f t="shared" si="140"/>
        <v>0</v>
      </c>
      <c r="AB164" s="117">
        <f t="shared" si="140"/>
        <v>0</v>
      </c>
      <c r="AC164" s="117">
        <f t="shared" si="140"/>
        <v>0</v>
      </c>
      <c r="AD164" s="117">
        <f t="shared" si="140"/>
        <v>0</v>
      </c>
      <c r="AE164" s="117">
        <f t="shared" si="140"/>
        <v>0</v>
      </c>
      <c r="AF164" s="117">
        <f t="shared" si="140"/>
        <v>0</v>
      </c>
      <c r="AG164" s="92" t="s">
        <v>186</v>
      </c>
    </row>
    <row r="165" spans="1:33" ht="22.05" customHeight="1" x14ac:dyDescent="0.25">
      <c r="A165" s="204"/>
      <c r="B165" s="214"/>
      <c r="C165" s="236"/>
      <c r="D165" s="79" t="s">
        <v>150</v>
      </c>
      <c r="E165" s="105"/>
      <c r="F165" s="84"/>
      <c r="G165" s="119">
        <f t="shared" si="138"/>
        <v>0</v>
      </c>
      <c r="H165" s="138"/>
      <c r="I165" s="138"/>
      <c r="J165" s="138"/>
      <c r="K165" s="138"/>
      <c r="L165" s="138"/>
      <c r="M165" s="138"/>
      <c r="N165" s="138"/>
      <c r="O165" s="138"/>
      <c r="P165" s="138"/>
      <c r="Q165" s="138"/>
      <c r="R165" s="138"/>
      <c r="S165" s="138"/>
      <c r="T165" s="125"/>
      <c r="U165" s="117"/>
      <c r="V165" s="117"/>
      <c r="W165" s="117"/>
      <c r="X165" s="117"/>
      <c r="Y165" s="117"/>
      <c r="Z165" s="117"/>
      <c r="AA165" s="117"/>
      <c r="AB165" s="117"/>
      <c r="AC165" s="117"/>
      <c r="AD165" s="117"/>
      <c r="AE165" s="117"/>
      <c r="AF165" s="117"/>
      <c r="AG165" s="92"/>
    </row>
    <row r="166" spans="1:33" ht="22.05" customHeight="1" x14ac:dyDescent="0.25">
      <c r="A166" s="204"/>
      <c r="B166" s="214"/>
      <c r="C166" s="237"/>
      <c r="D166" s="79" t="s">
        <v>151</v>
      </c>
      <c r="E166" s="105"/>
      <c r="F166" s="84"/>
      <c r="G166" s="121"/>
      <c r="H166" s="118" t="e">
        <f>H165/$G165</f>
        <v>#DIV/0!</v>
      </c>
      <c r="I166" s="118" t="e">
        <f t="shared" ref="I166:S166" si="141">I165/$G165</f>
        <v>#DIV/0!</v>
      </c>
      <c r="J166" s="118" t="e">
        <f t="shared" si="141"/>
        <v>#DIV/0!</v>
      </c>
      <c r="K166" s="118" t="e">
        <f t="shared" si="141"/>
        <v>#DIV/0!</v>
      </c>
      <c r="L166" s="118" t="e">
        <f t="shared" si="141"/>
        <v>#DIV/0!</v>
      </c>
      <c r="M166" s="118" t="e">
        <f t="shared" si="141"/>
        <v>#DIV/0!</v>
      </c>
      <c r="N166" s="118" t="e">
        <f t="shared" si="141"/>
        <v>#DIV/0!</v>
      </c>
      <c r="O166" s="118" t="e">
        <f t="shared" si="141"/>
        <v>#DIV/0!</v>
      </c>
      <c r="P166" s="118" t="e">
        <f t="shared" si="141"/>
        <v>#DIV/0!</v>
      </c>
      <c r="Q166" s="118" t="e">
        <f t="shared" si="141"/>
        <v>#DIV/0!</v>
      </c>
      <c r="R166" s="118" t="e">
        <f t="shared" si="141"/>
        <v>#DIV/0!</v>
      </c>
      <c r="S166" s="118" t="e">
        <f t="shared" si="141"/>
        <v>#DIV/0!</v>
      </c>
      <c r="T166" s="125"/>
      <c r="U166" s="117"/>
      <c r="V166" s="117"/>
      <c r="W166" s="117"/>
      <c r="X166" s="117"/>
      <c r="Y166" s="117"/>
      <c r="Z166" s="117"/>
      <c r="AA166" s="117"/>
      <c r="AB166" s="117"/>
      <c r="AC166" s="117"/>
      <c r="AD166" s="117"/>
      <c r="AE166" s="117"/>
      <c r="AF166" s="117"/>
      <c r="AG166" s="92"/>
    </row>
    <row r="167" spans="1:33" ht="22.05" customHeight="1" x14ac:dyDescent="0.25">
      <c r="A167" s="204"/>
      <c r="B167" s="214"/>
      <c r="C167" s="235" t="s">
        <v>187</v>
      </c>
      <c r="D167" s="79" t="s">
        <v>149</v>
      </c>
      <c r="E167" s="105"/>
      <c r="F167" s="84">
        <v>0.13</v>
      </c>
      <c r="G167" s="119">
        <f>SUM(H167:S167)</f>
        <v>0</v>
      </c>
      <c r="H167" s="138"/>
      <c r="I167" s="138"/>
      <c r="J167" s="138"/>
      <c r="K167" s="138"/>
      <c r="L167" s="138"/>
      <c r="M167" s="138"/>
      <c r="N167" s="138"/>
      <c r="O167" s="138"/>
      <c r="P167" s="138"/>
      <c r="Q167" s="138"/>
      <c r="R167" s="138"/>
      <c r="S167" s="138"/>
      <c r="T167" s="125">
        <f>SUM(U167:AF167)</f>
        <v>0</v>
      </c>
      <c r="U167" s="117">
        <f t="shared" ref="U167:AF167" si="142">H167/(1+$F$167)</f>
        <v>0</v>
      </c>
      <c r="V167" s="117">
        <f t="shared" si="142"/>
        <v>0</v>
      </c>
      <c r="W167" s="117">
        <f t="shared" si="142"/>
        <v>0</v>
      </c>
      <c r="X167" s="117">
        <f t="shared" si="142"/>
        <v>0</v>
      </c>
      <c r="Y167" s="117">
        <f t="shared" si="142"/>
        <v>0</v>
      </c>
      <c r="Z167" s="117">
        <f t="shared" si="142"/>
        <v>0</v>
      </c>
      <c r="AA167" s="117">
        <f t="shared" si="142"/>
        <v>0</v>
      </c>
      <c r="AB167" s="117">
        <f t="shared" si="142"/>
        <v>0</v>
      </c>
      <c r="AC167" s="117">
        <f t="shared" si="142"/>
        <v>0</v>
      </c>
      <c r="AD167" s="117">
        <f t="shared" si="142"/>
        <v>0</v>
      </c>
      <c r="AE167" s="117">
        <f t="shared" si="142"/>
        <v>0</v>
      </c>
      <c r="AF167" s="117">
        <f t="shared" si="142"/>
        <v>0</v>
      </c>
      <c r="AG167" s="92" t="s">
        <v>188</v>
      </c>
    </row>
    <row r="168" spans="1:33" ht="22.05" customHeight="1" x14ac:dyDescent="0.25">
      <c r="A168" s="204"/>
      <c r="B168" s="214"/>
      <c r="C168" s="236"/>
      <c r="D168" s="79" t="s">
        <v>150</v>
      </c>
      <c r="E168" s="105"/>
      <c r="F168" s="139"/>
      <c r="G168" s="119">
        <f>SUM(H168:S168)</f>
        <v>0</v>
      </c>
      <c r="H168" s="138"/>
      <c r="I168" s="138"/>
      <c r="J168" s="138"/>
      <c r="K168" s="138"/>
      <c r="L168" s="138"/>
      <c r="M168" s="138"/>
      <c r="N168" s="138"/>
      <c r="O168" s="138"/>
      <c r="P168" s="138"/>
      <c r="Q168" s="138"/>
      <c r="R168" s="138"/>
      <c r="S168" s="138"/>
      <c r="T168" s="125"/>
      <c r="U168" s="117"/>
      <c r="V168" s="117"/>
      <c r="W168" s="117"/>
      <c r="X168" s="117"/>
      <c r="Y168" s="117"/>
      <c r="Z168" s="117"/>
      <c r="AA168" s="117"/>
      <c r="AB168" s="117"/>
      <c r="AC168" s="117"/>
      <c r="AD168" s="117"/>
      <c r="AE168" s="117"/>
      <c r="AF168" s="117"/>
      <c r="AG168" s="92"/>
    </row>
    <row r="169" spans="1:33" ht="22.05" customHeight="1" x14ac:dyDescent="0.25">
      <c r="A169" s="204"/>
      <c r="B169" s="214"/>
      <c r="C169" s="237"/>
      <c r="D169" s="79" t="s">
        <v>151</v>
      </c>
      <c r="E169" s="105"/>
      <c r="F169" s="139"/>
      <c r="G169" s="121"/>
      <c r="H169" s="118" t="e">
        <f>H168/$G168</f>
        <v>#DIV/0!</v>
      </c>
      <c r="I169" s="118" t="e">
        <f t="shared" ref="I169:S169" si="143">I168/$G168</f>
        <v>#DIV/0!</v>
      </c>
      <c r="J169" s="118" t="e">
        <f t="shared" si="143"/>
        <v>#DIV/0!</v>
      </c>
      <c r="K169" s="118" t="e">
        <f t="shared" si="143"/>
        <v>#DIV/0!</v>
      </c>
      <c r="L169" s="118" t="e">
        <f t="shared" si="143"/>
        <v>#DIV/0!</v>
      </c>
      <c r="M169" s="118" t="e">
        <f t="shared" si="143"/>
        <v>#DIV/0!</v>
      </c>
      <c r="N169" s="118" t="e">
        <f t="shared" si="143"/>
        <v>#DIV/0!</v>
      </c>
      <c r="O169" s="118" t="e">
        <f t="shared" si="143"/>
        <v>#DIV/0!</v>
      </c>
      <c r="P169" s="118" t="e">
        <f t="shared" si="143"/>
        <v>#DIV/0!</v>
      </c>
      <c r="Q169" s="118" t="e">
        <f t="shared" si="143"/>
        <v>#DIV/0!</v>
      </c>
      <c r="R169" s="118" t="e">
        <f t="shared" si="143"/>
        <v>#DIV/0!</v>
      </c>
      <c r="S169" s="118" t="e">
        <f t="shared" si="143"/>
        <v>#DIV/0!</v>
      </c>
      <c r="T169" s="125"/>
      <c r="U169" s="117"/>
      <c r="V169" s="117"/>
      <c r="W169" s="117"/>
      <c r="X169" s="117"/>
      <c r="Y169" s="117"/>
      <c r="Z169" s="117"/>
      <c r="AA169" s="117"/>
      <c r="AB169" s="117"/>
      <c r="AC169" s="117"/>
      <c r="AD169" s="117"/>
      <c r="AE169" s="117"/>
      <c r="AF169" s="117"/>
      <c r="AG169" s="92"/>
    </row>
    <row r="170" spans="1:33" ht="22.05" customHeight="1" x14ac:dyDescent="0.25">
      <c r="A170" s="204"/>
      <c r="B170" s="214"/>
      <c r="C170" s="105" t="s">
        <v>125</v>
      </c>
      <c r="D170" s="105"/>
      <c r="E170" s="105"/>
      <c r="F170" s="87"/>
      <c r="G170" s="119"/>
      <c r="H170" s="137"/>
      <c r="I170" s="137"/>
      <c r="J170" s="137"/>
      <c r="K170" s="137"/>
      <c r="L170" s="137"/>
      <c r="M170" s="137"/>
      <c r="N170" s="137"/>
      <c r="O170" s="137"/>
      <c r="P170" s="137"/>
      <c r="Q170" s="122"/>
      <c r="R170" s="122"/>
      <c r="S170" s="122"/>
      <c r="T170" s="125">
        <f>SUM(U170:AF170)</f>
        <v>0</v>
      </c>
      <c r="U170" s="125">
        <f t="shared" ref="U170:AF170" si="144">H170/(1+$F$170)</f>
        <v>0</v>
      </c>
      <c r="V170" s="125">
        <f t="shared" si="144"/>
        <v>0</v>
      </c>
      <c r="W170" s="125">
        <f t="shared" si="144"/>
        <v>0</v>
      </c>
      <c r="X170" s="125">
        <f t="shared" si="144"/>
        <v>0</v>
      </c>
      <c r="Y170" s="125">
        <f t="shared" si="144"/>
        <v>0</v>
      </c>
      <c r="Z170" s="125">
        <f t="shared" si="144"/>
        <v>0</v>
      </c>
      <c r="AA170" s="125">
        <f t="shared" si="144"/>
        <v>0</v>
      </c>
      <c r="AB170" s="125">
        <f t="shared" si="144"/>
        <v>0</v>
      </c>
      <c r="AC170" s="125">
        <f t="shared" si="144"/>
        <v>0</v>
      </c>
      <c r="AD170" s="125">
        <f t="shared" si="144"/>
        <v>0</v>
      </c>
      <c r="AE170" s="125">
        <f t="shared" si="144"/>
        <v>0</v>
      </c>
      <c r="AF170" s="125">
        <f t="shared" si="144"/>
        <v>0</v>
      </c>
      <c r="AG170" s="92" t="s">
        <v>189</v>
      </c>
    </row>
    <row r="171" spans="1:33" ht="22.05" customHeight="1" x14ac:dyDescent="0.25">
      <c r="A171" s="204"/>
      <c r="B171" s="215" t="s">
        <v>190</v>
      </c>
      <c r="C171" s="246" t="s">
        <v>191</v>
      </c>
      <c r="D171" s="79" t="s">
        <v>149</v>
      </c>
      <c r="E171" s="133"/>
      <c r="F171" s="87"/>
      <c r="G171" s="119">
        <f>SUM(G174+G177+G180+G183+G186)</f>
        <v>0</v>
      </c>
      <c r="H171" s="119">
        <f t="shared" ref="H171:AF171" si="145">SUM(H174+H177+H180+H183+H186)</f>
        <v>0</v>
      </c>
      <c r="I171" s="119">
        <f t="shared" si="145"/>
        <v>0</v>
      </c>
      <c r="J171" s="119">
        <f t="shared" si="145"/>
        <v>0</v>
      </c>
      <c r="K171" s="119">
        <f t="shared" si="145"/>
        <v>0</v>
      </c>
      <c r="L171" s="119">
        <f t="shared" si="145"/>
        <v>0</v>
      </c>
      <c r="M171" s="119">
        <f t="shared" si="145"/>
        <v>0</v>
      </c>
      <c r="N171" s="119">
        <f t="shared" si="145"/>
        <v>0</v>
      </c>
      <c r="O171" s="119">
        <f t="shared" si="145"/>
        <v>0</v>
      </c>
      <c r="P171" s="119">
        <f t="shared" si="145"/>
        <v>0</v>
      </c>
      <c r="Q171" s="119">
        <f t="shared" si="145"/>
        <v>0</v>
      </c>
      <c r="R171" s="119">
        <f t="shared" si="145"/>
        <v>0</v>
      </c>
      <c r="S171" s="119">
        <f t="shared" si="145"/>
        <v>0</v>
      </c>
      <c r="T171" s="119">
        <f t="shared" si="145"/>
        <v>0</v>
      </c>
      <c r="U171" s="119">
        <f t="shared" si="145"/>
        <v>0</v>
      </c>
      <c r="V171" s="119">
        <f t="shared" si="145"/>
        <v>0</v>
      </c>
      <c r="W171" s="119">
        <f t="shared" si="145"/>
        <v>0</v>
      </c>
      <c r="X171" s="119">
        <f t="shared" si="145"/>
        <v>0</v>
      </c>
      <c r="Y171" s="119">
        <f t="shared" si="145"/>
        <v>0</v>
      </c>
      <c r="Z171" s="119">
        <f t="shared" si="145"/>
        <v>0</v>
      </c>
      <c r="AA171" s="119">
        <f t="shared" si="145"/>
        <v>0</v>
      </c>
      <c r="AB171" s="119">
        <f t="shared" si="145"/>
        <v>0</v>
      </c>
      <c r="AC171" s="119">
        <f t="shared" si="145"/>
        <v>0</v>
      </c>
      <c r="AD171" s="119">
        <f t="shared" si="145"/>
        <v>0</v>
      </c>
      <c r="AE171" s="119">
        <f t="shared" si="145"/>
        <v>0</v>
      </c>
      <c r="AF171" s="119">
        <f t="shared" si="145"/>
        <v>0</v>
      </c>
      <c r="AG171" s="92"/>
    </row>
    <row r="172" spans="1:33" ht="22.05" customHeight="1" x14ac:dyDescent="0.25">
      <c r="A172" s="204"/>
      <c r="B172" s="216"/>
      <c r="C172" s="247"/>
      <c r="D172" s="79" t="s">
        <v>150</v>
      </c>
      <c r="E172" s="133"/>
      <c r="F172" s="87"/>
      <c r="G172" s="119">
        <f>SUM(G175+G178+G181+G184+G187)</f>
        <v>0</v>
      </c>
      <c r="H172" s="119">
        <f t="shared" ref="H172:AF172" si="146">SUM(H175+H178+H181+H184+H187)</f>
        <v>0</v>
      </c>
      <c r="I172" s="119">
        <f t="shared" si="146"/>
        <v>0</v>
      </c>
      <c r="J172" s="119">
        <f t="shared" si="146"/>
        <v>0</v>
      </c>
      <c r="K172" s="119">
        <f t="shared" si="146"/>
        <v>0</v>
      </c>
      <c r="L172" s="119">
        <f t="shared" si="146"/>
        <v>0</v>
      </c>
      <c r="M172" s="119">
        <f t="shared" si="146"/>
        <v>0</v>
      </c>
      <c r="N172" s="119">
        <f t="shared" si="146"/>
        <v>0</v>
      </c>
      <c r="O172" s="119">
        <f t="shared" si="146"/>
        <v>0</v>
      </c>
      <c r="P172" s="119">
        <f t="shared" si="146"/>
        <v>0</v>
      </c>
      <c r="Q172" s="119">
        <f t="shared" si="146"/>
        <v>0</v>
      </c>
      <c r="R172" s="119">
        <f t="shared" si="146"/>
        <v>0</v>
      </c>
      <c r="S172" s="119">
        <f t="shared" si="146"/>
        <v>0</v>
      </c>
      <c r="T172" s="119">
        <f t="shared" si="146"/>
        <v>0</v>
      </c>
      <c r="U172" s="119">
        <f t="shared" si="146"/>
        <v>0</v>
      </c>
      <c r="V172" s="119">
        <f t="shared" si="146"/>
        <v>0</v>
      </c>
      <c r="W172" s="119">
        <f t="shared" si="146"/>
        <v>0</v>
      </c>
      <c r="X172" s="119">
        <f t="shared" si="146"/>
        <v>0</v>
      </c>
      <c r="Y172" s="119">
        <f t="shared" si="146"/>
        <v>0</v>
      </c>
      <c r="Z172" s="119">
        <f t="shared" si="146"/>
        <v>0</v>
      </c>
      <c r="AA172" s="119">
        <f t="shared" si="146"/>
        <v>0</v>
      </c>
      <c r="AB172" s="119">
        <f t="shared" si="146"/>
        <v>0</v>
      </c>
      <c r="AC172" s="119">
        <f t="shared" si="146"/>
        <v>0</v>
      </c>
      <c r="AD172" s="119">
        <f t="shared" si="146"/>
        <v>0</v>
      </c>
      <c r="AE172" s="119">
        <f t="shared" si="146"/>
        <v>0</v>
      </c>
      <c r="AF172" s="119">
        <f t="shared" si="146"/>
        <v>0</v>
      </c>
      <c r="AG172" s="260" t="s">
        <v>192</v>
      </c>
    </row>
    <row r="173" spans="1:33" ht="22.05" customHeight="1" x14ac:dyDescent="0.25">
      <c r="A173" s="204"/>
      <c r="B173" s="216"/>
      <c r="C173" s="248"/>
      <c r="D173" s="79" t="s">
        <v>151</v>
      </c>
      <c r="E173" s="133"/>
      <c r="F173" s="87"/>
      <c r="G173" s="121"/>
      <c r="H173" s="118" t="e">
        <f>H172/$G172</f>
        <v>#DIV/0!</v>
      </c>
      <c r="I173" s="118" t="e">
        <f t="shared" ref="I173:S173" si="147">I172/$G172</f>
        <v>#DIV/0!</v>
      </c>
      <c r="J173" s="118" t="e">
        <f t="shared" si="147"/>
        <v>#DIV/0!</v>
      </c>
      <c r="K173" s="118" t="e">
        <f t="shared" si="147"/>
        <v>#DIV/0!</v>
      </c>
      <c r="L173" s="118" t="e">
        <f t="shared" si="147"/>
        <v>#DIV/0!</v>
      </c>
      <c r="M173" s="118" t="e">
        <f t="shared" si="147"/>
        <v>#DIV/0!</v>
      </c>
      <c r="N173" s="118" t="e">
        <f t="shared" si="147"/>
        <v>#DIV/0!</v>
      </c>
      <c r="O173" s="118" t="e">
        <f t="shared" si="147"/>
        <v>#DIV/0!</v>
      </c>
      <c r="P173" s="118" t="e">
        <f t="shared" si="147"/>
        <v>#DIV/0!</v>
      </c>
      <c r="Q173" s="118" t="e">
        <f t="shared" si="147"/>
        <v>#DIV/0!</v>
      </c>
      <c r="R173" s="118" t="e">
        <f t="shared" si="147"/>
        <v>#DIV/0!</v>
      </c>
      <c r="S173" s="118" t="e">
        <f t="shared" si="147"/>
        <v>#DIV/0!</v>
      </c>
      <c r="T173" s="123"/>
      <c r="U173" s="123"/>
      <c r="V173" s="123"/>
      <c r="W173" s="123"/>
      <c r="X173" s="123"/>
      <c r="Y173" s="123"/>
      <c r="Z173" s="123"/>
      <c r="AA173" s="123"/>
      <c r="AB173" s="123"/>
      <c r="AC173" s="123"/>
      <c r="AD173" s="123"/>
      <c r="AE173" s="123"/>
      <c r="AF173" s="123"/>
      <c r="AG173" s="262"/>
    </row>
    <row r="174" spans="1:33" ht="22.05" customHeight="1" x14ac:dyDescent="0.25">
      <c r="A174" s="204"/>
      <c r="B174" s="216"/>
      <c r="C174" s="235" t="s">
        <v>193</v>
      </c>
      <c r="D174" s="79" t="s">
        <v>149</v>
      </c>
      <c r="E174" s="133"/>
      <c r="F174" s="91">
        <v>0.06</v>
      </c>
      <c r="G174" s="119">
        <f t="shared" ref="G174:G178" si="148">SUM(H174:S174)</f>
        <v>0</v>
      </c>
      <c r="H174" s="120"/>
      <c r="I174" s="120"/>
      <c r="J174" s="120"/>
      <c r="K174" s="120"/>
      <c r="L174" s="120"/>
      <c r="M174" s="120"/>
      <c r="N174" s="120"/>
      <c r="O174" s="120"/>
      <c r="P174" s="120"/>
      <c r="Q174" s="120"/>
      <c r="R174" s="120"/>
      <c r="S174" s="120"/>
      <c r="T174" s="125">
        <f>SUM(U174:AF174)</f>
        <v>0</v>
      </c>
      <c r="U174" s="125">
        <f>H174/(1+$F$174)</f>
        <v>0</v>
      </c>
      <c r="V174" s="125">
        <f>I174/(1+$F$174)</f>
        <v>0</v>
      </c>
      <c r="W174" s="125">
        <f t="shared" ref="W174:AF174" si="149">J174/(1+$F$174)</f>
        <v>0</v>
      </c>
      <c r="X174" s="125">
        <f t="shared" si="149"/>
        <v>0</v>
      </c>
      <c r="Y174" s="125">
        <f t="shared" si="149"/>
        <v>0</v>
      </c>
      <c r="Z174" s="125">
        <f t="shared" si="149"/>
        <v>0</v>
      </c>
      <c r="AA174" s="125">
        <f t="shared" si="149"/>
        <v>0</v>
      </c>
      <c r="AB174" s="125">
        <f t="shared" si="149"/>
        <v>0</v>
      </c>
      <c r="AC174" s="125">
        <f t="shared" si="149"/>
        <v>0</v>
      </c>
      <c r="AD174" s="125">
        <f t="shared" si="149"/>
        <v>0</v>
      </c>
      <c r="AE174" s="125">
        <f t="shared" si="149"/>
        <v>0</v>
      </c>
      <c r="AF174" s="125">
        <f t="shared" si="149"/>
        <v>0</v>
      </c>
      <c r="AG174" s="92"/>
    </row>
    <row r="175" spans="1:33" ht="22.05" customHeight="1" x14ac:dyDescent="0.25">
      <c r="A175" s="204"/>
      <c r="B175" s="216"/>
      <c r="C175" s="236"/>
      <c r="D175" s="79" t="s">
        <v>150</v>
      </c>
      <c r="E175" s="133"/>
      <c r="F175" s="91"/>
      <c r="G175" s="119">
        <f t="shared" si="148"/>
        <v>0</v>
      </c>
      <c r="H175" s="120"/>
      <c r="I175" s="120"/>
      <c r="J175" s="120"/>
      <c r="K175" s="120"/>
      <c r="L175" s="120"/>
      <c r="M175" s="120"/>
      <c r="N175" s="120"/>
      <c r="O175" s="120"/>
      <c r="P175" s="120"/>
      <c r="Q175" s="120"/>
      <c r="R175" s="120"/>
      <c r="S175" s="120"/>
      <c r="T175" s="123"/>
      <c r="U175" s="123"/>
      <c r="V175" s="123"/>
      <c r="W175" s="123"/>
      <c r="X175" s="123"/>
      <c r="Y175" s="123"/>
      <c r="Z175" s="123"/>
      <c r="AA175" s="123"/>
      <c r="AB175" s="123"/>
      <c r="AC175" s="123"/>
      <c r="AD175" s="123"/>
      <c r="AE175" s="123"/>
      <c r="AF175" s="123"/>
      <c r="AG175" s="92"/>
    </row>
    <row r="176" spans="1:33" ht="22.05" customHeight="1" x14ac:dyDescent="0.25">
      <c r="A176" s="204"/>
      <c r="B176" s="216"/>
      <c r="C176" s="237"/>
      <c r="D176" s="79" t="s">
        <v>151</v>
      </c>
      <c r="E176" s="133"/>
      <c r="F176" s="91"/>
      <c r="G176" s="121"/>
      <c r="H176" s="118" t="e">
        <f>H175/$G175</f>
        <v>#DIV/0!</v>
      </c>
      <c r="I176" s="118" t="e">
        <f t="shared" ref="I176:S176" si="150">I175/$G175</f>
        <v>#DIV/0!</v>
      </c>
      <c r="J176" s="118" t="e">
        <f t="shared" si="150"/>
        <v>#DIV/0!</v>
      </c>
      <c r="K176" s="118" t="e">
        <f t="shared" si="150"/>
        <v>#DIV/0!</v>
      </c>
      <c r="L176" s="118" t="e">
        <f t="shared" si="150"/>
        <v>#DIV/0!</v>
      </c>
      <c r="M176" s="118" t="e">
        <f t="shared" si="150"/>
        <v>#DIV/0!</v>
      </c>
      <c r="N176" s="118" t="e">
        <f t="shared" si="150"/>
        <v>#DIV/0!</v>
      </c>
      <c r="O176" s="118" t="e">
        <f t="shared" si="150"/>
        <v>#DIV/0!</v>
      </c>
      <c r="P176" s="118" t="e">
        <f t="shared" si="150"/>
        <v>#DIV/0!</v>
      </c>
      <c r="Q176" s="118" t="e">
        <f t="shared" si="150"/>
        <v>#DIV/0!</v>
      </c>
      <c r="R176" s="118" t="e">
        <f t="shared" si="150"/>
        <v>#DIV/0!</v>
      </c>
      <c r="S176" s="118" t="e">
        <f t="shared" si="150"/>
        <v>#DIV/0!</v>
      </c>
      <c r="T176" s="123"/>
      <c r="U176" s="123"/>
      <c r="V176" s="123"/>
      <c r="W176" s="123"/>
      <c r="X176" s="123"/>
      <c r="Y176" s="123"/>
      <c r="Z176" s="123"/>
      <c r="AA176" s="123"/>
      <c r="AB176" s="123"/>
      <c r="AC176" s="123"/>
      <c r="AD176" s="123"/>
      <c r="AE176" s="123"/>
      <c r="AF176" s="123"/>
      <c r="AG176" s="92"/>
    </row>
    <row r="177" spans="1:33" ht="22.05" customHeight="1" x14ac:dyDescent="0.25">
      <c r="A177" s="204"/>
      <c r="B177" s="216"/>
      <c r="C177" s="235" t="s">
        <v>194</v>
      </c>
      <c r="D177" s="79" t="s">
        <v>149</v>
      </c>
      <c r="E177" s="133"/>
      <c r="F177" s="91">
        <v>0.13</v>
      </c>
      <c r="G177" s="119">
        <f t="shared" si="148"/>
        <v>0</v>
      </c>
      <c r="H177" s="127"/>
      <c r="I177" s="127"/>
      <c r="J177" s="127"/>
      <c r="K177" s="127"/>
      <c r="L177" s="127"/>
      <c r="M177" s="127"/>
      <c r="N177" s="120"/>
      <c r="O177" s="120"/>
      <c r="P177" s="120"/>
      <c r="Q177" s="120"/>
      <c r="R177" s="120"/>
      <c r="S177" s="120"/>
      <c r="T177" s="125">
        <f>SUM(U177:AF177)</f>
        <v>0</v>
      </c>
      <c r="U177" s="125">
        <f>H177/(1+$F$177)</f>
        <v>0</v>
      </c>
      <c r="V177" s="125">
        <f t="shared" ref="V177:AF177" si="151">I177/(1+$F$177)</f>
        <v>0</v>
      </c>
      <c r="W177" s="125">
        <f t="shared" si="151"/>
        <v>0</v>
      </c>
      <c r="X177" s="125">
        <f t="shared" si="151"/>
        <v>0</v>
      </c>
      <c r="Y177" s="125">
        <f t="shared" si="151"/>
        <v>0</v>
      </c>
      <c r="Z177" s="125">
        <f t="shared" si="151"/>
        <v>0</v>
      </c>
      <c r="AA177" s="125">
        <f t="shared" si="151"/>
        <v>0</v>
      </c>
      <c r="AB177" s="125">
        <f t="shared" si="151"/>
        <v>0</v>
      </c>
      <c r="AC177" s="125">
        <f t="shared" si="151"/>
        <v>0</v>
      </c>
      <c r="AD177" s="125">
        <f t="shared" si="151"/>
        <v>0</v>
      </c>
      <c r="AE177" s="125">
        <f t="shared" si="151"/>
        <v>0</v>
      </c>
      <c r="AF177" s="125">
        <f t="shared" si="151"/>
        <v>0</v>
      </c>
      <c r="AG177" s="92"/>
    </row>
    <row r="178" spans="1:33" ht="22.05" customHeight="1" x14ac:dyDescent="0.25">
      <c r="A178" s="204"/>
      <c r="B178" s="216"/>
      <c r="C178" s="236"/>
      <c r="D178" s="79" t="s">
        <v>150</v>
      </c>
      <c r="E178" s="133"/>
      <c r="F178" s="91"/>
      <c r="G178" s="119">
        <f t="shared" si="148"/>
        <v>0</v>
      </c>
      <c r="H178" s="127"/>
      <c r="I178" s="127"/>
      <c r="J178" s="127"/>
      <c r="K178" s="127"/>
      <c r="L178" s="127"/>
      <c r="M178" s="127"/>
      <c r="N178" s="120"/>
      <c r="O178" s="120"/>
      <c r="P178" s="120"/>
      <c r="Q178" s="120"/>
      <c r="R178" s="120"/>
      <c r="S178" s="120"/>
      <c r="T178" s="123"/>
      <c r="U178" s="123"/>
      <c r="V178" s="123"/>
      <c r="W178" s="123"/>
      <c r="X178" s="123"/>
      <c r="Y178" s="123"/>
      <c r="Z178" s="123"/>
      <c r="AA178" s="123"/>
      <c r="AB178" s="123"/>
      <c r="AC178" s="123"/>
      <c r="AD178" s="123"/>
      <c r="AE178" s="123"/>
      <c r="AF178" s="123"/>
      <c r="AG178" s="92"/>
    </row>
    <row r="179" spans="1:33" ht="22.05" customHeight="1" x14ac:dyDescent="0.25">
      <c r="A179" s="204"/>
      <c r="B179" s="216"/>
      <c r="C179" s="237"/>
      <c r="D179" s="79" t="s">
        <v>151</v>
      </c>
      <c r="E179" s="133"/>
      <c r="F179" s="91"/>
      <c r="G179" s="121"/>
      <c r="H179" s="118" t="e">
        <f>H178/$G178</f>
        <v>#DIV/0!</v>
      </c>
      <c r="I179" s="118" t="e">
        <f t="shared" ref="I179:S179" si="152">I178/$G178</f>
        <v>#DIV/0!</v>
      </c>
      <c r="J179" s="118" t="e">
        <f t="shared" si="152"/>
        <v>#DIV/0!</v>
      </c>
      <c r="K179" s="118" t="e">
        <f t="shared" si="152"/>
        <v>#DIV/0!</v>
      </c>
      <c r="L179" s="118" t="e">
        <f t="shared" si="152"/>
        <v>#DIV/0!</v>
      </c>
      <c r="M179" s="118" t="e">
        <f t="shared" si="152"/>
        <v>#DIV/0!</v>
      </c>
      <c r="N179" s="118" t="e">
        <f t="shared" si="152"/>
        <v>#DIV/0!</v>
      </c>
      <c r="O179" s="118" t="e">
        <f t="shared" si="152"/>
        <v>#DIV/0!</v>
      </c>
      <c r="P179" s="118" t="e">
        <f t="shared" si="152"/>
        <v>#DIV/0!</v>
      </c>
      <c r="Q179" s="118" t="e">
        <f t="shared" si="152"/>
        <v>#DIV/0!</v>
      </c>
      <c r="R179" s="118" t="e">
        <f t="shared" si="152"/>
        <v>#DIV/0!</v>
      </c>
      <c r="S179" s="118" t="e">
        <f t="shared" si="152"/>
        <v>#DIV/0!</v>
      </c>
      <c r="T179" s="123"/>
      <c r="U179" s="123"/>
      <c r="V179" s="123"/>
      <c r="W179" s="123"/>
      <c r="X179" s="123"/>
      <c r="Y179" s="123"/>
      <c r="Z179" s="123"/>
      <c r="AA179" s="123"/>
      <c r="AB179" s="123"/>
      <c r="AC179" s="123"/>
      <c r="AD179" s="123"/>
      <c r="AE179" s="123"/>
      <c r="AF179" s="123"/>
      <c r="AG179" s="92"/>
    </row>
    <row r="180" spans="1:33" ht="22.05" customHeight="1" x14ac:dyDescent="0.25">
      <c r="A180" s="204"/>
      <c r="B180" s="216"/>
      <c r="C180" s="235" t="s">
        <v>195</v>
      </c>
      <c r="D180" s="79" t="s">
        <v>149</v>
      </c>
      <c r="E180" s="133"/>
      <c r="F180" s="91">
        <v>0.13</v>
      </c>
      <c r="G180" s="119">
        <f t="shared" ref="G180:G181" si="153">SUM(H180:S180)</f>
        <v>0</v>
      </c>
      <c r="H180" s="120"/>
      <c r="I180" s="120"/>
      <c r="J180" s="120"/>
      <c r="K180" s="120"/>
      <c r="L180" s="120"/>
      <c r="M180" s="120"/>
      <c r="N180" s="120"/>
      <c r="O180" s="120"/>
      <c r="P180" s="120"/>
      <c r="Q180" s="120"/>
      <c r="R180" s="120"/>
      <c r="S180" s="120"/>
      <c r="T180" s="125">
        <f>SUM(U180:AF180)</f>
        <v>0</v>
      </c>
      <c r="U180" s="125">
        <f>H180/(1+$F$180)</f>
        <v>0</v>
      </c>
      <c r="V180" s="125">
        <f t="shared" ref="V180:AF180" si="154">I180/(1+$F$180)</f>
        <v>0</v>
      </c>
      <c r="W180" s="125">
        <f t="shared" si="154"/>
        <v>0</v>
      </c>
      <c r="X180" s="125">
        <f t="shared" si="154"/>
        <v>0</v>
      </c>
      <c r="Y180" s="125">
        <f t="shared" si="154"/>
        <v>0</v>
      </c>
      <c r="Z180" s="125">
        <f t="shared" si="154"/>
        <v>0</v>
      </c>
      <c r="AA180" s="125">
        <f t="shared" si="154"/>
        <v>0</v>
      </c>
      <c r="AB180" s="125">
        <f t="shared" si="154"/>
        <v>0</v>
      </c>
      <c r="AC180" s="125">
        <f t="shared" si="154"/>
        <v>0</v>
      </c>
      <c r="AD180" s="125">
        <f t="shared" si="154"/>
        <v>0</v>
      </c>
      <c r="AE180" s="125">
        <f t="shared" si="154"/>
        <v>0</v>
      </c>
      <c r="AF180" s="125">
        <f t="shared" si="154"/>
        <v>0</v>
      </c>
      <c r="AG180" s="92"/>
    </row>
    <row r="181" spans="1:33" ht="22.05" customHeight="1" x14ac:dyDescent="0.25">
      <c r="A181" s="204"/>
      <c r="B181" s="216"/>
      <c r="C181" s="236"/>
      <c r="D181" s="79" t="s">
        <v>150</v>
      </c>
      <c r="E181" s="133"/>
      <c r="F181" s="91"/>
      <c r="G181" s="119">
        <f t="shared" si="153"/>
        <v>0</v>
      </c>
      <c r="H181" s="120"/>
      <c r="I181" s="120"/>
      <c r="J181" s="120"/>
      <c r="K181" s="120"/>
      <c r="L181" s="120"/>
      <c r="M181" s="120"/>
      <c r="N181" s="120"/>
      <c r="O181" s="120"/>
      <c r="P181" s="120"/>
      <c r="Q181" s="120"/>
      <c r="R181" s="120"/>
      <c r="S181" s="120"/>
      <c r="T181" s="123"/>
      <c r="U181" s="123"/>
      <c r="V181" s="123"/>
      <c r="W181" s="123"/>
      <c r="X181" s="123"/>
      <c r="Y181" s="123"/>
      <c r="Z181" s="123"/>
      <c r="AA181" s="123"/>
      <c r="AB181" s="123"/>
      <c r="AC181" s="123"/>
      <c r="AD181" s="123"/>
      <c r="AE181" s="123"/>
      <c r="AF181" s="123"/>
      <c r="AG181" s="92"/>
    </row>
    <row r="182" spans="1:33" ht="22.05" customHeight="1" x14ac:dyDescent="0.25">
      <c r="A182" s="204"/>
      <c r="B182" s="216"/>
      <c r="C182" s="237"/>
      <c r="D182" s="79" t="s">
        <v>151</v>
      </c>
      <c r="E182" s="133"/>
      <c r="F182" s="91"/>
      <c r="G182" s="121"/>
      <c r="H182" s="118" t="e">
        <f>H181/$G181</f>
        <v>#DIV/0!</v>
      </c>
      <c r="I182" s="118" t="e">
        <f t="shared" ref="I182:S182" si="155">I181/$G181</f>
        <v>#DIV/0!</v>
      </c>
      <c r="J182" s="118" t="e">
        <f t="shared" si="155"/>
        <v>#DIV/0!</v>
      </c>
      <c r="K182" s="118" t="e">
        <f t="shared" si="155"/>
        <v>#DIV/0!</v>
      </c>
      <c r="L182" s="118" t="e">
        <f t="shared" si="155"/>
        <v>#DIV/0!</v>
      </c>
      <c r="M182" s="118" t="e">
        <f t="shared" si="155"/>
        <v>#DIV/0!</v>
      </c>
      <c r="N182" s="118" t="e">
        <f t="shared" si="155"/>
        <v>#DIV/0!</v>
      </c>
      <c r="O182" s="118" t="e">
        <f t="shared" si="155"/>
        <v>#DIV/0!</v>
      </c>
      <c r="P182" s="118" t="e">
        <f t="shared" si="155"/>
        <v>#DIV/0!</v>
      </c>
      <c r="Q182" s="118" t="e">
        <f t="shared" si="155"/>
        <v>#DIV/0!</v>
      </c>
      <c r="R182" s="118" t="e">
        <f t="shared" si="155"/>
        <v>#DIV/0!</v>
      </c>
      <c r="S182" s="118" t="e">
        <f t="shared" si="155"/>
        <v>#DIV/0!</v>
      </c>
      <c r="T182" s="123"/>
      <c r="U182" s="123"/>
      <c r="V182" s="123"/>
      <c r="W182" s="123"/>
      <c r="X182" s="123"/>
      <c r="Y182" s="123"/>
      <c r="Z182" s="123"/>
      <c r="AA182" s="123"/>
      <c r="AB182" s="123"/>
      <c r="AC182" s="123"/>
      <c r="AD182" s="123"/>
      <c r="AE182" s="123"/>
      <c r="AF182" s="123"/>
      <c r="AG182" s="92"/>
    </row>
    <row r="183" spans="1:33" ht="22.05" customHeight="1" x14ac:dyDescent="0.25">
      <c r="A183" s="204"/>
      <c r="B183" s="216"/>
      <c r="C183" s="235" t="s">
        <v>196</v>
      </c>
      <c r="D183" s="79" t="s">
        <v>149</v>
      </c>
      <c r="E183" s="105"/>
      <c r="F183" s="91">
        <v>0.09</v>
      </c>
      <c r="G183" s="119">
        <f t="shared" ref="G183:G187" si="156">SUM(H183:S183)</f>
        <v>0</v>
      </c>
      <c r="H183" s="128"/>
      <c r="I183" s="140"/>
      <c r="J183" s="140"/>
      <c r="K183" s="140"/>
      <c r="L183" s="140"/>
      <c r="M183" s="140"/>
      <c r="N183" s="140"/>
      <c r="O183" s="140"/>
      <c r="P183" s="122"/>
      <c r="Q183" s="122"/>
      <c r="R183" s="122"/>
      <c r="S183" s="122"/>
      <c r="T183" s="125">
        <f>SUM(U183:AF183)</f>
        <v>0</v>
      </c>
      <c r="U183" s="125">
        <f t="shared" ref="U183:AF183" si="157">H183/(1+$F$183)</f>
        <v>0</v>
      </c>
      <c r="V183" s="125">
        <f t="shared" si="157"/>
        <v>0</v>
      </c>
      <c r="W183" s="125">
        <f t="shared" si="157"/>
        <v>0</v>
      </c>
      <c r="X183" s="125">
        <f t="shared" si="157"/>
        <v>0</v>
      </c>
      <c r="Y183" s="125">
        <f t="shared" si="157"/>
        <v>0</v>
      </c>
      <c r="Z183" s="125">
        <f t="shared" si="157"/>
        <v>0</v>
      </c>
      <c r="AA183" s="125">
        <f t="shared" si="157"/>
        <v>0</v>
      </c>
      <c r="AB183" s="125">
        <f t="shared" si="157"/>
        <v>0</v>
      </c>
      <c r="AC183" s="125">
        <f t="shared" si="157"/>
        <v>0</v>
      </c>
      <c r="AD183" s="125">
        <f t="shared" si="157"/>
        <v>0</v>
      </c>
      <c r="AE183" s="125">
        <f t="shared" si="157"/>
        <v>0</v>
      </c>
      <c r="AF183" s="125">
        <f t="shared" si="157"/>
        <v>0</v>
      </c>
      <c r="AG183" s="92"/>
    </row>
    <row r="184" spans="1:33" ht="22.05" customHeight="1" x14ac:dyDescent="0.25">
      <c r="A184" s="204"/>
      <c r="B184" s="216"/>
      <c r="C184" s="236"/>
      <c r="D184" s="79" t="s">
        <v>150</v>
      </c>
      <c r="E184" s="105"/>
      <c r="F184" s="91"/>
      <c r="G184" s="119">
        <f t="shared" si="156"/>
        <v>0</v>
      </c>
      <c r="H184" s="140"/>
      <c r="I184" s="140"/>
      <c r="J184" s="140"/>
      <c r="K184" s="140"/>
      <c r="L184" s="140"/>
      <c r="M184" s="140"/>
      <c r="N184" s="140"/>
      <c r="O184" s="140"/>
      <c r="P184" s="122"/>
      <c r="Q184" s="122"/>
      <c r="R184" s="122"/>
      <c r="S184" s="122"/>
      <c r="T184" s="125"/>
      <c r="U184" s="125"/>
      <c r="V184" s="125"/>
      <c r="W184" s="125"/>
      <c r="X184" s="125"/>
      <c r="Y184" s="125"/>
      <c r="Z184" s="125"/>
      <c r="AA184" s="125"/>
      <c r="AB184" s="125"/>
      <c r="AC184" s="125"/>
      <c r="AD184" s="125"/>
      <c r="AE184" s="125"/>
      <c r="AF184" s="125"/>
      <c r="AG184" s="92"/>
    </row>
    <row r="185" spans="1:33" ht="22.05" customHeight="1" x14ac:dyDescent="0.25">
      <c r="A185" s="204"/>
      <c r="B185" s="216"/>
      <c r="C185" s="237"/>
      <c r="D185" s="79" t="s">
        <v>151</v>
      </c>
      <c r="E185" s="105"/>
      <c r="F185" s="91"/>
      <c r="G185" s="121"/>
      <c r="H185" s="118" t="e">
        <f>H184/$G184</f>
        <v>#DIV/0!</v>
      </c>
      <c r="I185" s="118" t="e">
        <f t="shared" ref="I185:S185" si="158">I184/$G184</f>
        <v>#DIV/0!</v>
      </c>
      <c r="J185" s="118" t="e">
        <f t="shared" si="158"/>
        <v>#DIV/0!</v>
      </c>
      <c r="K185" s="118" t="e">
        <f t="shared" si="158"/>
        <v>#DIV/0!</v>
      </c>
      <c r="L185" s="118" t="e">
        <f t="shared" si="158"/>
        <v>#DIV/0!</v>
      </c>
      <c r="M185" s="118" t="e">
        <f t="shared" si="158"/>
        <v>#DIV/0!</v>
      </c>
      <c r="N185" s="118" t="e">
        <f t="shared" si="158"/>
        <v>#DIV/0!</v>
      </c>
      <c r="O185" s="118" t="e">
        <f t="shared" si="158"/>
        <v>#DIV/0!</v>
      </c>
      <c r="P185" s="118" t="e">
        <f t="shared" si="158"/>
        <v>#DIV/0!</v>
      </c>
      <c r="Q185" s="118" t="e">
        <f t="shared" si="158"/>
        <v>#DIV/0!</v>
      </c>
      <c r="R185" s="118" t="e">
        <f t="shared" si="158"/>
        <v>#DIV/0!</v>
      </c>
      <c r="S185" s="118" t="e">
        <f t="shared" si="158"/>
        <v>#DIV/0!</v>
      </c>
      <c r="T185" s="125"/>
      <c r="U185" s="125"/>
      <c r="V185" s="125"/>
      <c r="W185" s="125"/>
      <c r="X185" s="125"/>
      <c r="Y185" s="125"/>
      <c r="Z185" s="125"/>
      <c r="AA185" s="125"/>
      <c r="AB185" s="125"/>
      <c r="AC185" s="125"/>
      <c r="AD185" s="125"/>
      <c r="AE185" s="125"/>
      <c r="AF185" s="125"/>
      <c r="AG185" s="92"/>
    </row>
    <row r="186" spans="1:33" ht="22.05" customHeight="1" x14ac:dyDescent="0.25">
      <c r="A186" s="204"/>
      <c r="B186" s="216"/>
      <c r="C186" s="235" t="s">
        <v>197</v>
      </c>
      <c r="D186" s="79" t="s">
        <v>149</v>
      </c>
      <c r="E186" s="105"/>
      <c r="F186" s="91">
        <v>0.06</v>
      </c>
      <c r="G186" s="119">
        <f t="shared" si="156"/>
        <v>0</v>
      </c>
      <c r="H186" s="140"/>
      <c r="I186" s="128"/>
      <c r="J186" s="128"/>
      <c r="K186" s="128"/>
      <c r="L186" s="128"/>
      <c r="M186" s="128"/>
      <c r="N186" s="128"/>
      <c r="O186" s="140"/>
      <c r="P186" s="122"/>
      <c r="Q186" s="122"/>
      <c r="R186" s="122"/>
      <c r="S186" s="122"/>
      <c r="T186" s="125">
        <f>SUM(U186:AF186)</f>
        <v>0</v>
      </c>
      <c r="U186" s="125">
        <f>H186/(1+$F$186)</f>
        <v>0</v>
      </c>
      <c r="V186" s="125">
        <f t="shared" ref="V186:AF186" si="159">I186/(1+$F$186)</f>
        <v>0</v>
      </c>
      <c r="W186" s="125">
        <f t="shared" si="159"/>
        <v>0</v>
      </c>
      <c r="X186" s="125">
        <f t="shared" si="159"/>
        <v>0</v>
      </c>
      <c r="Y186" s="125">
        <f t="shared" si="159"/>
        <v>0</v>
      </c>
      <c r="Z186" s="125">
        <f t="shared" si="159"/>
        <v>0</v>
      </c>
      <c r="AA186" s="125">
        <f t="shared" si="159"/>
        <v>0</v>
      </c>
      <c r="AB186" s="125">
        <f t="shared" si="159"/>
        <v>0</v>
      </c>
      <c r="AC186" s="125">
        <f t="shared" si="159"/>
        <v>0</v>
      </c>
      <c r="AD186" s="125">
        <f t="shared" si="159"/>
        <v>0</v>
      </c>
      <c r="AE186" s="125">
        <f t="shared" si="159"/>
        <v>0</v>
      </c>
      <c r="AF186" s="125">
        <f t="shared" si="159"/>
        <v>0</v>
      </c>
      <c r="AG186" s="86"/>
    </row>
    <row r="187" spans="1:33" ht="22.05" customHeight="1" x14ac:dyDescent="0.25">
      <c r="A187" s="204"/>
      <c r="B187" s="216"/>
      <c r="C187" s="236"/>
      <c r="D187" s="79" t="s">
        <v>150</v>
      </c>
      <c r="E187" s="105"/>
      <c r="F187" s="91"/>
      <c r="G187" s="119">
        <f t="shared" si="156"/>
        <v>0</v>
      </c>
      <c r="H187" s="140"/>
      <c r="I187" s="128"/>
      <c r="J187" s="128"/>
      <c r="K187" s="128"/>
      <c r="L187" s="128"/>
      <c r="M187" s="128"/>
      <c r="N187" s="128"/>
      <c r="O187" s="140"/>
      <c r="P187" s="122"/>
      <c r="Q187" s="122"/>
      <c r="R187" s="122"/>
      <c r="S187" s="122"/>
      <c r="T187" s="125"/>
      <c r="U187" s="125"/>
      <c r="V187" s="125"/>
      <c r="W187" s="125"/>
      <c r="X187" s="125"/>
      <c r="Y187" s="125"/>
      <c r="Z187" s="125"/>
      <c r="AA187" s="125"/>
      <c r="AB187" s="125"/>
      <c r="AC187" s="125"/>
      <c r="AD187" s="125"/>
      <c r="AE187" s="125"/>
      <c r="AF187" s="125"/>
      <c r="AG187" s="86"/>
    </row>
    <row r="188" spans="1:33" ht="22.05" customHeight="1" x14ac:dyDescent="0.25">
      <c r="A188" s="204"/>
      <c r="B188" s="216"/>
      <c r="C188" s="237"/>
      <c r="D188" s="79" t="s">
        <v>151</v>
      </c>
      <c r="E188" s="105"/>
      <c r="F188" s="91"/>
      <c r="G188" s="121"/>
      <c r="H188" s="118" t="e">
        <f>H187/$G187</f>
        <v>#DIV/0!</v>
      </c>
      <c r="I188" s="118" t="e">
        <f t="shared" ref="I188:S188" si="160">I187/$G187</f>
        <v>#DIV/0!</v>
      </c>
      <c r="J188" s="118" t="e">
        <f t="shared" si="160"/>
        <v>#DIV/0!</v>
      </c>
      <c r="K188" s="118" t="e">
        <f t="shared" si="160"/>
        <v>#DIV/0!</v>
      </c>
      <c r="L188" s="118" t="e">
        <f t="shared" si="160"/>
        <v>#DIV/0!</v>
      </c>
      <c r="M188" s="118" t="e">
        <f t="shared" si="160"/>
        <v>#DIV/0!</v>
      </c>
      <c r="N188" s="118" t="e">
        <f t="shared" si="160"/>
        <v>#DIV/0!</v>
      </c>
      <c r="O188" s="118" t="e">
        <f t="shared" si="160"/>
        <v>#DIV/0!</v>
      </c>
      <c r="P188" s="118" t="e">
        <f t="shared" si="160"/>
        <v>#DIV/0!</v>
      </c>
      <c r="Q188" s="118" t="e">
        <f t="shared" si="160"/>
        <v>#DIV/0!</v>
      </c>
      <c r="R188" s="118" t="e">
        <f t="shared" si="160"/>
        <v>#DIV/0!</v>
      </c>
      <c r="S188" s="118" t="e">
        <f t="shared" si="160"/>
        <v>#DIV/0!</v>
      </c>
      <c r="T188" s="125"/>
      <c r="U188" s="125"/>
      <c r="V188" s="125"/>
      <c r="W188" s="125"/>
      <c r="X188" s="125"/>
      <c r="Y188" s="125"/>
      <c r="Z188" s="125"/>
      <c r="AA188" s="125"/>
      <c r="AB188" s="125"/>
      <c r="AC188" s="125"/>
      <c r="AD188" s="125"/>
      <c r="AE188" s="125"/>
      <c r="AF188" s="125"/>
      <c r="AG188" s="86"/>
    </row>
    <row r="189" spans="1:33" ht="22.05" customHeight="1" x14ac:dyDescent="0.25">
      <c r="A189" s="204"/>
      <c r="B189" s="216"/>
      <c r="C189" s="105" t="s">
        <v>125</v>
      </c>
      <c r="D189" s="105"/>
      <c r="E189" s="105"/>
      <c r="F189" s="91"/>
      <c r="G189" s="119"/>
      <c r="H189" s="140"/>
      <c r="I189" s="128"/>
      <c r="J189" s="128"/>
      <c r="K189" s="128"/>
      <c r="L189" s="128"/>
      <c r="M189" s="128"/>
      <c r="N189" s="128"/>
      <c r="O189" s="140"/>
      <c r="P189" s="122"/>
      <c r="Q189" s="122"/>
      <c r="R189" s="122"/>
      <c r="S189" s="122"/>
      <c r="T189" s="125">
        <f>SUM(U189:AF189)</f>
        <v>0</v>
      </c>
      <c r="U189" s="125">
        <f t="shared" ref="U189:AF189" si="161">H189/(1+$F$189)</f>
        <v>0</v>
      </c>
      <c r="V189" s="125">
        <f t="shared" si="161"/>
        <v>0</v>
      </c>
      <c r="W189" s="125">
        <f t="shared" si="161"/>
        <v>0</v>
      </c>
      <c r="X189" s="125">
        <f t="shared" si="161"/>
        <v>0</v>
      </c>
      <c r="Y189" s="125">
        <f t="shared" si="161"/>
        <v>0</v>
      </c>
      <c r="Z189" s="125">
        <f t="shared" si="161"/>
        <v>0</v>
      </c>
      <c r="AA189" s="125">
        <f t="shared" si="161"/>
        <v>0</v>
      </c>
      <c r="AB189" s="125">
        <f t="shared" si="161"/>
        <v>0</v>
      </c>
      <c r="AC189" s="125">
        <f t="shared" si="161"/>
        <v>0</v>
      </c>
      <c r="AD189" s="125">
        <f t="shared" si="161"/>
        <v>0</v>
      </c>
      <c r="AE189" s="125">
        <f t="shared" si="161"/>
        <v>0</v>
      </c>
      <c r="AF189" s="125">
        <f t="shared" si="161"/>
        <v>0</v>
      </c>
      <c r="AG189" s="86"/>
    </row>
    <row r="190" spans="1:33" ht="22.05" customHeight="1" x14ac:dyDescent="0.25">
      <c r="A190" s="204"/>
      <c r="B190" s="215" t="s">
        <v>198</v>
      </c>
      <c r="C190" s="246" t="s">
        <v>199</v>
      </c>
      <c r="D190" s="79" t="s">
        <v>149</v>
      </c>
      <c r="E190" s="133"/>
      <c r="F190" s="91"/>
      <c r="G190" s="119">
        <f>G193+G202+G211</f>
        <v>0</v>
      </c>
      <c r="H190" s="119">
        <f t="shared" ref="H190:T190" si="162">H193+H202+H211</f>
        <v>0</v>
      </c>
      <c r="I190" s="119">
        <f t="shared" si="162"/>
        <v>0</v>
      </c>
      <c r="J190" s="119">
        <f t="shared" si="162"/>
        <v>0</v>
      </c>
      <c r="K190" s="119">
        <f t="shared" si="162"/>
        <v>0</v>
      </c>
      <c r="L190" s="119">
        <f t="shared" si="162"/>
        <v>0</v>
      </c>
      <c r="M190" s="119">
        <f t="shared" si="162"/>
        <v>0</v>
      </c>
      <c r="N190" s="119">
        <f t="shared" si="162"/>
        <v>0</v>
      </c>
      <c r="O190" s="119">
        <f t="shared" si="162"/>
        <v>0</v>
      </c>
      <c r="P190" s="119">
        <f t="shared" si="162"/>
        <v>0</v>
      </c>
      <c r="Q190" s="119">
        <f t="shared" si="162"/>
        <v>0</v>
      </c>
      <c r="R190" s="119">
        <f t="shared" si="162"/>
        <v>0</v>
      </c>
      <c r="S190" s="119">
        <f t="shared" si="162"/>
        <v>0</v>
      </c>
      <c r="T190" s="123">
        <f t="shared" si="162"/>
        <v>0</v>
      </c>
      <c r="U190" s="123">
        <f t="shared" ref="U190:AF190" si="163">U193+U202+U211</f>
        <v>0</v>
      </c>
      <c r="V190" s="123">
        <f t="shared" si="163"/>
        <v>0</v>
      </c>
      <c r="W190" s="123">
        <f t="shared" si="163"/>
        <v>0</v>
      </c>
      <c r="X190" s="123">
        <f t="shared" si="163"/>
        <v>0</v>
      </c>
      <c r="Y190" s="123">
        <f t="shared" si="163"/>
        <v>0</v>
      </c>
      <c r="Z190" s="123">
        <f t="shared" si="163"/>
        <v>0</v>
      </c>
      <c r="AA190" s="123">
        <f t="shared" si="163"/>
        <v>0</v>
      </c>
      <c r="AB190" s="123">
        <f t="shared" si="163"/>
        <v>0</v>
      </c>
      <c r="AC190" s="123">
        <f t="shared" si="163"/>
        <v>0</v>
      </c>
      <c r="AD190" s="123">
        <f t="shared" si="163"/>
        <v>0</v>
      </c>
      <c r="AE190" s="123">
        <f t="shared" si="163"/>
        <v>0</v>
      </c>
      <c r="AF190" s="123">
        <f t="shared" si="163"/>
        <v>0</v>
      </c>
      <c r="AG190" s="92"/>
    </row>
    <row r="191" spans="1:33" ht="22.05" customHeight="1" x14ac:dyDescent="0.25">
      <c r="A191" s="204"/>
      <c r="B191" s="216"/>
      <c r="C191" s="247"/>
      <c r="D191" s="79" t="s">
        <v>150</v>
      </c>
      <c r="E191" s="133"/>
      <c r="F191" s="91"/>
      <c r="G191" s="119">
        <f>G194+G203+G212</f>
        <v>0</v>
      </c>
      <c r="H191" s="119">
        <f>H194+H203+H212</f>
        <v>0</v>
      </c>
      <c r="I191" s="119">
        <f t="shared" ref="I191:S191" si="164">I194+I203+I212</f>
        <v>0</v>
      </c>
      <c r="J191" s="119">
        <f t="shared" si="164"/>
        <v>0</v>
      </c>
      <c r="K191" s="119">
        <f t="shared" si="164"/>
        <v>0</v>
      </c>
      <c r="L191" s="119">
        <f t="shared" si="164"/>
        <v>0</v>
      </c>
      <c r="M191" s="119">
        <f t="shared" si="164"/>
        <v>0</v>
      </c>
      <c r="N191" s="119">
        <f t="shared" si="164"/>
        <v>0</v>
      </c>
      <c r="O191" s="119">
        <f t="shared" si="164"/>
        <v>0</v>
      </c>
      <c r="P191" s="119">
        <f t="shared" si="164"/>
        <v>0</v>
      </c>
      <c r="Q191" s="119">
        <f t="shared" si="164"/>
        <v>0</v>
      </c>
      <c r="R191" s="119">
        <f t="shared" si="164"/>
        <v>0</v>
      </c>
      <c r="S191" s="119">
        <f t="shared" si="164"/>
        <v>0</v>
      </c>
      <c r="T191" s="123"/>
      <c r="U191" s="123"/>
      <c r="V191" s="123"/>
      <c r="W191" s="123"/>
      <c r="X191" s="123"/>
      <c r="Y191" s="123"/>
      <c r="Z191" s="123"/>
      <c r="AA191" s="123"/>
      <c r="AB191" s="123"/>
      <c r="AC191" s="123"/>
      <c r="AD191" s="123"/>
      <c r="AE191" s="123"/>
      <c r="AF191" s="123"/>
      <c r="AG191" s="92"/>
    </row>
    <row r="192" spans="1:33" ht="22.05" customHeight="1" x14ac:dyDescent="0.25">
      <c r="A192" s="204"/>
      <c r="B192" s="216"/>
      <c r="C192" s="248"/>
      <c r="D192" s="79" t="s">
        <v>151</v>
      </c>
      <c r="E192" s="133"/>
      <c r="F192" s="91"/>
      <c r="G192" s="121"/>
      <c r="H192" s="118" t="e">
        <f>H191/$G191</f>
        <v>#DIV/0!</v>
      </c>
      <c r="I192" s="118" t="e">
        <f t="shared" ref="I192:S192" si="165">I191/$G191</f>
        <v>#DIV/0!</v>
      </c>
      <c r="J192" s="118" t="e">
        <f t="shared" si="165"/>
        <v>#DIV/0!</v>
      </c>
      <c r="K192" s="118" t="e">
        <f t="shared" si="165"/>
        <v>#DIV/0!</v>
      </c>
      <c r="L192" s="118" t="e">
        <f t="shared" si="165"/>
        <v>#DIV/0!</v>
      </c>
      <c r="M192" s="118" t="e">
        <f t="shared" si="165"/>
        <v>#DIV/0!</v>
      </c>
      <c r="N192" s="118" t="e">
        <f t="shared" si="165"/>
        <v>#DIV/0!</v>
      </c>
      <c r="O192" s="118" t="e">
        <f t="shared" si="165"/>
        <v>#DIV/0!</v>
      </c>
      <c r="P192" s="118" t="e">
        <f t="shared" si="165"/>
        <v>#DIV/0!</v>
      </c>
      <c r="Q192" s="118" t="e">
        <f t="shared" si="165"/>
        <v>#DIV/0!</v>
      </c>
      <c r="R192" s="118" t="e">
        <f t="shared" si="165"/>
        <v>#DIV/0!</v>
      </c>
      <c r="S192" s="118" t="e">
        <f t="shared" si="165"/>
        <v>#DIV/0!</v>
      </c>
      <c r="T192" s="123"/>
      <c r="U192" s="123"/>
      <c r="V192" s="123"/>
      <c r="W192" s="123"/>
      <c r="X192" s="123"/>
      <c r="Y192" s="123"/>
      <c r="Z192" s="123"/>
      <c r="AA192" s="123"/>
      <c r="AB192" s="123"/>
      <c r="AC192" s="123"/>
      <c r="AD192" s="123"/>
      <c r="AE192" s="123"/>
      <c r="AF192" s="123"/>
      <c r="AG192" s="92"/>
    </row>
    <row r="193" spans="1:33" ht="22.05" customHeight="1" x14ac:dyDescent="0.25">
      <c r="A193" s="204"/>
      <c r="B193" s="216"/>
      <c r="C193" s="235" t="s">
        <v>200</v>
      </c>
      <c r="D193" s="79" t="s">
        <v>149</v>
      </c>
      <c r="E193" s="105"/>
      <c r="F193" s="91"/>
      <c r="G193" s="119">
        <f>G196+G199</f>
        <v>0</v>
      </c>
      <c r="H193" s="119">
        <f>H196+H199</f>
        <v>0</v>
      </c>
      <c r="I193" s="119">
        <f t="shared" ref="I193:AF193" si="166">I196+I199</f>
        <v>0</v>
      </c>
      <c r="J193" s="119">
        <f t="shared" si="166"/>
        <v>0</v>
      </c>
      <c r="K193" s="119">
        <f t="shared" si="166"/>
        <v>0</v>
      </c>
      <c r="L193" s="119">
        <f t="shared" si="166"/>
        <v>0</v>
      </c>
      <c r="M193" s="119">
        <f t="shared" si="166"/>
        <v>0</v>
      </c>
      <c r="N193" s="119">
        <f t="shared" si="166"/>
        <v>0</v>
      </c>
      <c r="O193" s="119">
        <f t="shared" si="166"/>
        <v>0</v>
      </c>
      <c r="P193" s="119">
        <f t="shared" si="166"/>
        <v>0</v>
      </c>
      <c r="Q193" s="119">
        <f t="shared" si="166"/>
        <v>0</v>
      </c>
      <c r="R193" s="119">
        <f t="shared" si="166"/>
        <v>0</v>
      </c>
      <c r="S193" s="119">
        <f t="shared" si="166"/>
        <v>0</v>
      </c>
      <c r="T193" s="119">
        <f t="shared" si="166"/>
        <v>0</v>
      </c>
      <c r="U193" s="119">
        <f t="shared" si="166"/>
        <v>0</v>
      </c>
      <c r="V193" s="119">
        <f t="shared" si="166"/>
        <v>0</v>
      </c>
      <c r="W193" s="119">
        <f t="shared" si="166"/>
        <v>0</v>
      </c>
      <c r="X193" s="119">
        <f t="shared" si="166"/>
        <v>0</v>
      </c>
      <c r="Y193" s="119">
        <f t="shared" si="166"/>
        <v>0</v>
      </c>
      <c r="Z193" s="119">
        <f t="shared" si="166"/>
        <v>0</v>
      </c>
      <c r="AA193" s="119">
        <f t="shared" si="166"/>
        <v>0</v>
      </c>
      <c r="AB193" s="119">
        <f t="shared" si="166"/>
        <v>0</v>
      </c>
      <c r="AC193" s="119">
        <f t="shared" si="166"/>
        <v>0</v>
      </c>
      <c r="AD193" s="119">
        <f t="shared" si="166"/>
        <v>0</v>
      </c>
      <c r="AE193" s="119">
        <f t="shared" si="166"/>
        <v>0</v>
      </c>
      <c r="AF193" s="119">
        <f t="shared" si="166"/>
        <v>0</v>
      </c>
      <c r="AG193" s="260" t="s">
        <v>201</v>
      </c>
    </row>
    <row r="194" spans="1:33" ht="22.05" customHeight="1" x14ac:dyDescent="0.25">
      <c r="A194" s="204"/>
      <c r="B194" s="216"/>
      <c r="C194" s="236"/>
      <c r="D194" s="79" t="s">
        <v>150</v>
      </c>
      <c r="E194" s="105"/>
      <c r="F194" s="91"/>
      <c r="G194" s="119">
        <f>G197+G200</f>
        <v>0</v>
      </c>
      <c r="H194" s="119">
        <f>H197+H200</f>
        <v>0</v>
      </c>
      <c r="I194" s="119">
        <f t="shared" ref="I194:S194" si="167">I197+I200</f>
        <v>0</v>
      </c>
      <c r="J194" s="119">
        <f t="shared" si="167"/>
        <v>0</v>
      </c>
      <c r="K194" s="119">
        <f t="shared" si="167"/>
        <v>0</v>
      </c>
      <c r="L194" s="119">
        <f t="shared" si="167"/>
        <v>0</v>
      </c>
      <c r="M194" s="119">
        <f t="shared" si="167"/>
        <v>0</v>
      </c>
      <c r="N194" s="119">
        <f t="shared" si="167"/>
        <v>0</v>
      </c>
      <c r="O194" s="119">
        <f t="shared" si="167"/>
        <v>0</v>
      </c>
      <c r="P194" s="119">
        <f t="shared" si="167"/>
        <v>0</v>
      </c>
      <c r="Q194" s="119">
        <f t="shared" si="167"/>
        <v>0</v>
      </c>
      <c r="R194" s="119">
        <f t="shared" si="167"/>
        <v>0</v>
      </c>
      <c r="S194" s="119">
        <f t="shared" si="167"/>
        <v>0</v>
      </c>
      <c r="T194" s="123"/>
      <c r="U194" s="123"/>
      <c r="V194" s="123"/>
      <c r="W194" s="123"/>
      <c r="X194" s="123"/>
      <c r="Y194" s="123"/>
      <c r="Z194" s="123"/>
      <c r="AA194" s="123"/>
      <c r="AB194" s="123"/>
      <c r="AC194" s="123"/>
      <c r="AD194" s="123"/>
      <c r="AE194" s="123"/>
      <c r="AF194" s="123"/>
      <c r="AG194" s="261"/>
    </row>
    <row r="195" spans="1:33" ht="22.05" customHeight="1" x14ac:dyDescent="0.25">
      <c r="A195" s="204"/>
      <c r="B195" s="216"/>
      <c r="C195" s="237"/>
      <c r="D195" s="79" t="s">
        <v>151</v>
      </c>
      <c r="E195" s="105"/>
      <c r="F195" s="91"/>
      <c r="G195" s="121"/>
      <c r="H195" s="118" t="e">
        <f>H194/$G194</f>
        <v>#DIV/0!</v>
      </c>
      <c r="I195" s="118" t="e">
        <f t="shared" ref="I195:S195" si="168">I194/$G194</f>
        <v>#DIV/0!</v>
      </c>
      <c r="J195" s="118" t="e">
        <f t="shared" si="168"/>
        <v>#DIV/0!</v>
      </c>
      <c r="K195" s="118" t="e">
        <f t="shared" si="168"/>
        <v>#DIV/0!</v>
      </c>
      <c r="L195" s="118" t="e">
        <f t="shared" si="168"/>
        <v>#DIV/0!</v>
      </c>
      <c r="M195" s="118" t="e">
        <f t="shared" si="168"/>
        <v>#DIV/0!</v>
      </c>
      <c r="N195" s="118" t="e">
        <f t="shared" si="168"/>
        <v>#DIV/0!</v>
      </c>
      <c r="O195" s="118" t="e">
        <f t="shared" si="168"/>
        <v>#DIV/0!</v>
      </c>
      <c r="P195" s="118" t="e">
        <f t="shared" si="168"/>
        <v>#DIV/0!</v>
      </c>
      <c r="Q195" s="118" t="e">
        <f t="shared" si="168"/>
        <v>#DIV/0!</v>
      </c>
      <c r="R195" s="118" t="e">
        <f t="shared" si="168"/>
        <v>#DIV/0!</v>
      </c>
      <c r="S195" s="118" t="e">
        <f t="shared" si="168"/>
        <v>#DIV/0!</v>
      </c>
      <c r="T195" s="123"/>
      <c r="U195" s="123"/>
      <c r="V195" s="123"/>
      <c r="W195" s="123"/>
      <c r="X195" s="123"/>
      <c r="Y195" s="123"/>
      <c r="Z195" s="123"/>
      <c r="AA195" s="123"/>
      <c r="AB195" s="123"/>
      <c r="AC195" s="123"/>
      <c r="AD195" s="123"/>
      <c r="AE195" s="123"/>
      <c r="AF195" s="123"/>
      <c r="AG195" s="262"/>
    </row>
    <row r="196" spans="1:33" ht="22.05" customHeight="1" x14ac:dyDescent="0.25">
      <c r="A196" s="204"/>
      <c r="B196" s="216"/>
      <c r="C196" s="235" t="s">
        <v>202</v>
      </c>
      <c r="D196" s="79" t="s">
        <v>149</v>
      </c>
      <c r="E196" s="105"/>
      <c r="F196" s="91">
        <v>0.06</v>
      </c>
      <c r="G196" s="125">
        <f t="shared" ref="G196:G200" si="169">SUM(H196:S196)</f>
        <v>0</v>
      </c>
      <c r="H196" s="138"/>
      <c r="I196" s="138"/>
      <c r="J196" s="138"/>
      <c r="K196" s="138"/>
      <c r="L196" s="138"/>
      <c r="M196" s="138"/>
      <c r="N196" s="138"/>
      <c r="O196" s="138"/>
      <c r="P196" s="138"/>
      <c r="Q196" s="138"/>
      <c r="R196" s="138"/>
      <c r="S196" s="138"/>
      <c r="T196" s="125">
        <f>SUM(U196:AF196)</f>
        <v>0</v>
      </c>
      <c r="U196" s="125">
        <f t="shared" ref="U196:AF196" si="170">H196/(1+$F$196)</f>
        <v>0</v>
      </c>
      <c r="V196" s="125">
        <f t="shared" si="170"/>
        <v>0</v>
      </c>
      <c r="W196" s="125">
        <f t="shared" si="170"/>
        <v>0</v>
      </c>
      <c r="X196" s="125">
        <f t="shared" si="170"/>
        <v>0</v>
      </c>
      <c r="Y196" s="125">
        <f t="shared" si="170"/>
        <v>0</v>
      </c>
      <c r="Z196" s="125">
        <f t="shared" si="170"/>
        <v>0</v>
      </c>
      <c r="AA196" s="125">
        <f t="shared" si="170"/>
        <v>0</v>
      </c>
      <c r="AB196" s="125">
        <f t="shared" si="170"/>
        <v>0</v>
      </c>
      <c r="AC196" s="125">
        <f t="shared" si="170"/>
        <v>0</v>
      </c>
      <c r="AD196" s="125">
        <f t="shared" si="170"/>
        <v>0</v>
      </c>
      <c r="AE196" s="125">
        <f t="shared" si="170"/>
        <v>0</v>
      </c>
      <c r="AF196" s="125">
        <f t="shared" si="170"/>
        <v>0</v>
      </c>
      <c r="AG196" s="92"/>
    </row>
    <row r="197" spans="1:33" ht="22.05" customHeight="1" x14ac:dyDescent="0.25">
      <c r="A197" s="204"/>
      <c r="B197" s="216"/>
      <c r="C197" s="236"/>
      <c r="D197" s="79" t="s">
        <v>150</v>
      </c>
      <c r="E197" s="105"/>
      <c r="F197" s="91"/>
      <c r="G197" s="125">
        <f t="shared" si="169"/>
        <v>0</v>
      </c>
      <c r="H197" s="138"/>
      <c r="I197" s="138"/>
      <c r="J197" s="138"/>
      <c r="K197" s="138"/>
      <c r="L197" s="138"/>
      <c r="M197" s="138"/>
      <c r="N197" s="138"/>
      <c r="O197" s="138"/>
      <c r="P197" s="138"/>
      <c r="Q197" s="138"/>
      <c r="R197" s="138"/>
      <c r="S197" s="138"/>
      <c r="T197" s="125"/>
      <c r="U197" s="125"/>
      <c r="V197" s="125"/>
      <c r="W197" s="125"/>
      <c r="X197" s="125"/>
      <c r="Y197" s="125"/>
      <c r="Z197" s="125"/>
      <c r="AA197" s="125"/>
      <c r="AB197" s="125"/>
      <c r="AC197" s="125"/>
      <c r="AD197" s="125"/>
      <c r="AE197" s="125"/>
      <c r="AF197" s="125"/>
      <c r="AG197" s="92"/>
    </row>
    <row r="198" spans="1:33" ht="22.05" customHeight="1" x14ac:dyDescent="0.25">
      <c r="A198" s="204"/>
      <c r="B198" s="216"/>
      <c r="C198" s="237"/>
      <c r="D198" s="79" t="s">
        <v>151</v>
      </c>
      <c r="E198" s="105"/>
      <c r="F198" s="91"/>
      <c r="G198" s="121"/>
      <c r="H198" s="118" t="e">
        <f>H197/$G197</f>
        <v>#DIV/0!</v>
      </c>
      <c r="I198" s="118" t="e">
        <f t="shared" ref="I198:S198" si="171">I197/$G197</f>
        <v>#DIV/0!</v>
      </c>
      <c r="J198" s="118" t="e">
        <f t="shared" si="171"/>
        <v>#DIV/0!</v>
      </c>
      <c r="K198" s="118" t="e">
        <f t="shared" si="171"/>
        <v>#DIV/0!</v>
      </c>
      <c r="L198" s="118" t="e">
        <f t="shared" si="171"/>
        <v>#DIV/0!</v>
      </c>
      <c r="M198" s="118" t="e">
        <f t="shared" si="171"/>
        <v>#DIV/0!</v>
      </c>
      <c r="N198" s="118" t="e">
        <f t="shared" si="171"/>
        <v>#DIV/0!</v>
      </c>
      <c r="O198" s="118" t="e">
        <f t="shared" si="171"/>
        <v>#DIV/0!</v>
      </c>
      <c r="P198" s="118" t="e">
        <f t="shared" si="171"/>
        <v>#DIV/0!</v>
      </c>
      <c r="Q198" s="118" t="e">
        <f t="shared" si="171"/>
        <v>#DIV/0!</v>
      </c>
      <c r="R198" s="118" t="e">
        <f t="shared" si="171"/>
        <v>#DIV/0!</v>
      </c>
      <c r="S198" s="118" t="e">
        <f t="shared" si="171"/>
        <v>#DIV/0!</v>
      </c>
      <c r="T198" s="125"/>
      <c r="U198" s="125"/>
      <c r="V198" s="125"/>
      <c r="W198" s="125"/>
      <c r="X198" s="125"/>
      <c r="Y198" s="125"/>
      <c r="Z198" s="125"/>
      <c r="AA198" s="125"/>
      <c r="AB198" s="125"/>
      <c r="AC198" s="125"/>
      <c r="AD198" s="125"/>
      <c r="AE198" s="125"/>
      <c r="AF198" s="125"/>
      <c r="AG198" s="92"/>
    </row>
    <row r="199" spans="1:33" ht="22.05" customHeight="1" x14ac:dyDescent="0.25">
      <c r="A199" s="204"/>
      <c r="B199" s="216"/>
      <c r="C199" s="235" t="s">
        <v>203</v>
      </c>
      <c r="D199" s="79" t="s">
        <v>149</v>
      </c>
      <c r="E199" s="105"/>
      <c r="F199" s="91">
        <v>0.06</v>
      </c>
      <c r="G199" s="125">
        <f t="shared" si="169"/>
        <v>0</v>
      </c>
      <c r="H199" s="140"/>
      <c r="I199" s="140"/>
      <c r="J199" s="140"/>
      <c r="K199" s="140"/>
      <c r="L199" s="140"/>
      <c r="M199" s="140"/>
      <c r="N199" s="140"/>
      <c r="O199" s="140"/>
      <c r="P199" s="122"/>
      <c r="Q199" s="122"/>
      <c r="R199" s="122"/>
      <c r="S199" s="122"/>
      <c r="T199" s="125">
        <f>SUM(U199:AF199)</f>
        <v>0</v>
      </c>
      <c r="U199" s="125">
        <f t="shared" ref="U199:AF199" si="172">H199/(1+$F$199)</f>
        <v>0</v>
      </c>
      <c r="V199" s="125">
        <f t="shared" si="172"/>
        <v>0</v>
      </c>
      <c r="W199" s="125">
        <f t="shared" si="172"/>
        <v>0</v>
      </c>
      <c r="X199" s="125">
        <f t="shared" si="172"/>
        <v>0</v>
      </c>
      <c r="Y199" s="125">
        <f t="shared" si="172"/>
        <v>0</v>
      </c>
      <c r="Z199" s="125">
        <f t="shared" si="172"/>
        <v>0</v>
      </c>
      <c r="AA199" s="125">
        <f t="shared" si="172"/>
        <v>0</v>
      </c>
      <c r="AB199" s="125">
        <f t="shared" si="172"/>
        <v>0</v>
      </c>
      <c r="AC199" s="125">
        <f t="shared" si="172"/>
        <v>0</v>
      </c>
      <c r="AD199" s="125">
        <f t="shared" si="172"/>
        <v>0</v>
      </c>
      <c r="AE199" s="125">
        <f t="shared" si="172"/>
        <v>0</v>
      </c>
      <c r="AF199" s="125">
        <f t="shared" si="172"/>
        <v>0</v>
      </c>
      <c r="AG199" s="92"/>
    </row>
    <row r="200" spans="1:33" ht="22.05" customHeight="1" x14ac:dyDescent="0.25">
      <c r="A200" s="204"/>
      <c r="B200" s="216"/>
      <c r="C200" s="236"/>
      <c r="D200" s="79" t="s">
        <v>150</v>
      </c>
      <c r="E200" s="105"/>
      <c r="F200" s="91"/>
      <c r="G200" s="125">
        <f t="shared" si="169"/>
        <v>0</v>
      </c>
      <c r="H200" s="140"/>
      <c r="I200" s="140"/>
      <c r="J200" s="140"/>
      <c r="K200" s="140"/>
      <c r="L200" s="140"/>
      <c r="M200" s="140"/>
      <c r="N200" s="140"/>
      <c r="O200" s="140"/>
      <c r="P200" s="122"/>
      <c r="Q200" s="122"/>
      <c r="R200" s="122"/>
      <c r="S200" s="122"/>
      <c r="T200" s="125"/>
      <c r="U200" s="125"/>
      <c r="V200" s="125"/>
      <c r="W200" s="125"/>
      <c r="X200" s="125"/>
      <c r="Y200" s="125"/>
      <c r="Z200" s="125"/>
      <c r="AA200" s="125"/>
      <c r="AB200" s="125"/>
      <c r="AC200" s="125"/>
      <c r="AD200" s="125"/>
      <c r="AE200" s="125"/>
      <c r="AF200" s="125"/>
      <c r="AG200" s="131"/>
    </row>
    <row r="201" spans="1:33" ht="22.05" customHeight="1" x14ac:dyDescent="0.25">
      <c r="A201" s="204"/>
      <c r="B201" s="216"/>
      <c r="C201" s="237"/>
      <c r="D201" s="79" t="s">
        <v>151</v>
      </c>
      <c r="E201" s="105"/>
      <c r="F201" s="91"/>
      <c r="G201" s="121"/>
      <c r="H201" s="118" t="e">
        <f>H200/$G200</f>
        <v>#DIV/0!</v>
      </c>
      <c r="I201" s="118" t="e">
        <f t="shared" ref="I201:S201" si="173">I200/$G200</f>
        <v>#DIV/0!</v>
      </c>
      <c r="J201" s="118" t="e">
        <f t="shared" si="173"/>
        <v>#DIV/0!</v>
      </c>
      <c r="K201" s="118" t="e">
        <f t="shared" si="173"/>
        <v>#DIV/0!</v>
      </c>
      <c r="L201" s="118" t="e">
        <f t="shared" si="173"/>
        <v>#DIV/0!</v>
      </c>
      <c r="M201" s="118" t="e">
        <f t="shared" si="173"/>
        <v>#DIV/0!</v>
      </c>
      <c r="N201" s="118" t="e">
        <f t="shared" si="173"/>
        <v>#DIV/0!</v>
      </c>
      <c r="O201" s="118" t="e">
        <f t="shared" si="173"/>
        <v>#DIV/0!</v>
      </c>
      <c r="P201" s="118" t="e">
        <f t="shared" si="173"/>
        <v>#DIV/0!</v>
      </c>
      <c r="Q201" s="118" t="e">
        <f t="shared" si="173"/>
        <v>#DIV/0!</v>
      </c>
      <c r="R201" s="118" t="e">
        <f t="shared" si="173"/>
        <v>#DIV/0!</v>
      </c>
      <c r="S201" s="118" t="e">
        <f t="shared" si="173"/>
        <v>#DIV/0!</v>
      </c>
      <c r="T201" s="125"/>
      <c r="U201" s="125"/>
      <c r="V201" s="125"/>
      <c r="W201" s="125"/>
      <c r="X201" s="125"/>
      <c r="Y201" s="125"/>
      <c r="Z201" s="125"/>
      <c r="AA201" s="125"/>
      <c r="AB201" s="125"/>
      <c r="AC201" s="125"/>
      <c r="AD201" s="125"/>
      <c r="AE201" s="125"/>
      <c r="AF201" s="125"/>
      <c r="AG201" s="131"/>
    </row>
    <row r="202" spans="1:33" ht="22.05" customHeight="1" x14ac:dyDescent="0.25">
      <c r="A202" s="204"/>
      <c r="B202" s="216"/>
      <c r="C202" s="235" t="s">
        <v>204</v>
      </c>
      <c r="D202" s="79" t="s">
        <v>149</v>
      </c>
      <c r="E202" s="105"/>
      <c r="F202" s="91"/>
      <c r="G202" s="119">
        <f>SUM(G205+G208)</f>
        <v>0</v>
      </c>
      <c r="H202" s="119">
        <f t="shared" ref="H202:AF202" si="174">SUM(H205+H208)</f>
        <v>0</v>
      </c>
      <c r="I202" s="119">
        <f t="shared" si="174"/>
        <v>0</v>
      </c>
      <c r="J202" s="119">
        <f t="shared" si="174"/>
        <v>0</v>
      </c>
      <c r="K202" s="119">
        <f t="shared" si="174"/>
        <v>0</v>
      </c>
      <c r="L202" s="119">
        <f t="shared" si="174"/>
        <v>0</v>
      </c>
      <c r="M202" s="119">
        <f t="shared" si="174"/>
        <v>0</v>
      </c>
      <c r="N202" s="119">
        <f t="shared" si="174"/>
        <v>0</v>
      </c>
      <c r="O202" s="119">
        <f t="shared" si="174"/>
        <v>0</v>
      </c>
      <c r="P202" s="119">
        <f t="shared" si="174"/>
        <v>0</v>
      </c>
      <c r="Q202" s="119">
        <f t="shared" si="174"/>
        <v>0</v>
      </c>
      <c r="R202" s="119">
        <f t="shared" si="174"/>
        <v>0</v>
      </c>
      <c r="S202" s="119">
        <f t="shared" si="174"/>
        <v>0</v>
      </c>
      <c r="T202" s="119">
        <f t="shared" si="174"/>
        <v>0</v>
      </c>
      <c r="U202" s="119">
        <f t="shared" si="174"/>
        <v>0</v>
      </c>
      <c r="V202" s="119">
        <f t="shared" si="174"/>
        <v>0</v>
      </c>
      <c r="W202" s="119">
        <f t="shared" si="174"/>
        <v>0</v>
      </c>
      <c r="X202" s="119">
        <f t="shared" si="174"/>
        <v>0</v>
      </c>
      <c r="Y202" s="119">
        <f t="shared" si="174"/>
        <v>0</v>
      </c>
      <c r="Z202" s="119">
        <f t="shared" si="174"/>
        <v>0</v>
      </c>
      <c r="AA202" s="119">
        <f t="shared" si="174"/>
        <v>0</v>
      </c>
      <c r="AB202" s="119">
        <f t="shared" si="174"/>
        <v>0</v>
      </c>
      <c r="AC202" s="119">
        <f t="shared" si="174"/>
        <v>0</v>
      </c>
      <c r="AD202" s="119">
        <f t="shared" si="174"/>
        <v>0</v>
      </c>
      <c r="AE202" s="119">
        <f t="shared" si="174"/>
        <v>0</v>
      </c>
      <c r="AF202" s="119">
        <f t="shared" si="174"/>
        <v>0</v>
      </c>
      <c r="AG202" s="260" t="s">
        <v>205</v>
      </c>
    </row>
    <row r="203" spans="1:33" ht="22.05" customHeight="1" x14ac:dyDescent="0.25">
      <c r="A203" s="204"/>
      <c r="B203" s="216"/>
      <c r="C203" s="236"/>
      <c r="D203" s="79" t="s">
        <v>150</v>
      </c>
      <c r="E203" s="105"/>
      <c r="F203" s="91"/>
      <c r="G203" s="119">
        <f>SUM(G206+G209)</f>
        <v>0</v>
      </c>
      <c r="H203" s="119">
        <f t="shared" ref="H203:S203" si="175">SUM(H206+H209)</f>
        <v>0</v>
      </c>
      <c r="I203" s="119">
        <f t="shared" si="175"/>
        <v>0</v>
      </c>
      <c r="J203" s="119">
        <f t="shared" si="175"/>
        <v>0</v>
      </c>
      <c r="K203" s="119">
        <f t="shared" si="175"/>
        <v>0</v>
      </c>
      <c r="L203" s="119">
        <f t="shared" si="175"/>
        <v>0</v>
      </c>
      <c r="M203" s="119">
        <f t="shared" si="175"/>
        <v>0</v>
      </c>
      <c r="N203" s="119">
        <f t="shared" si="175"/>
        <v>0</v>
      </c>
      <c r="O203" s="119">
        <f t="shared" si="175"/>
        <v>0</v>
      </c>
      <c r="P203" s="119">
        <f t="shared" si="175"/>
        <v>0</v>
      </c>
      <c r="Q203" s="119">
        <f t="shared" si="175"/>
        <v>0</v>
      </c>
      <c r="R203" s="119">
        <f t="shared" si="175"/>
        <v>0</v>
      </c>
      <c r="S203" s="119">
        <f t="shared" si="175"/>
        <v>0</v>
      </c>
      <c r="T203" s="123"/>
      <c r="U203" s="123"/>
      <c r="V203" s="123"/>
      <c r="W203" s="123"/>
      <c r="X203" s="123"/>
      <c r="Y203" s="123"/>
      <c r="Z203" s="123"/>
      <c r="AA203" s="123"/>
      <c r="AB203" s="123"/>
      <c r="AC203" s="123"/>
      <c r="AD203" s="123"/>
      <c r="AE203" s="123"/>
      <c r="AF203" s="123"/>
      <c r="AG203" s="261"/>
    </row>
    <row r="204" spans="1:33" ht="22.05" customHeight="1" x14ac:dyDescent="0.25">
      <c r="A204" s="204"/>
      <c r="B204" s="216"/>
      <c r="C204" s="237"/>
      <c r="D204" s="79" t="s">
        <v>151</v>
      </c>
      <c r="E204" s="105"/>
      <c r="F204" s="91"/>
      <c r="G204" s="121"/>
      <c r="H204" s="118" t="e">
        <f>H203/$G203</f>
        <v>#DIV/0!</v>
      </c>
      <c r="I204" s="118" t="e">
        <f t="shared" ref="I204:S204" si="176">I203/$G203</f>
        <v>#DIV/0!</v>
      </c>
      <c r="J204" s="118" t="e">
        <f t="shared" si="176"/>
        <v>#DIV/0!</v>
      </c>
      <c r="K204" s="118" t="e">
        <f t="shared" si="176"/>
        <v>#DIV/0!</v>
      </c>
      <c r="L204" s="118" t="e">
        <f t="shared" si="176"/>
        <v>#DIV/0!</v>
      </c>
      <c r="M204" s="118" t="e">
        <f t="shared" si="176"/>
        <v>#DIV/0!</v>
      </c>
      <c r="N204" s="118" t="e">
        <f t="shared" si="176"/>
        <v>#DIV/0!</v>
      </c>
      <c r="O204" s="118" t="e">
        <f t="shared" si="176"/>
        <v>#DIV/0!</v>
      </c>
      <c r="P204" s="118" t="e">
        <f t="shared" si="176"/>
        <v>#DIV/0!</v>
      </c>
      <c r="Q204" s="118" t="e">
        <f t="shared" si="176"/>
        <v>#DIV/0!</v>
      </c>
      <c r="R204" s="118" t="e">
        <f t="shared" si="176"/>
        <v>#DIV/0!</v>
      </c>
      <c r="S204" s="118" t="e">
        <f t="shared" si="176"/>
        <v>#DIV/0!</v>
      </c>
      <c r="T204" s="123"/>
      <c r="U204" s="123"/>
      <c r="V204" s="123"/>
      <c r="W204" s="123"/>
      <c r="X204" s="123"/>
      <c r="Y204" s="123"/>
      <c r="Z204" s="123"/>
      <c r="AA204" s="123"/>
      <c r="AB204" s="123"/>
      <c r="AC204" s="123"/>
      <c r="AD204" s="123"/>
      <c r="AE204" s="123"/>
      <c r="AF204" s="123"/>
      <c r="AG204" s="262"/>
    </row>
    <row r="205" spans="1:33" ht="22.05" customHeight="1" x14ac:dyDescent="0.25">
      <c r="A205" s="204"/>
      <c r="B205" s="216"/>
      <c r="C205" s="235" t="s">
        <v>206</v>
      </c>
      <c r="D205" s="79" t="s">
        <v>149</v>
      </c>
      <c r="E205" s="105"/>
      <c r="F205" s="91">
        <v>0.06</v>
      </c>
      <c r="G205" s="125">
        <f t="shared" ref="G205:G209" si="177">SUM(H205:S205)</f>
        <v>0</v>
      </c>
      <c r="H205" s="128"/>
      <c r="I205" s="138"/>
      <c r="J205" s="138"/>
      <c r="K205" s="138"/>
      <c r="L205" s="138"/>
      <c r="M205" s="138"/>
      <c r="N205" s="138"/>
      <c r="O205" s="138"/>
      <c r="P205" s="138"/>
      <c r="Q205" s="138"/>
      <c r="R205" s="138"/>
      <c r="S205" s="138"/>
      <c r="T205" s="125">
        <f>SUM(U205:AF205)</f>
        <v>0</v>
      </c>
      <c r="U205" s="117">
        <f t="shared" ref="U205:AF205" si="178">H205/(1+$F$205)</f>
        <v>0</v>
      </c>
      <c r="V205" s="117">
        <f t="shared" si="178"/>
        <v>0</v>
      </c>
      <c r="W205" s="117">
        <f t="shared" si="178"/>
        <v>0</v>
      </c>
      <c r="X205" s="117">
        <f t="shared" si="178"/>
        <v>0</v>
      </c>
      <c r="Y205" s="117">
        <f t="shared" si="178"/>
        <v>0</v>
      </c>
      <c r="Z205" s="117">
        <f t="shared" si="178"/>
        <v>0</v>
      </c>
      <c r="AA205" s="117">
        <f t="shared" si="178"/>
        <v>0</v>
      </c>
      <c r="AB205" s="117">
        <f t="shared" si="178"/>
        <v>0</v>
      </c>
      <c r="AC205" s="117">
        <f t="shared" si="178"/>
        <v>0</v>
      </c>
      <c r="AD205" s="117">
        <f t="shared" si="178"/>
        <v>0</v>
      </c>
      <c r="AE205" s="117">
        <f t="shared" si="178"/>
        <v>0</v>
      </c>
      <c r="AF205" s="117">
        <f t="shared" si="178"/>
        <v>0</v>
      </c>
      <c r="AG205" s="92"/>
    </row>
    <row r="206" spans="1:33" ht="22.05" customHeight="1" x14ac:dyDescent="0.25">
      <c r="A206" s="204"/>
      <c r="B206" s="216"/>
      <c r="C206" s="236"/>
      <c r="D206" s="79" t="s">
        <v>150</v>
      </c>
      <c r="E206" s="105"/>
      <c r="F206" s="91"/>
      <c r="G206" s="125">
        <f t="shared" si="177"/>
        <v>0</v>
      </c>
      <c r="H206" s="128"/>
      <c r="I206" s="138"/>
      <c r="J206" s="138"/>
      <c r="K206" s="138"/>
      <c r="L206" s="138"/>
      <c r="M206" s="138"/>
      <c r="N206" s="138"/>
      <c r="O206" s="138"/>
      <c r="P206" s="138"/>
      <c r="Q206" s="138"/>
      <c r="R206" s="138"/>
      <c r="S206" s="138"/>
      <c r="T206" s="125"/>
      <c r="U206" s="117"/>
      <c r="V206" s="117"/>
      <c r="W206" s="117"/>
      <c r="X206" s="117"/>
      <c r="Y206" s="117"/>
      <c r="Z206" s="117"/>
      <c r="AA206" s="117"/>
      <c r="AB206" s="117"/>
      <c r="AC206" s="117"/>
      <c r="AD206" s="117"/>
      <c r="AE206" s="117"/>
      <c r="AF206" s="117"/>
      <c r="AG206" s="92"/>
    </row>
    <row r="207" spans="1:33" ht="22.05" customHeight="1" x14ac:dyDescent="0.25">
      <c r="A207" s="204"/>
      <c r="B207" s="216"/>
      <c r="C207" s="237"/>
      <c r="D207" s="79" t="s">
        <v>151</v>
      </c>
      <c r="E207" s="105"/>
      <c r="F207" s="91"/>
      <c r="G207" s="121"/>
      <c r="H207" s="118" t="e">
        <f>H206/$G206</f>
        <v>#DIV/0!</v>
      </c>
      <c r="I207" s="118" t="e">
        <f t="shared" ref="I207:S207" si="179">I206/$G206</f>
        <v>#DIV/0!</v>
      </c>
      <c r="J207" s="118" t="e">
        <f t="shared" si="179"/>
        <v>#DIV/0!</v>
      </c>
      <c r="K207" s="118" t="e">
        <f t="shared" si="179"/>
        <v>#DIV/0!</v>
      </c>
      <c r="L207" s="118" t="e">
        <f t="shared" si="179"/>
        <v>#DIV/0!</v>
      </c>
      <c r="M207" s="118" t="e">
        <f t="shared" si="179"/>
        <v>#DIV/0!</v>
      </c>
      <c r="N207" s="118" t="e">
        <f t="shared" si="179"/>
        <v>#DIV/0!</v>
      </c>
      <c r="O207" s="118" t="e">
        <f t="shared" si="179"/>
        <v>#DIV/0!</v>
      </c>
      <c r="P207" s="118" t="e">
        <f t="shared" si="179"/>
        <v>#DIV/0!</v>
      </c>
      <c r="Q207" s="118" t="e">
        <f t="shared" si="179"/>
        <v>#DIV/0!</v>
      </c>
      <c r="R207" s="118" t="e">
        <f t="shared" si="179"/>
        <v>#DIV/0!</v>
      </c>
      <c r="S207" s="118" t="e">
        <f t="shared" si="179"/>
        <v>#DIV/0!</v>
      </c>
      <c r="T207" s="125"/>
      <c r="U207" s="117"/>
      <c r="V207" s="117"/>
      <c r="W207" s="117"/>
      <c r="X207" s="117"/>
      <c r="Y207" s="117"/>
      <c r="Z207" s="117"/>
      <c r="AA207" s="117"/>
      <c r="AB207" s="117"/>
      <c r="AC207" s="117"/>
      <c r="AD207" s="117"/>
      <c r="AE207" s="117"/>
      <c r="AF207" s="117"/>
      <c r="AG207" s="92"/>
    </row>
    <row r="208" spans="1:33" ht="22.05" customHeight="1" x14ac:dyDescent="0.25">
      <c r="A208" s="204"/>
      <c r="B208" s="217"/>
      <c r="C208" s="255" t="s">
        <v>207</v>
      </c>
      <c r="D208" s="79" t="s">
        <v>149</v>
      </c>
      <c r="E208" s="86"/>
      <c r="F208" s="91">
        <v>0.06</v>
      </c>
      <c r="G208" s="125">
        <f t="shared" si="177"/>
        <v>0</v>
      </c>
      <c r="H208" s="122"/>
      <c r="I208" s="122"/>
      <c r="J208" s="122"/>
      <c r="K208" s="122"/>
      <c r="L208" s="122"/>
      <c r="M208" s="137"/>
      <c r="N208" s="122"/>
      <c r="O208" s="122"/>
      <c r="P208" s="141"/>
      <c r="Q208" s="122"/>
      <c r="R208" s="122"/>
      <c r="S208" s="122"/>
      <c r="T208" s="125">
        <f>SUM(U208:AF208)</f>
        <v>0</v>
      </c>
      <c r="U208" s="125">
        <f t="shared" ref="U208:AF208" si="180">H208/(1+$F$208)</f>
        <v>0</v>
      </c>
      <c r="V208" s="125">
        <f t="shared" si="180"/>
        <v>0</v>
      </c>
      <c r="W208" s="125">
        <f t="shared" si="180"/>
        <v>0</v>
      </c>
      <c r="X208" s="125">
        <f t="shared" si="180"/>
        <v>0</v>
      </c>
      <c r="Y208" s="125">
        <f t="shared" si="180"/>
        <v>0</v>
      </c>
      <c r="Z208" s="125">
        <f t="shared" si="180"/>
        <v>0</v>
      </c>
      <c r="AA208" s="125">
        <f t="shared" si="180"/>
        <v>0</v>
      </c>
      <c r="AB208" s="125">
        <f t="shared" si="180"/>
        <v>0</v>
      </c>
      <c r="AC208" s="125">
        <f t="shared" si="180"/>
        <v>0</v>
      </c>
      <c r="AD208" s="125">
        <f t="shared" si="180"/>
        <v>0</v>
      </c>
      <c r="AE208" s="125">
        <f t="shared" si="180"/>
        <v>0</v>
      </c>
      <c r="AF208" s="125">
        <f t="shared" si="180"/>
        <v>0</v>
      </c>
      <c r="AG208" s="92"/>
    </row>
    <row r="209" spans="1:33" ht="22.05" customHeight="1" x14ac:dyDescent="0.25">
      <c r="A209" s="204"/>
      <c r="B209" s="217"/>
      <c r="C209" s="255"/>
      <c r="D209" s="79" t="s">
        <v>150</v>
      </c>
      <c r="E209" s="86"/>
      <c r="F209" s="91"/>
      <c r="G209" s="125">
        <f t="shared" si="177"/>
        <v>0</v>
      </c>
      <c r="H209" s="122"/>
      <c r="I209" s="122"/>
      <c r="J209" s="122"/>
      <c r="K209" s="122"/>
      <c r="L209" s="122"/>
      <c r="M209" s="137"/>
      <c r="N209" s="122"/>
      <c r="O209" s="122"/>
      <c r="P209" s="141"/>
      <c r="Q209" s="122"/>
      <c r="R209" s="122"/>
      <c r="S209" s="122"/>
      <c r="T209" s="125"/>
      <c r="U209" s="125"/>
      <c r="V209" s="125"/>
      <c r="W209" s="125"/>
      <c r="X209" s="125"/>
      <c r="Y209" s="125"/>
      <c r="Z209" s="125"/>
      <c r="AA209" s="125"/>
      <c r="AB209" s="125"/>
      <c r="AC209" s="125"/>
      <c r="AD209" s="125"/>
      <c r="AE209" s="125"/>
      <c r="AF209" s="125"/>
      <c r="AG209" s="131"/>
    </row>
    <row r="210" spans="1:33" ht="22.05" customHeight="1" x14ac:dyDescent="0.25">
      <c r="A210" s="204"/>
      <c r="B210" s="217"/>
      <c r="C210" s="255"/>
      <c r="D210" s="79" t="s">
        <v>151</v>
      </c>
      <c r="E210" s="86"/>
      <c r="F210" s="91"/>
      <c r="G210" s="121"/>
      <c r="H210" s="118" t="e">
        <f>H209/$G209</f>
        <v>#DIV/0!</v>
      </c>
      <c r="I210" s="118" t="e">
        <f t="shared" ref="I210:S210" si="181">I209/$G209</f>
        <v>#DIV/0!</v>
      </c>
      <c r="J210" s="118" t="e">
        <f t="shared" si="181"/>
        <v>#DIV/0!</v>
      </c>
      <c r="K210" s="118" t="e">
        <f t="shared" si="181"/>
        <v>#DIV/0!</v>
      </c>
      <c r="L210" s="118" t="e">
        <f t="shared" si="181"/>
        <v>#DIV/0!</v>
      </c>
      <c r="M210" s="118" t="e">
        <f t="shared" si="181"/>
        <v>#DIV/0!</v>
      </c>
      <c r="N210" s="118" t="e">
        <f t="shared" si="181"/>
        <v>#DIV/0!</v>
      </c>
      <c r="O210" s="118" t="e">
        <f t="shared" si="181"/>
        <v>#DIV/0!</v>
      </c>
      <c r="P210" s="118" t="e">
        <f t="shared" si="181"/>
        <v>#DIV/0!</v>
      </c>
      <c r="Q210" s="118" t="e">
        <f t="shared" si="181"/>
        <v>#DIV/0!</v>
      </c>
      <c r="R210" s="118" t="e">
        <f t="shared" si="181"/>
        <v>#DIV/0!</v>
      </c>
      <c r="S210" s="118" t="e">
        <f t="shared" si="181"/>
        <v>#DIV/0!</v>
      </c>
      <c r="T210" s="125"/>
      <c r="U210" s="125"/>
      <c r="V210" s="125"/>
      <c r="W210" s="125"/>
      <c r="X210" s="125"/>
      <c r="Y210" s="125"/>
      <c r="Z210" s="125"/>
      <c r="AA210" s="125"/>
      <c r="AB210" s="125"/>
      <c r="AC210" s="125"/>
      <c r="AD210" s="125"/>
      <c r="AE210" s="125"/>
      <c r="AF210" s="125"/>
      <c r="AG210" s="131"/>
    </row>
    <row r="211" spans="1:33" ht="22.05" customHeight="1" x14ac:dyDescent="0.25">
      <c r="A211" s="204"/>
      <c r="B211" s="217"/>
      <c r="C211" s="255" t="s">
        <v>208</v>
      </c>
      <c r="D211" s="79" t="s">
        <v>149</v>
      </c>
      <c r="E211" s="86"/>
      <c r="F211" s="91">
        <v>0.06</v>
      </c>
      <c r="G211" s="125">
        <f>SUM(H211:S211)</f>
        <v>0</v>
      </c>
      <c r="H211" s="122"/>
      <c r="I211" s="122"/>
      <c r="J211" s="122"/>
      <c r="K211" s="122"/>
      <c r="L211" s="122"/>
      <c r="M211" s="137"/>
      <c r="N211" s="122"/>
      <c r="O211" s="122"/>
      <c r="P211" s="141"/>
      <c r="Q211" s="122"/>
      <c r="R211" s="122"/>
      <c r="S211" s="122"/>
      <c r="T211" s="125">
        <f>SUM(U211:AF211)</f>
        <v>0</v>
      </c>
      <c r="U211" s="125">
        <f t="shared" ref="U211:AE211" si="182">H211/(1+$F$211)</f>
        <v>0</v>
      </c>
      <c r="V211" s="125">
        <f t="shared" si="182"/>
        <v>0</v>
      </c>
      <c r="W211" s="125">
        <f t="shared" si="182"/>
        <v>0</v>
      </c>
      <c r="X211" s="125">
        <f t="shared" si="182"/>
        <v>0</v>
      </c>
      <c r="Y211" s="125">
        <f t="shared" si="182"/>
        <v>0</v>
      </c>
      <c r="Z211" s="125">
        <f t="shared" si="182"/>
        <v>0</v>
      </c>
      <c r="AA211" s="125">
        <f t="shared" si="182"/>
        <v>0</v>
      </c>
      <c r="AB211" s="125">
        <f t="shared" si="182"/>
        <v>0</v>
      </c>
      <c r="AC211" s="125">
        <f t="shared" si="182"/>
        <v>0</v>
      </c>
      <c r="AD211" s="125">
        <f t="shared" si="182"/>
        <v>0</v>
      </c>
      <c r="AE211" s="125">
        <f t="shared" si="182"/>
        <v>0</v>
      </c>
      <c r="AF211" s="125">
        <f>S211/(1+$F$211)</f>
        <v>0</v>
      </c>
      <c r="AG211" s="92" t="s">
        <v>209</v>
      </c>
    </row>
    <row r="212" spans="1:33" ht="22.05" customHeight="1" x14ac:dyDescent="0.25">
      <c r="A212" s="204"/>
      <c r="B212" s="217"/>
      <c r="C212" s="255"/>
      <c r="D212" s="79" t="s">
        <v>150</v>
      </c>
      <c r="E212" s="105"/>
      <c r="F212" s="91"/>
      <c r="G212" s="125">
        <f>SUM(H212:S212)</f>
        <v>0</v>
      </c>
      <c r="H212" s="122"/>
      <c r="I212" s="122"/>
      <c r="J212" s="122"/>
      <c r="K212" s="122"/>
      <c r="L212" s="122"/>
      <c r="M212" s="137"/>
      <c r="N212" s="122"/>
      <c r="O212" s="122"/>
      <c r="P212" s="141"/>
      <c r="Q212" s="122"/>
      <c r="R212" s="122"/>
      <c r="S212" s="122"/>
      <c r="T212" s="125"/>
      <c r="U212" s="125"/>
      <c r="V212" s="125"/>
      <c r="W212" s="125"/>
      <c r="X212" s="125"/>
      <c r="Y212" s="125"/>
      <c r="Z212" s="125"/>
      <c r="AA212" s="125"/>
      <c r="AB212" s="125"/>
      <c r="AC212" s="125"/>
      <c r="AD212" s="125"/>
      <c r="AE212" s="125"/>
      <c r="AF212" s="125"/>
      <c r="AG212" s="92"/>
    </row>
    <row r="213" spans="1:33" ht="22.05" customHeight="1" x14ac:dyDescent="0.25">
      <c r="A213" s="204"/>
      <c r="B213" s="217"/>
      <c r="C213" s="255"/>
      <c r="D213" s="79" t="s">
        <v>151</v>
      </c>
      <c r="E213" s="105"/>
      <c r="F213" s="91"/>
      <c r="G213" s="121"/>
      <c r="H213" s="118" t="e">
        <f>H212/$G212</f>
        <v>#DIV/0!</v>
      </c>
      <c r="I213" s="118" t="e">
        <f t="shared" ref="I213:S213" si="183">I212/$G212</f>
        <v>#DIV/0!</v>
      </c>
      <c r="J213" s="118" t="e">
        <f t="shared" si="183"/>
        <v>#DIV/0!</v>
      </c>
      <c r="K213" s="118" t="e">
        <f t="shared" si="183"/>
        <v>#DIV/0!</v>
      </c>
      <c r="L213" s="118" t="e">
        <f t="shared" si="183"/>
        <v>#DIV/0!</v>
      </c>
      <c r="M213" s="118" t="e">
        <f t="shared" si="183"/>
        <v>#DIV/0!</v>
      </c>
      <c r="N213" s="118" t="e">
        <f t="shared" si="183"/>
        <v>#DIV/0!</v>
      </c>
      <c r="O213" s="118" t="e">
        <f t="shared" si="183"/>
        <v>#DIV/0!</v>
      </c>
      <c r="P213" s="118" t="e">
        <f t="shared" si="183"/>
        <v>#DIV/0!</v>
      </c>
      <c r="Q213" s="118" t="e">
        <f t="shared" si="183"/>
        <v>#DIV/0!</v>
      </c>
      <c r="R213" s="118" t="e">
        <f t="shared" si="183"/>
        <v>#DIV/0!</v>
      </c>
      <c r="S213" s="118" t="e">
        <f t="shared" si="183"/>
        <v>#DIV/0!</v>
      </c>
      <c r="T213" s="125"/>
      <c r="U213" s="125"/>
      <c r="V213" s="125"/>
      <c r="W213" s="125"/>
      <c r="X213" s="125"/>
      <c r="Y213" s="125"/>
      <c r="Z213" s="125"/>
      <c r="AA213" s="125"/>
      <c r="AB213" s="125"/>
      <c r="AC213" s="125"/>
      <c r="AD213" s="125"/>
      <c r="AE213" s="125"/>
      <c r="AF213" s="125"/>
      <c r="AG213" s="92"/>
    </row>
    <row r="214" spans="1:33" ht="22.05" customHeight="1" x14ac:dyDescent="0.25">
      <c r="A214" s="204"/>
      <c r="B214" s="216"/>
      <c r="C214" s="105" t="s">
        <v>125</v>
      </c>
      <c r="D214" s="105"/>
      <c r="E214" s="105"/>
      <c r="F214" s="86"/>
      <c r="G214" s="125"/>
      <c r="H214" s="122"/>
      <c r="I214" s="122"/>
      <c r="J214" s="122"/>
      <c r="K214" s="122"/>
      <c r="L214" s="122"/>
      <c r="M214" s="137"/>
      <c r="N214" s="122"/>
      <c r="O214" s="122"/>
      <c r="P214" s="141"/>
      <c r="Q214" s="122"/>
      <c r="R214" s="122"/>
      <c r="S214" s="122"/>
      <c r="T214" s="125">
        <f>SUM(U214:AF214)</f>
        <v>0</v>
      </c>
      <c r="U214" s="125">
        <f t="shared" ref="U214:AF214" si="184">H214/(1+$F$211)</f>
        <v>0</v>
      </c>
      <c r="V214" s="125">
        <f t="shared" si="184"/>
        <v>0</v>
      </c>
      <c r="W214" s="125">
        <f t="shared" si="184"/>
        <v>0</v>
      </c>
      <c r="X214" s="125">
        <f t="shared" si="184"/>
        <v>0</v>
      </c>
      <c r="Y214" s="125">
        <f t="shared" si="184"/>
        <v>0</v>
      </c>
      <c r="Z214" s="125">
        <f t="shared" si="184"/>
        <v>0</v>
      </c>
      <c r="AA214" s="125">
        <f t="shared" si="184"/>
        <v>0</v>
      </c>
      <c r="AB214" s="125">
        <f t="shared" si="184"/>
        <v>0</v>
      </c>
      <c r="AC214" s="125">
        <f t="shared" si="184"/>
        <v>0</v>
      </c>
      <c r="AD214" s="125">
        <f t="shared" si="184"/>
        <v>0</v>
      </c>
      <c r="AE214" s="125">
        <f t="shared" si="184"/>
        <v>0</v>
      </c>
      <c r="AF214" s="125">
        <f t="shared" si="184"/>
        <v>0</v>
      </c>
      <c r="AG214" s="92" t="s">
        <v>210</v>
      </c>
    </row>
    <row r="215" spans="1:33" ht="22.05" customHeight="1" x14ac:dyDescent="0.25">
      <c r="A215" s="268" t="s">
        <v>211</v>
      </c>
      <c r="B215" s="269"/>
      <c r="C215" s="256" t="s">
        <v>212</v>
      </c>
      <c r="D215" s="79" t="s">
        <v>149</v>
      </c>
      <c r="E215" s="80"/>
      <c r="F215" s="87"/>
      <c r="G215" s="119">
        <f>SUM(G218,G221)</f>
        <v>0</v>
      </c>
      <c r="H215" s="119">
        <f t="shared" ref="H215:AF215" si="185">SUM(H218,H221)</f>
        <v>0</v>
      </c>
      <c r="I215" s="119">
        <f t="shared" si="185"/>
        <v>0</v>
      </c>
      <c r="J215" s="119">
        <f t="shared" si="185"/>
        <v>0</v>
      </c>
      <c r="K215" s="119">
        <f t="shared" si="185"/>
        <v>0</v>
      </c>
      <c r="L215" s="119">
        <f t="shared" si="185"/>
        <v>0</v>
      </c>
      <c r="M215" s="119">
        <f t="shared" si="185"/>
        <v>0</v>
      </c>
      <c r="N215" s="119">
        <f t="shared" si="185"/>
        <v>0</v>
      </c>
      <c r="O215" s="119">
        <f t="shared" si="185"/>
        <v>0</v>
      </c>
      <c r="P215" s="119">
        <f t="shared" si="185"/>
        <v>0</v>
      </c>
      <c r="Q215" s="119">
        <f t="shared" si="185"/>
        <v>0</v>
      </c>
      <c r="R215" s="119">
        <f t="shared" si="185"/>
        <v>0</v>
      </c>
      <c r="S215" s="119">
        <f t="shared" si="185"/>
        <v>0</v>
      </c>
      <c r="T215" s="119">
        <f t="shared" si="185"/>
        <v>0</v>
      </c>
      <c r="U215" s="119">
        <f t="shared" si="185"/>
        <v>0</v>
      </c>
      <c r="V215" s="119">
        <f t="shared" si="185"/>
        <v>0</v>
      </c>
      <c r="W215" s="119">
        <f t="shared" si="185"/>
        <v>0</v>
      </c>
      <c r="X215" s="119">
        <f t="shared" si="185"/>
        <v>0</v>
      </c>
      <c r="Y215" s="119">
        <f t="shared" si="185"/>
        <v>0</v>
      </c>
      <c r="Z215" s="119">
        <f t="shared" si="185"/>
        <v>0</v>
      </c>
      <c r="AA215" s="119">
        <f t="shared" si="185"/>
        <v>0</v>
      </c>
      <c r="AB215" s="119">
        <f t="shared" si="185"/>
        <v>0</v>
      </c>
      <c r="AC215" s="119">
        <f t="shared" si="185"/>
        <v>0</v>
      </c>
      <c r="AD215" s="119">
        <f t="shared" si="185"/>
        <v>0</v>
      </c>
      <c r="AE215" s="119">
        <f t="shared" si="185"/>
        <v>0</v>
      </c>
      <c r="AF215" s="119">
        <f t="shared" si="185"/>
        <v>0</v>
      </c>
      <c r="AG215" s="92"/>
    </row>
    <row r="216" spans="1:33" ht="22.05" customHeight="1" x14ac:dyDescent="0.25">
      <c r="A216" s="204"/>
      <c r="B216" s="270"/>
      <c r="C216" s="256"/>
      <c r="D216" s="79" t="s">
        <v>150</v>
      </c>
      <c r="E216" s="80"/>
      <c r="F216" s="87"/>
      <c r="G216" s="119">
        <f>SUM(G219,G222)</f>
        <v>0</v>
      </c>
      <c r="H216" s="119">
        <f t="shared" ref="H216:S216" si="186">SUM(H219,H222)</f>
        <v>0</v>
      </c>
      <c r="I216" s="119">
        <f t="shared" si="186"/>
        <v>0</v>
      </c>
      <c r="J216" s="119">
        <f t="shared" si="186"/>
        <v>0</v>
      </c>
      <c r="K216" s="119">
        <f t="shared" si="186"/>
        <v>0</v>
      </c>
      <c r="L216" s="119">
        <f t="shared" si="186"/>
        <v>0</v>
      </c>
      <c r="M216" s="119">
        <f t="shared" si="186"/>
        <v>0</v>
      </c>
      <c r="N216" s="119">
        <f t="shared" si="186"/>
        <v>0</v>
      </c>
      <c r="O216" s="119">
        <f t="shared" si="186"/>
        <v>0</v>
      </c>
      <c r="P216" s="119">
        <f t="shared" si="186"/>
        <v>0</v>
      </c>
      <c r="Q216" s="119">
        <f t="shared" si="186"/>
        <v>0</v>
      </c>
      <c r="R216" s="119">
        <f t="shared" si="186"/>
        <v>0</v>
      </c>
      <c r="S216" s="119">
        <f t="shared" si="186"/>
        <v>0</v>
      </c>
      <c r="T216" s="123"/>
      <c r="U216" s="123"/>
      <c r="V216" s="123"/>
      <c r="W216" s="123"/>
      <c r="X216" s="123"/>
      <c r="Y216" s="123"/>
      <c r="Z216" s="123"/>
      <c r="AA216" s="123"/>
      <c r="AB216" s="123"/>
      <c r="AC216" s="123"/>
      <c r="AD216" s="123"/>
      <c r="AE216" s="123"/>
      <c r="AF216" s="123"/>
      <c r="AG216" s="92"/>
    </row>
    <row r="217" spans="1:33" ht="22.05" customHeight="1" x14ac:dyDescent="0.25">
      <c r="A217" s="204"/>
      <c r="B217" s="270"/>
      <c r="C217" s="256"/>
      <c r="D217" s="79" t="s">
        <v>151</v>
      </c>
      <c r="E217" s="80"/>
      <c r="F217" s="87"/>
      <c r="G217" s="121"/>
      <c r="H217" s="118" t="e">
        <f>H216/$G216</f>
        <v>#DIV/0!</v>
      </c>
      <c r="I217" s="118" t="e">
        <f t="shared" ref="I217:S217" si="187">I216/$G216</f>
        <v>#DIV/0!</v>
      </c>
      <c r="J217" s="118" t="e">
        <f t="shared" si="187"/>
        <v>#DIV/0!</v>
      </c>
      <c r="K217" s="118" t="e">
        <f t="shared" si="187"/>
        <v>#DIV/0!</v>
      </c>
      <c r="L217" s="118" t="e">
        <f t="shared" si="187"/>
        <v>#DIV/0!</v>
      </c>
      <c r="M217" s="118" t="e">
        <f t="shared" si="187"/>
        <v>#DIV/0!</v>
      </c>
      <c r="N217" s="118" t="e">
        <f t="shared" si="187"/>
        <v>#DIV/0!</v>
      </c>
      <c r="O217" s="118" t="e">
        <f t="shared" si="187"/>
        <v>#DIV/0!</v>
      </c>
      <c r="P217" s="118" t="e">
        <f t="shared" si="187"/>
        <v>#DIV/0!</v>
      </c>
      <c r="Q217" s="118" t="e">
        <f t="shared" si="187"/>
        <v>#DIV/0!</v>
      </c>
      <c r="R217" s="118" t="e">
        <f t="shared" si="187"/>
        <v>#DIV/0!</v>
      </c>
      <c r="S217" s="118" t="e">
        <f t="shared" si="187"/>
        <v>#DIV/0!</v>
      </c>
      <c r="T217" s="123"/>
      <c r="U217" s="123"/>
      <c r="V217" s="123"/>
      <c r="W217" s="123"/>
      <c r="X217" s="123"/>
      <c r="Y217" s="123"/>
      <c r="Z217" s="123"/>
      <c r="AA217" s="123"/>
      <c r="AB217" s="123"/>
      <c r="AC217" s="123"/>
      <c r="AD217" s="123"/>
      <c r="AE217" s="123"/>
      <c r="AF217" s="123"/>
      <c r="AG217" s="92"/>
    </row>
    <row r="218" spans="1:33" ht="22.05" customHeight="1" x14ac:dyDescent="0.25">
      <c r="A218" s="204"/>
      <c r="B218" s="270"/>
      <c r="C218" s="241" t="s">
        <v>213</v>
      </c>
      <c r="D218" s="79" t="s">
        <v>149</v>
      </c>
      <c r="E218" s="92"/>
      <c r="F218" s="87"/>
      <c r="G218" s="119">
        <f>SUM(H218:S218)</f>
        <v>0</v>
      </c>
      <c r="H218" s="137"/>
      <c r="I218" s="137"/>
      <c r="J218" s="137"/>
      <c r="K218" s="137"/>
      <c r="L218" s="137"/>
      <c r="M218" s="137"/>
      <c r="N218" s="137"/>
      <c r="O218" s="137"/>
      <c r="P218" s="137"/>
      <c r="Q218" s="122"/>
      <c r="R218" s="122"/>
      <c r="S218" s="122"/>
      <c r="T218" s="125">
        <f>SUM(U218:AF218)</f>
        <v>0</v>
      </c>
      <c r="U218" s="125">
        <f t="shared" ref="U218:AF218" si="188">H218/(1+$F$218)</f>
        <v>0</v>
      </c>
      <c r="V218" s="125">
        <f t="shared" si="188"/>
        <v>0</v>
      </c>
      <c r="W218" s="125">
        <f t="shared" si="188"/>
        <v>0</v>
      </c>
      <c r="X218" s="125">
        <f t="shared" si="188"/>
        <v>0</v>
      </c>
      <c r="Y218" s="125">
        <f t="shared" si="188"/>
        <v>0</v>
      </c>
      <c r="Z218" s="125">
        <f t="shared" si="188"/>
        <v>0</v>
      </c>
      <c r="AA218" s="125">
        <f t="shared" si="188"/>
        <v>0</v>
      </c>
      <c r="AB218" s="125">
        <f t="shared" si="188"/>
        <v>0</v>
      </c>
      <c r="AC218" s="125">
        <f t="shared" si="188"/>
        <v>0</v>
      </c>
      <c r="AD218" s="125">
        <f t="shared" si="188"/>
        <v>0</v>
      </c>
      <c r="AE218" s="125">
        <f t="shared" si="188"/>
        <v>0</v>
      </c>
      <c r="AF218" s="125">
        <f t="shared" si="188"/>
        <v>0</v>
      </c>
      <c r="AG218" s="92" t="s">
        <v>214</v>
      </c>
    </row>
    <row r="219" spans="1:33" ht="22.05" customHeight="1" x14ac:dyDescent="0.25">
      <c r="A219" s="204"/>
      <c r="B219" s="270"/>
      <c r="C219" s="242"/>
      <c r="D219" s="79" t="s">
        <v>150</v>
      </c>
      <c r="E219" s="92"/>
      <c r="F219" s="87"/>
      <c r="G219" s="119">
        <f>SUM(H219:S219)</f>
        <v>0</v>
      </c>
      <c r="H219" s="137"/>
      <c r="I219" s="137"/>
      <c r="J219" s="137"/>
      <c r="K219" s="137"/>
      <c r="L219" s="137"/>
      <c r="M219" s="137"/>
      <c r="N219" s="137"/>
      <c r="O219" s="137"/>
      <c r="P219" s="137"/>
      <c r="Q219" s="122"/>
      <c r="R219" s="122"/>
      <c r="S219" s="122"/>
      <c r="T219" s="125"/>
      <c r="U219" s="125"/>
      <c r="V219" s="125"/>
      <c r="W219" s="125"/>
      <c r="X219" s="125"/>
      <c r="Y219" s="125"/>
      <c r="Z219" s="125"/>
      <c r="AA219" s="125"/>
      <c r="AB219" s="125"/>
      <c r="AC219" s="125"/>
      <c r="AD219" s="125"/>
      <c r="AE219" s="125"/>
      <c r="AF219" s="125"/>
      <c r="AG219" s="92"/>
    </row>
    <row r="220" spans="1:33" ht="22.05" customHeight="1" x14ac:dyDescent="0.25">
      <c r="A220" s="204"/>
      <c r="B220" s="270"/>
      <c r="C220" s="243"/>
      <c r="D220" s="79" t="s">
        <v>151</v>
      </c>
      <c r="E220" s="92"/>
      <c r="F220" s="87"/>
      <c r="G220" s="121"/>
      <c r="H220" s="118" t="e">
        <f>H219/$G219</f>
        <v>#DIV/0!</v>
      </c>
      <c r="I220" s="118" t="e">
        <f t="shared" ref="I220:S220" si="189">I219/$G219</f>
        <v>#DIV/0!</v>
      </c>
      <c r="J220" s="118" t="e">
        <f t="shared" si="189"/>
        <v>#DIV/0!</v>
      </c>
      <c r="K220" s="118" t="e">
        <f t="shared" si="189"/>
        <v>#DIV/0!</v>
      </c>
      <c r="L220" s="118" t="e">
        <f t="shared" si="189"/>
        <v>#DIV/0!</v>
      </c>
      <c r="M220" s="118" t="e">
        <f t="shared" si="189"/>
        <v>#DIV/0!</v>
      </c>
      <c r="N220" s="118" t="e">
        <f t="shared" si="189"/>
        <v>#DIV/0!</v>
      </c>
      <c r="O220" s="118" t="e">
        <f t="shared" si="189"/>
        <v>#DIV/0!</v>
      </c>
      <c r="P220" s="118" t="e">
        <f t="shared" si="189"/>
        <v>#DIV/0!</v>
      </c>
      <c r="Q220" s="118" t="e">
        <f t="shared" si="189"/>
        <v>#DIV/0!</v>
      </c>
      <c r="R220" s="118" t="e">
        <f t="shared" si="189"/>
        <v>#DIV/0!</v>
      </c>
      <c r="S220" s="118" t="e">
        <f t="shared" si="189"/>
        <v>#DIV/0!</v>
      </c>
      <c r="T220" s="125"/>
      <c r="U220" s="125"/>
      <c r="V220" s="125"/>
      <c r="W220" s="125"/>
      <c r="X220" s="125"/>
      <c r="Y220" s="125"/>
      <c r="Z220" s="125"/>
      <c r="AA220" s="125"/>
      <c r="AB220" s="125"/>
      <c r="AC220" s="125"/>
      <c r="AD220" s="125"/>
      <c r="AE220" s="125"/>
      <c r="AF220" s="125"/>
      <c r="AG220" s="92"/>
    </row>
    <row r="221" spans="1:33" ht="22.05" customHeight="1" x14ac:dyDescent="0.25">
      <c r="A221" s="204"/>
      <c r="B221" s="270"/>
      <c r="C221" s="257" t="s">
        <v>215</v>
      </c>
      <c r="D221" s="79" t="s">
        <v>149</v>
      </c>
      <c r="E221" s="86"/>
      <c r="F221" s="91"/>
      <c r="G221" s="119">
        <f>SUM(H221:S221)</f>
        <v>0</v>
      </c>
      <c r="H221" s="140"/>
      <c r="I221" s="140"/>
      <c r="J221" s="140"/>
      <c r="K221" s="140"/>
      <c r="L221" s="140"/>
      <c r="M221" s="140"/>
      <c r="N221" s="140"/>
      <c r="O221" s="140"/>
      <c r="P221" s="122"/>
      <c r="Q221" s="122"/>
      <c r="R221" s="122"/>
      <c r="S221" s="122"/>
      <c r="T221" s="125">
        <f>SUM(U221:AF221)</f>
        <v>0</v>
      </c>
      <c r="U221" s="125">
        <f t="shared" ref="U221:AF221" si="190">H221/(1+$F$221)</f>
        <v>0</v>
      </c>
      <c r="V221" s="125">
        <f t="shared" si="190"/>
        <v>0</v>
      </c>
      <c r="W221" s="125">
        <f t="shared" si="190"/>
        <v>0</v>
      </c>
      <c r="X221" s="125">
        <f t="shared" si="190"/>
        <v>0</v>
      </c>
      <c r="Y221" s="125">
        <f t="shared" si="190"/>
        <v>0</v>
      </c>
      <c r="Z221" s="125">
        <f t="shared" si="190"/>
        <v>0</v>
      </c>
      <c r="AA221" s="125">
        <f t="shared" si="190"/>
        <v>0</v>
      </c>
      <c r="AB221" s="125">
        <f t="shared" si="190"/>
        <v>0</v>
      </c>
      <c r="AC221" s="125">
        <f t="shared" si="190"/>
        <v>0</v>
      </c>
      <c r="AD221" s="125">
        <f t="shared" si="190"/>
        <v>0</v>
      </c>
      <c r="AE221" s="125">
        <f t="shared" si="190"/>
        <v>0</v>
      </c>
      <c r="AF221" s="125">
        <f t="shared" si="190"/>
        <v>0</v>
      </c>
      <c r="AG221" s="92" t="s">
        <v>216</v>
      </c>
    </row>
    <row r="222" spans="1:33" customFormat="1" ht="22.05" customHeight="1" x14ac:dyDescent="0.25">
      <c r="A222" s="204"/>
      <c r="B222" s="270"/>
      <c r="C222" s="258"/>
      <c r="D222" s="79" t="s">
        <v>150</v>
      </c>
      <c r="E222" s="86"/>
      <c r="F222" s="91"/>
      <c r="G222" s="119">
        <f>SUM(H222:S222)</f>
        <v>0</v>
      </c>
      <c r="H222" s="140"/>
      <c r="I222" s="140"/>
      <c r="J222" s="140"/>
      <c r="K222" s="140"/>
      <c r="L222" s="140"/>
      <c r="M222" s="140"/>
      <c r="N222" s="140"/>
      <c r="O222" s="140"/>
      <c r="P222" s="122"/>
      <c r="Q222" s="122"/>
      <c r="R222" s="122"/>
      <c r="S222" s="122"/>
      <c r="T222" s="125"/>
      <c r="U222" s="125"/>
      <c r="V222" s="125"/>
      <c r="W222" s="125"/>
      <c r="X222" s="125"/>
      <c r="Y222" s="125"/>
      <c r="Z222" s="125"/>
      <c r="AA222" s="125"/>
      <c r="AB222" s="125"/>
      <c r="AC222" s="125"/>
      <c r="AD222" s="125"/>
      <c r="AE222" s="125"/>
      <c r="AF222" s="125"/>
      <c r="AG222" s="92"/>
    </row>
    <row r="223" spans="1:33" customFormat="1" ht="22.05" customHeight="1" x14ac:dyDescent="0.25">
      <c r="A223" s="205"/>
      <c r="B223" s="271"/>
      <c r="C223" s="259"/>
      <c r="D223" s="79" t="s">
        <v>151</v>
      </c>
      <c r="E223" s="86"/>
      <c r="F223" s="91"/>
      <c r="G223" s="121"/>
      <c r="H223" s="118" t="e">
        <f>H222/$G222</f>
        <v>#DIV/0!</v>
      </c>
      <c r="I223" s="118" t="e">
        <f t="shared" ref="I223:S223" si="191">I222/$G222</f>
        <v>#DIV/0!</v>
      </c>
      <c r="J223" s="118" t="e">
        <f t="shared" si="191"/>
        <v>#DIV/0!</v>
      </c>
      <c r="K223" s="118" t="e">
        <f t="shared" si="191"/>
        <v>#DIV/0!</v>
      </c>
      <c r="L223" s="118" t="e">
        <f t="shared" si="191"/>
        <v>#DIV/0!</v>
      </c>
      <c r="M223" s="118" t="e">
        <f t="shared" si="191"/>
        <v>#DIV/0!</v>
      </c>
      <c r="N223" s="118" t="e">
        <f t="shared" si="191"/>
        <v>#DIV/0!</v>
      </c>
      <c r="O223" s="118" t="e">
        <f t="shared" si="191"/>
        <v>#DIV/0!</v>
      </c>
      <c r="P223" s="118" t="e">
        <f t="shared" si="191"/>
        <v>#DIV/0!</v>
      </c>
      <c r="Q223" s="118" t="e">
        <f t="shared" si="191"/>
        <v>#DIV/0!</v>
      </c>
      <c r="R223" s="118" t="e">
        <f t="shared" si="191"/>
        <v>#DIV/0!</v>
      </c>
      <c r="S223" s="118" t="e">
        <f t="shared" si="191"/>
        <v>#DIV/0!</v>
      </c>
      <c r="T223" s="125"/>
      <c r="U223" s="125"/>
      <c r="V223" s="125"/>
      <c r="W223" s="125"/>
      <c r="X223" s="125"/>
      <c r="Y223" s="125"/>
      <c r="Z223" s="125"/>
      <c r="AA223" s="125"/>
      <c r="AB223" s="125"/>
      <c r="AC223" s="125"/>
      <c r="AD223" s="125"/>
      <c r="AE223" s="125"/>
      <c r="AF223" s="125"/>
      <c r="AG223" s="92"/>
    </row>
    <row r="224" spans="1:33" s="74" customFormat="1" ht="30" customHeight="1" x14ac:dyDescent="0.25"/>
    <row r="225" spans="3:3" x14ac:dyDescent="0.25">
      <c r="C225" s="74"/>
    </row>
  </sheetData>
  <autoFilter ref="A2:AL223" xr:uid="{00000000-0009-0000-0000-000002000000}"/>
  <mergeCells count="94">
    <mergeCell ref="B3:C5"/>
    <mergeCell ref="B96:C98"/>
    <mergeCell ref="A215:B223"/>
    <mergeCell ref="C211:C213"/>
    <mergeCell ref="C215:C217"/>
    <mergeCell ref="C218:C220"/>
    <mergeCell ref="C221:C223"/>
    <mergeCell ref="AG12:AG17"/>
    <mergeCell ref="AG18:AG23"/>
    <mergeCell ref="AG43:AG45"/>
    <mergeCell ref="AG61:AG63"/>
    <mergeCell ref="AG108:AG113"/>
    <mergeCell ref="AG143:AG145"/>
    <mergeCell ref="AG146:AG151"/>
    <mergeCell ref="AG153:AG157"/>
    <mergeCell ref="AG172:AG173"/>
    <mergeCell ref="AG193:AG195"/>
    <mergeCell ref="AG202:AG204"/>
    <mergeCell ref="C196:C198"/>
    <mergeCell ref="C199:C201"/>
    <mergeCell ref="C202:C204"/>
    <mergeCell ref="C205:C207"/>
    <mergeCell ref="C208:C210"/>
    <mergeCell ref="C180:C182"/>
    <mergeCell ref="C183:C185"/>
    <mergeCell ref="C186:C188"/>
    <mergeCell ref="C190:C192"/>
    <mergeCell ref="C193:C195"/>
    <mergeCell ref="C164:C166"/>
    <mergeCell ref="C167:C169"/>
    <mergeCell ref="C171:C173"/>
    <mergeCell ref="C174:C176"/>
    <mergeCell ref="C177:C179"/>
    <mergeCell ref="C149:C151"/>
    <mergeCell ref="C152:C154"/>
    <mergeCell ref="C155:C157"/>
    <mergeCell ref="C158:C160"/>
    <mergeCell ref="C161:C163"/>
    <mergeCell ref="C133:C135"/>
    <mergeCell ref="C136:C138"/>
    <mergeCell ref="C140:C142"/>
    <mergeCell ref="C143:C145"/>
    <mergeCell ref="C146:C148"/>
    <mergeCell ref="C117:C119"/>
    <mergeCell ref="C121:C123"/>
    <mergeCell ref="C124:C126"/>
    <mergeCell ref="C127:C129"/>
    <mergeCell ref="C130:C132"/>
    <mergeCell ref="C102:C104"/>
    <mergeCell ref="C105:C107"/>
    <mergeCell ref="C108:C110"/>
    <mergeCell ref="C111:C113"/>
    <mergeCell ref="C114:C116"/>
    <mergeCell ref="C82:C84"/>
    <mergeCell ref="C85:C87"/>
    <mergeCell ref="C88:C90"/>
    <mergeCell ref="C91:C93"/>
    <mergeCell ref="C99:C101"/>
    <mergeCell ref="C67:C69"/>
    <mergeCell ref="C70:C72"/>
    <mergeCell ref="C73:C75"/>
    <mergeCell ref="C76:C78"/>
    <mergeCell ref="C79:C81"/>
    <mergeCell ref="C49:C51"/>
    <mergeCell ref="C52:C54"/>
    <mergeCell ref="C55:C57"/>
    <mergeCell ref="C61:C63"/>
    <mergeCell ref="C64:C66"/>
    <mergeCell ref="C33:C35"/>
    <mergeCell ref="C36:C38"/>
    <mergeCell ref="C40:C42"/>
    <mergeCell ref="C43:C45"/>
    <mergeCell ref="C46:C48"/>
    <mergeCell ref="C18:C20"/>
    <mergeCell ref="C21:C23"/>
    <mergeCell ref="C24:C26"/>
    <mergeCell ref="C27:C29"/>
    <mergeCell ref="C30:C32"/>
    <mergeCell ref="D1:S1"/>
    <mergeCell ref="A2:C2"/>
    <mergeCell ref="A3:A95"/>
    <mergeCell ref="A96:A139"/>
    <mergeCell ref="A140:A214"/>
    <mergeCell ref="B6:B39"/>
    <mergeCell ref="B40:B95"/>
    <mergeCell ref="B99:B120"/>
    <mergeCell ref="B121:B139"/>
    <mergeCell ref="B140:B170"/>
    <mergeCell ref="B171:B189"/>
    <mergeCell ref="B190:B214"/>
    <mergeCell ref="C6:C8"/>
    <mergeCell ref="C9:C11"/>
    <mergeCell ref="C12:C14"/>
    <mergeCell ref="C15:C17"/>
  </mergeCells>
  <phoneticPr fontId="45" type="noConversion"/>
  <dataValidations count="2">
    <dataValidation type="list" allowBlank="1" showInputMessage="1" showErrorMessage="1" sqref="B1" xr:uid="{00000000-0002-0000-0200-000000000000}">
      <formula1>"分年填写,只填合计"</formula1>
    </dataValidation>
    <dataValidation type="list" allowBlank="1" showInputMessage="1" showErrorMessage="1" sqref="C2 D2" xr:uid="{00000000-0002-0000-0200-000001000000}">
      <formula1>"25%,20%,15%,12.5%,10%"</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XEO225"/>
  <sheetViews>
    <sheetView zoomScale="85" zoomScaleNormal="85" workbookViewId="0">
      <selection sqref="A1:S1"/>
    </sheetView>
  </sheetViews>
  <sheetFormatPr defaultColWidth="9" defaultRowHeight="15" x14ac:dyDescent="0.25"/>
  <cols>
    <col min="1" max="1" width="7.6640625" style="75" customWidth="1"/>
    <col min="2" max="2" width="11.6640625" style="75" customWidth="1"/>
    <col min="3" max="3" width="17.88671875" style="75" customWidth="1"/>
    <col min="4" max="4" width="12.33203125" style="75" customWidth="1"/>
    <col min="5" max="5" width="7" style="75" customWidth="1"/>
    <col min="6" max="6" width="7.44140625" style="75" customWidth="1"/>
    <col min="7" max="7" width="10.88671875" style="75" customWidth="1"/>
    <col min="8" max="10" width="11.77734375" style="75" customWidth="1"/>
    <col min="11" max="11" width="11.77734375" style="94" customWidth="1"/>
    <col min="12" max="13" width="11.77734375" style="75" customWidth="1"/>
    <col min="14" max="14" width="11.77734375" style="95" customWidth="1"/>
    <col min="15" max="19" width="11.77734375" style="75" customWidth="1"/>
    <col min="20" max="20" width="9.77734375" style="75" customWidth="1"/>
    <col min="21" max="16369" width="9" style="75"/>
  </cols>
  <sheetData>
    <row r="1" spans="1:24" s="73" customFormat="1" ht="35.700000000000003" customHeight="1" x14ac:dyDescent="0.25">
      <c r="A1" s="272" t="s">
        <v>217</v>
      </c>
      <c r="B1" s="272"/>
      <c r="C1" s="272"/>
      <c r="D1" s="272"/>
      <c r="E1" s="272"/>
      <c r="F1" s="272"/>
      <c r="G1" s="272"/>
      <c r="H1" s="272"/>
      <c r="I1" s="272"/>
      <c r="J1" s="272"/>
      <c r="K1" s="272"/>
      <c r="L1" s="272"/>
      <c r="M1" s="272"/>
      <c r="N1" s="272"/>
      <c r="O1" s="272"/>
      <c r="P1" s="272"/>
      <c r="Q1" s="272"/>
      <c r="R1" s="272"/>
      <c r="S1" s="272"/>
    </row>
    <row r="2" spans="1:24" ht="50.7" customHeight="1" x14ac:dyDescent="0.25">
      <c r="A2" s="273" t="s">
        <v>76</v>
      </c>
      <c r="B2" s="202"/>
      <c r="C2" s="203"/>
      <c r="D2" s="96"/>
      <c r="E2" s="97" t="s">
        <v>77</v>
      </c>
      <c r="F2" s="97" t="s">
        <v>78</v>
      </c>
      <c r="G2" s="97" t="s">
        <v>79</v>
      </c>
      <c r="H2" s="78" t="s">
        <v>80</v>
      </c>
      <c r="I2" s="106" t="s">
        <v>81</v>
      </c>
      <c r="J2" s="106" t="s">
        <v>82</v>
      </c>
      <c r="K2" s="106" t="s">
        <v>83</v>
      </c>
      <c r="L2" s="106" t="s">
        <v>84</v>
      </c>
      <c r="M2" s="106" t="s">
        <v>85</v>
      </c>
      <c r="N2" s="106" t="s">
        <v>86</v>
      </c>
      <c r="O2" s="106" t="s">
        <v>87</v>
      </c>
      <c r="P2" s="106" t="s">
        <v>88</v>
      </c>
      <c r="Q2" s="106" t="s">
        <v>89</v>
      </c>
      <c r="R2" s="106" t="s">
        <v>90</v>
      </c>
      <c r="S2" s="106" t="s">
        <v>91</v>
      </c>
      <c r="X2" s="90"/>
    </row>
    <row r="3" spans="1:24" ht="22.05" customHeight="1" x14ac:dyDescent="0.25">
      <c r="A3" s="204" t="s">
        <v>103</v>
      </c>
      <c r="B3" s="274" t="s">
        <v>104</v>
      </c>
      <c r="C3" s="275"/>
      <c r="D3" s="79" t="s">
        <v>103</v>
      </c>
      <c r="E3" s="98">
        <f>'收入支出明细表（基础数据表）'!E3</f>
        <v>0</v>
      </c>
      <c r="F3" s="98">
        <f>'收入支出明细表（基础数据表）'!F3</f>
        <v>0</v>
      </c>
      <c r="G3" s="99">
        <f>'收入支出明细表（基础数据表）'!G3</f>
        <v>0</v>
      </c>
      <c r="H3" s="100">
        <f>'收入支出明细表（基础数据表）'!H3</f>
        <v>0</v>
      </c>
      <c r="I3" s="100">
        <f>'收入支出明细表（基础数据表）'!I3</f>
        <v>0</v>
      </c>
      <c r="J3" s="100">
        <f>'收入支出明细表（基础数据表）'!J3</f>
        <v>0</v>
      </c>
      <c r="K3" s="100">
        <f>'收入支出明细表（基础数据表）'!K3</f>
        <v>0</v>
      </c>
      <c r="L3" s="100">
        <f>'收入支出明细表（基础数据表）'!L3</f>
        <v>0</v>
      </c>
      <c r="M3" s="100">
        <f>'收入支出明细表（基础数据表）'!M3</f>
        <v>0</v>
      </c>
      <c r="N3" s="100">
        <f>'收入支出明细表（基础数据表）'!N3</f>
        <v>0</v>
      </c>
      <c r="O3" s="100">
        <f>'收入支出明细表（基础数据表）'!O3</f>
        <v>0</v>
      </c>
      <c r="P3" s="100">
        <f>'收入支出明细表（基础数据表）'!P3</f>
        <v>0</v>
      </c>
      <c r="Q3" s="100">
        <f>'收入支出明细表（基础数据表）'!Q3</f>
        <v>0</v>
      </c>
      <c r="R3" s="100">
        <f>'收入支出明细表（基础数据表）'!R3</f>
        <v>0</v>
      </c>
      <c r="S3" s="100">
        <f>'收入支出明细表（基础数据表）'!S3</f>
        <v>0</v>
      </c>
      <c r="X3" s="90"/>
    </row>
    <row r="4" spans="1:24" ht="22.05" customHeight="1" x14ac:dyDescent="0.25">
      <c r="A4" s="204"/>
      <c r="B4" s="274"/>
      <c r="C4" s="275"/>
      <c r="D4" s="79" t="s">
        <v>105</v>
      </c>
      <c r="E4" s="98">
        <f>'收入支出明细表（基础数据表）'!E4</f>
        <v>0</v>
      </c>
      <c r="F4" s="98">
        <f>'收入支出明细表（基础数据表）'!F4</f>
        <v>0</v>
      </c>
      <c r="G4" s="99">
        <f>'收入支出明细表（基础数据表）'!G4</f>
        <v>0</v>
      </c>
      <c r="H4" s="100">
        <f>'收入支出明细表（基础数据表）'!H4</f>
        <v>0</v>
      </c>
      <c r="I4" s="100">
        <f>'收入支出明细表（基础数据表）'!I4</f>
        <v>0</v>
      </c>
      <c r="J4" s="100">
        <f>'收入支出明细表（基础数据表）'!J4</f>
        <v>0</v>
      </c>
      <c r="K4" s="100">
        <f>'收入支出明细表（基础数据表）'!K4</f>
        <v>0</v>
      </c>
      <c r="L4" s="100">
        <f>'收入支出明细表（基础数据表）'!L4</f>
        <v>0</v>
      </c>
      <c r="M4" s="100">
        <f>'收入支出明细表（基础数据表）'!M4</f>
        <v>0</v>
      </c>
      <c r="N4" s="100">
        <f>'收入支出明细表（基础数据表）'!N4</f>
        <v>0</v>
      </c>
      <c r="O4" s="100">
        <f>'收入支出明细表（基础数据表）'!O4</f>
        <v>0</v>
      </c>
      <c r="P4" s="100">
        <f>'收入支出明细表（基础数据表）'!P4</f>
        <v>0</v>
      </c>
      <c r="Q4" s="100">
        <f>'收入支出明细表（基础数据表）'!Q4</f>
        <v>0</v>
      </c>
      <c r="R4" s="100">
        <f>'收入支出明细表（基础数据表）'!R4</f>
        <v>0</v>
      </c>
      <c r="S4" s="100">
        <f>'收入支出明细表（基础数据表）'!S4</f>
        <v>0</v>
      </c>
      <c r="X4" s="90"/>
    </row>
    <row r="5" spans="1:24" ht="22.05" customHeight="1" x14ac:dyDescent="0.25">
      <c r="A5" s="204"/>
      <c r="B5" s="274"/>
      <c r="C5" s="275"/>
      <c r="D5" s="79" t="s">
        <v>106</v>
      </c>
      <c r="E5" s="98">
        <f>'收入支出明细表（基础数据表）'!E5</f>
        <v>0</v>
      </c>
      <c r="F5" s="98">
        <f>'收入支出明细表（基础数据表）'!F5</f>
        <v>0</v>
      </c>
      <c r="G5" s="99">
        <f>'收入支出明细表（基础数据表）'!G5</f>
        <v>0</v>
      </c>
      <c r="H5" s="101" t="e">
        <f>'收入支出明细表（基础数据表）'!H5</f>
        <v>#DIV/0!</v>
      </c>
      <c r="I5" s="101" t="e">
        <f>'收入支出明细表（基础数据表）'!I5</f>
        <v>#DIV/0!</v>
      </c>
      <c r="J5" s="101" t="e">
        <f>'收入支出明细表（基础数据表）'!J5</f>
        <v>#DIV/0!</v>
      </c>
      <c r="K5" s="101" t="e">
        <f>'收入支出明细表（基础数据表）'!K5</f>
        <v>#DIV/0!</v>
      </c>
      <c r="L5" s="101" t="e">
        <f>'收入支出明细表（基础数据表）'!L5</f>
        <v>#DIV/0!</v>
      </c>
      <c r="M5" s="101" t="e">
        <f>'收入支出明细表（基础数据表）'!M5</f>
        <v>#DIV/0!</v>
      </c>
      <c r="N5" s="101" t="e">
        <f>'收入支出明细表（基础数据表）'!N5</f>
        <v>#DIV/0!</v>
      </c>
      <c r="O5" s="101" t="e">
        <f>'收入支出明细表（基础数据表）'!O5</f>
        <v>#DIV/0!</v>
      </c>
      <c r="P5" s="101" t="e">
        <f>'收入支出明细表（基础数据表）'!P5</f>
        <v>#DIV/0!</v>
      </c>
      <c r="Q5" s="101" t="e">
        <f>'收入支出明细表（基础数据表）'!Q5</f>
        <v>#DIV/0!</v>
      </c>
      <c r="R5" s="101" t="e">
        <f>'收入支出明细表（基础数据表）'!R5</f>
        <v>#DIV/0!</v>
      </c>
      <c r="S5" s="101" t="e">
        <f>'收入支出明细表（基础数据表）'!S5</f>
        <v>#DIV/0!</v>
      </c>
      <c r="X5" s="90"/>
    </row>
    <row r="6" spans="1:24" ht="22.05" customHeight="1" x14ac:dyDescent="0.25">
      <c r="A6" s="204"/>
      <c r="B6" s="207" t="s">
        <v>107</v>
      </c>
      <c r="C6" s="218" t="s">
        <v>108</v>
      </c>
      <c r="D6" s="79" t="s">
        <v>103</v>
      </c>
      <c r="E6" s="102">
        <f>'收入支出明细表（基础数据表）'!E6</f>
        <v>0</v>
      </c>
      <c r="F6" s="98">
        <f>'收入支出明细表（基础数据表）'!F6</f>
        <v>0</v>
      </c>
      <c r="G6" s="99">
        <f>'收入支出明细表（基础数据表）'!G6</f>
        <v>0</v>
      </c>
      <c r="H6" s="100">
        <f>'收入支出明细表（基础数据表）'!H6</f>
        <v>0</v>
      </c>
      <c r="I6" s="100">
        <f>'收入支出明细表（基础数据表）'!I6</f>
        <v>0</v>
      </c>
      <c r="J6" s="100">
        <f>'收入支出明细表（基础数据表）'!J6</f>
        <v>0</v>
      </c>
      <c r="K6" s="100">
        <f>'收入支出明细表（基础数据表）'!K6</f>
        <v>0</v>
      </c>
      <c r="L6" s="100">
        <f>'收入支出明细表（基础数据表）'!L6</f>
        <v>0</v>
      </c>
      <c r="M6" s="100">
        <f>'收入支出明细表（基础数据表）'!M6</f>
        <v>0</v>
      </c>
      <c r="N6" s="100">
        <f>'收入支出明细表（基础数据表）'!N6</f>
        <v>0</v>
      </c>
      <c r="O6" s="100">
        <f>'收入支出明细表（基础数据表）'!O6</f>
        <v>0</v>
      </c>
      <c r="P6" s="100">
        <f>'收入支出明细表（基础数据表）'!P6</f>
        <v>0</v>
      </c>
      <c r="Q6" s="100">
        <f>'收入支出明细表（基础数据表）'!Q6</f>
        <v>0</v>
      </c>
      <c r="R6" s="100">
        <f>'收入支出明细表（基础数据表）'!R6</f>
        <v>0</v>
      </c>
      <c r="S6" s="100">
        <f>'收入支出明细表（基础数据表）'!S6</f>
        <v>0</v>
      </c>
      <c r="X6" s="90"/>
    </row>
    <row r="7" spans="1:24" ht="22.05" customHeight="1" x14ac:dyDescent="0.25">
      <c r="A7" s="204"/>
      <c r="B7" s="208"/>
      <c r="C7" s="218"/>
      <c r="D7" s="79" t="s">
        <v>105</v>
      </c>
      <c r="E7" s="102">
        <f>'收入支出明细表（基础数据表）'!E7</f>
        <v>0</v>
      </c>
      <c r="F7" s="98">
        <f>'收入支出明细表（基础数据表）'!F7</f>
        <v>0</v>
      </c>
      <c r="G7" s="99">
        <f>'收入支出明细表（基础数据表）'!G7</f>
        <v>0</v>
      </c>
      <c r="H7" s="100">
        <f>'收入支出明细表（基础数据表）'!H7</f>
        <v>0</v>
      </c>
      <c r="I7" s="100">
        <f>'收入支出明细表（基础数据表）'!I7</f>
        <v>0</v>
      </c>
      <c r="J7" s="100">
        <f>'收入支出明细表（基础数据表）'!J7</f>
        <v>0</v>
      </c>
      <c r="K7" s="100">
        <f>'收入支出明细表（基础数据表）'!K7</f>
        <v>0</v>
      </c>
      <c r="L7" s="100">
        <f>'收入支出明细表（基础数据表）'!L7</f>
        <v>0</v>
      </c>
      <c r="M7" s="100">
        <f>'收入支出明细表（基础数据表）'!M7</f>
        <v>0</v>
      </c>
      <c r="N7" s="100">
        <f>'收入支出明细表（基础数据表）'!N7</f>
        <v>0</v>
      </c>
      <c r="O7" s="100">
        <f>'收入支出明细表（基础数据表）'!O7</f>
        <v>0</v>
      </c>
      <c r="P7" s="100">
        <f>'收入支出明细表（基础数据表）'!P7</f>
        <v>0</v>
      </c>
      <c r="Q7" s="100">
        <f>'收入支出明细表（基础数据表）'!Q7</f>
        <v>0</v>
      </c>
      <c r="R7" s="100">
        <f>'收入支出明细表（基础数据表）'!R7</f>
        <v>0</v>
      </c>
      <c r="S7" s="100">
        <f>'收入支出明细表（基础数据表）'!S7</f>
        <v>0</v>
      </c>
      <c r="X7" s="90"/>
    </row>
    <row r="8" spans="1:24" ht="22.05" customHeight="1" x14ac:dyDescent="0.25">
      <c r="A8" s="204"/>
      <c r="B8" s="208"/>
      <c r="C8" s="219"/>
      <c r="D8" s="79" t="s">
        <v>106</v>
      </c>
      <c r="E8" s="102">
        <f>'收入支出明细表（基础数据表）'!E8</f>
        <v>0</v>
      </c>
      <c r="F8" s="98">
        <f>'收入支出明细表（基础数据表）'!F8</f>
        <v>0</v>
      </c>
      <c r="G8" s="99">
        <f>'收入支出明细表（基础数据表）'!G8</f>
        <v>0</v>
      </c>
      <c r="H8" s="101" t="e">
        <f>'收入支出明细表（基础数据表）'!H8</f>
        <v>#DIV/0!</v>
      </c>
      <c r="I8" s="101" t="e">
        <f>'收入支出明细表（基础数据表）'!I8</f>
        <v>#DIV/0!</v>
      </c>
      <c r="J8" s="101" t="e">
        <f>'收入支出明细表（基础数据表）'!J8</f>
        <v>#DIV/0!</v>
      </c>
      <c r="K8" s="101" t="e">
        <f>'收入支出明细表（基础数据表）'!K8</f>
        <v>#DIV/0!</v>
      </c>
      <c r="L8" s="101" t="e">
        <f>'收入支出明细表（基础数据表）'!L8</f>
        <v>#DIV/0!</v>
      </c>
      <c r="M8" s="101" t="e">
        <f>'收入支出明细表（基础数据表）'!M8</f>
        <v>#DIV/0!</v>
      </c>
      <c r="N8" s="101" t="e">
        <f>'收入支出明细表（基础数据表）'!N8</f>
        <v>#DIV/0!</v>
      </c>
      <c r="O8" s="101" t="e">
        <f>'收入支出明细表（基础数据表）'!O8</f>
        <v>#DIV/0!</v>
      </c>
      <c r="P8" s="101" t="e">
        <f>'收入支出明细表（基础数据表）'!P8</f>
        <v>#DIV/0!</v>
      </c>
      <c r="Q8" s="101" t="e">
        <f>'收入支出明细表（基础数据表）'!Q8</f>
        <v>#DIV/0!</v>
      </c>
      <c r="R8" s="101" t="e">
        <f>'收入支出明细表（基础数据表）'!R8</f>
        <v>#DIV/0!</v>
      </c>
      <c r="S8" s="101" t="e">
        <f>'收入支出明细表（基础数据表）'!S8</f>
        <v>#DIV/0!</v>
      </c>
      <c r="X8" s="90"/>
    </row>
    <row r="9" spans="1:24" ht="22.05" customHeight="1" x14ac:dyDescent="0.25">
      <c r="A9" s="204"/>
      <c r="B9" s="208"/>
      <c r="C9" s="220" t="s">
        <v>109</v>
      </c>
      <c r="D9" s="79" t="s">
        <v>103</v>
      </c>
      <c r="E9" s="102">
        <f>'收入支出明细表（基础数据表）'!E9</f>
        <v>0</v>
      </c>
      <c r="F9" s="84">
        <f>'收入支出明细表（基础数据表）'!F9</f>
        <v>0.06</v>
      </c>
      <c r="G9" s="99">
        <f>'收入支出明细表（基础数据表）'!G9</f>
        <v>0</v>
      </c>
      <c r="H9" s="100">
        <f>'收入支出明细表（基础数据表）'!H9</f>
        <v>0</v>
      </c>
      <c r="I9" s="100">
        <f>'收入支出明细表（基础数据表）'!I9</f>
        <v>0</v>
      </c>
      <c r="J9" s="100">
        <f>'收入支出明细表（基础数据表）'!J9</f>
        <v>0</v>
      </c>
      <c r="K9" s="100">
        <f>'收入支出明细表（基础数据表）'!K9</f>
        <v>0</v>
      </c>
      <c r="L9" s="100">
        <f>'收入支出明细表（基础数据表）'!L9</f>
        <v>0</v>
      </c>
      <c r="M9" s="100">
        <f>'收入支出明细表（基础数据表）'!M9</f>
        <v>0</v>
      </c>
      <c r="N9" s="100">
        <f>'收入支出明细表（基础数据表）'!N9</f>
        <v>0</v>
      </c>
      <c r="O9" s="100">
        <f>'收入支出明细表（基础数据表）'!O9</f>
        <v>0</v>
      </c>
      <c r="P9" s="100">
        <f>'收入支出明细表（基础数据表）'!P9</f>
        <v>0</v>
      </c>
      <c r="Q9" s="100">
        <f>'收入支出明细表（基础数据表）'!Q9</f>
        <v>0</v>
      </c>
      <c r="R9" s="100">
        <f>'收入支出明细表（基础数据表）'!R9</f>
        <v>0</v>
      </c>
      <c r="S9" s="100">
        <f>'收入支出明细表（基础数据表）'!S9</f>
        <v>0</v>
      </c>
    </row>
    <row r="10" spans="1:24" ht="22.05" customHeight="1" x14ac:dyDescent="0.25">
      <c r="A10" s="204"/>
      <c r="B10" s="208"/>
      <c r="C10" s="221"/>
      <c r="D10" s="79" t="s">
        <v>105</v>
      </c>
      <c r="E10" s="102">
        <f>'收入支出明细表（基础数据表）'!E10</f>
        <v>0</v>
      </c>
      <c r="F10" s="102">
        <f>'收入支出明细表（基础数据表）'!F10</f>
        <v>0</v>
      </c>
      <c r="G10" s="99">
        <f>'收入支出明细表（基础数据表）'!G10</f>
        <v>0</v>
      </c>
      <c r="H10" s="100">
        <f>'收入支出明细表（基础数据表）'!H10</f>
        <v>0</v>
      </c>
      <c r="I10" s="100">
        <f>'收入支出明细表（基础数据表）'!I10</f>
        <v>0</v>
      </c>
      <c r="J10" s="100">
        <f>'收入支出明细表（基础数据表）'!J10</f>
        <v>0</v>
      </c>
      <c r="K10" s="100">
        <f>'收入支出明细表（基础数据表）'!K10</f>
        <v>0</v>
      </c>
      <c r="L10" s="100">
        <f>'收入支出明细表（基础数据表）'!L10</f>
        <v>0</v>
      </c>
      <c r="M10" s="100">
        <f>'收入支出明细表（基础数据表）'!M10</f>
        <v>0</v>
      </c>
      <c r="N10" s="100">
        <f>'收入支出明细表（基础数据表）'!N10</f>
        <v>0</v>
      </c>
      <c r="O10" s="100">
        <f>'收入支出明细表（基础数据表）'!O10</f>
        <v>0</v>
      </c>
      <c r="P10" s="100">
        <f>'收入支出明细表（基础数据表）'!P10</f>
        <v>0</v>
      </c>
      <c r="Q10" s="100">
        <f>'收入支出明细表（基础数据表）'!Q10</f>
        <v>0</v>
      </c>
      <c r="R10" s="100">
        <f>'收入支出明细表（基础数据表）'!R10</f>
        <v>0</v>
      </c>
      <c r="S10" s="100">
        <f>'收入支出明细表（基础数据表）'!S10</f>
        <v>0</v>
      </c>
    </row>
    <row r="11" spans="1:24" ht="22.05" customHeight="1" x14ac:dyDescent="0.25">
      <c r="A11" s="204"/>
      <c r="B11" s="208"/>
      <c r="C11" s="222"/>
      <c r="D11" s="79" t="s">
        <v>106</v>
      </c>
      <c r="E11" s="102">
        <f>'收入支出明细表（基础数据表）'!E11</f>
        <v>0</v>
      </c>
      <c r="F11" s="102">
        <f>'收入支出明细表（基础数据表）'!F11</f>
        <v>0</v>
      </c>
      <c r="G11" s="99">
        <f>'收入支出明细表（基础数据表）'!G11</f>
        <v>0</v>
      </c>
      <c r="H11" s="101" t="e">
        <f>'收入支出明细表（基础数据表）'!H11</f>
        <v>#DIV/0!</v>
      </c>
      <c r="I11" s="101" t="e">
        <f>'收入支出明细表（基础数据表）'!I11</f>
        <v>#DIV/0!</v>
      </c>
      <c r="J11" s="101" t="e">
        <f>'收入支出明细表（基础数据表）'!J11</f>
        <v>#DIV/0!</v>
      </c>
      <c r="K11" s="101" t="e">
        <f>'收入支出明细表（基础数据表）'!K11</f>
        <v>#DIV/0!</v>
      </c>
      <c r="L11" s="101" t="e">
        <f>'收入支出明细表（基础数据表）'!L11</f>
        <v>#DIV/0!</v>
      </c>
      <c r="M11" s="101" t="e">
        <f>'收入支出明细表（基础数据表）'!M11</f>
        <v>#DIV/0!</v>
      </c>
      <c r="N11" s="101" t="e">
        <f>'收入支出明细表（基础数据表）'!N11</f>
        <v>#DIV/0!</v>
      </c>
      <c r="O11" s="101" t="e">
        <f>'收入支出明细表（基础数据表）'!O11</f>
        <v>#DIV/0!</v>
      </c>
      <c r="P11" s="101" t="e">
        <f>'收入支出明细表（基础数据表）'!P11</f>
        <v>#DIV/0!</v>
      </c>
      <c r="Q11" s="101" t="e">
        <f>'收入支出明细表（基础数据表）'!Q11</f>
        <v>#DIV/0!</v>
      </c>
      <c r="R11" s="101" t="e">
        <f>'收入支出明细表（基础数据表）'!R11</f>
        <v>#DIV/0!</v>
      </c>
      <c r="S11" s="101" t="e">
        <f>'收入支出明细表（基础数据表）'!S11</f>
        <v>#DIV/0!</v>
      </c>
    </row>
    <row r="12" spans="1:24" ht="22.05" customHeight="1" x14ac:dyDescent="0.25">
      <c r="A12" s="204"/>
      <c r="B12" s="208"/>
      <c r="C12" s="223" t="s">
        <v>110</v>
      </c>
      <c r="D12" s="79" t="s">
        <v>103</v>
      </c>
      <c r="E12" s="102">
        <f>'收入支出明细表（基础数据表）'!E12</f>
        <v>0</v>
      </c>
      <c r="F12" s="84">
        <f>'收入支出明细表（基础数据表）'!F12</f>
        <v>0.06</v>
      </c>
      <c r="G12" s="99">
        <f>'收入支出明细表（基础数据表）'!G12</f>
        <v>0</v>
      </c>
      <c r="H12" s="99">
        <f>'收入支出明细表（基础数据表）'!H12</f>
        <v>0</v>
      </c>
      <c r="I12" s="107">
        <f>'收入支出明细表（基础数据表）'!I12</f>
        <v>0</v>
      </c>
      <c r="J12" s="99">
        <f>'收入支出明细表（基础数据表）'!J12</f>
        <v>0</v>
      </c>
      <c r="K12" s="99">
        <f>'收入支出明细表（基础数据表）'!K12</f>
        <v>0</v>
      </c>
      <c r="L12" s="99">
        <f>'收入支出明细表（基础数据表）'!L12</f>
        <v>0</v>
      </c>
      <c r="M12" s="99">
        <f>'收入支出明细表（基础数据表）'!M12</f>
        <v>0</v>
      </c>
      <c r="N12" s="99">
        <f>'收入支出明细表（基础数据表）'!N12</f>
        <v>0</v>
      </c>
      <c r="O12" s="99">
        <f>'收入支出明细表（基础数据表）'!O12</f>
        <v>0</v>
      </c>
      <c r="P12" s="99">
        <f>'收入支出明细表（基础数据表）'!P12</f>
        <v>0</v>
      </c>
      <c r="Q12" s="99">
        <f>'收入支出明细表（基础数据表）'!Q12</f>
        <v>0</v>
      </c>
      <c r="R12" s="99">
        <f>'收入支出明细表（基础数据表）'!R12</f>
        <v>0</v>
      </c>
      <c r="S12" s="99">
        <f>'收入支出明细表（基础数据表）'!S12</f>
        <v>0</v>
      </c>
    </row>
    <row r="13" spans="1:24" ht="22.05" customHeight="1" x14ac:dyDescent="0.25">
      <c r="A13" s="204"/>
      <c r="B13" s="208"/>
      <c r="C13" s="224"/>
      <c r="D13" s="79" t="s">
        <v>105</v>
      </c>
      <c r="E13" s="102">
        <f>'收入支出明细表（基础数据表）'!E13</f>
        <v>0</v>
      </c>
      <c r="F13" s="102">
        <f>'收入支出明细表（基础数据表）'!F13</f>
        <v>0</v>
      </c>
      <c r="G13" s="99">
        <f>'收入支出明细表（基础数据表）'!G13</f>
        <v>0</v>
      </c>
      <c r="H13" s="99">
        <f>'收入支出明细表（基础数据表）'!H13</f>
        <v>0</v>
      </c>
      <c r="I13" s="107">
        <f>'收入支出明细表（基础数据表）'!I13</f>
        <v>0</v>
      </c>
      <c r="J13" s="99">
        <f>'收入支出明细表（基础数据表）'!J13</f>
        <v>0</v>
      </c>
      <c r="K13" s="99">
        <f>'收入支出明细表（基础数据表）'!K13</f>
        <v>0</v>
      </c>
      <c r="L13" s="99">
        <f>'收入支出明细表（基础数据表）'!L13</f>
        <v>0</v>
      </c>
      <c r="M13" s="99">
        <f>'收入支出明细表（基础数据表）'!M13</f>
        <v>0</v>
      </c>
      <c r="N13" s="99">
        <f>'收入支出明细表（基础数据表）'!N13</f>
        <v>0</v>
      </c>
      <c r="O13" s="99">
        <f>'收入支出明细表（基础数据表）'!O13</f>
        <v>0</v>
      </c>
      <c r="P13" s="99">
        <f>'收入支出明细表（基础数据表）'!P13</f>
        <v>0</v>
      </c>
      <c r="Q13" s="99">
        <f>'收入支出明细表（基础数据表）'!Q13</f>
        <v>0</v>
      </c>
      <c r="R13" s="99">
        <f>'收入支出明细表（基础数据表）'!R13</f>
        <v>0</v>
      </c>
      <c r="S13" s="99">
        <f>'收入支出明细表（基础数据表）'!S13</f>
        <v>0</v>
      </c>
    </row>
    <row r="14" spans="1:24" ht="22.05" customHeight="1" x14ac:dyDescent="0.25">
      <c r="A14" s="204"/>
      <c r="B14" s="208"/>
      <c r="C14" s="225"/>
      <c r="D14" s="79" t="s">
        <v>106</v>
      </c>
      <c r="E14" s="102">
        <f>'收入支出明细表（基础数据表）'!E14</f>
        <v>0</v>
      </c>
      <c r="F14" s="102">
        <f>'收入支出明细表（基础数据表）'!F14</f>
        <v>0</v>
      </c>
      <c r="G14" s="99">
        <f>'收入支出明细表（基础数据表）'!G14</f>
        <v>0</v>
      </c>
      <c r="H14" s="101" t="e">
        <f>'收入支出明细表（基础数据表）'!H14</f>
        <v>#DIV/0!</v>
      </c>
      <c r="I14" s="101" t="e">
        <f>'收入支出明细表（基础数据表）'!I14</f>
        <v>#DIV/0!</v>
      </c>
      <c r="J14" s="101" t="e">
        <f>'收入支出明细表（基础数据表）'!J14</f>
        <v>#DIV/0!</v>
      </c>
      <c r="K14" s="101" t="e">
        <f>'收入支出明细表（基础数据表）'!K14</f>
        <v>#DIV/0!</v>
      </c>
      <c r="L14" s="101" t="e">
        <f>'收入支出明细表（基础数据表）'!L14</f>
        <v>#DIV/0!</v>
      </c>
      <c r="M14" s="101" t="e">
        <f>'收入支出明细表（基础数据表）'!M14</f>
        <v>#DIV/0!</v>
      </c>
      <c r="N14" s="101" t="e">
        <f>'收入支出明细表（基础数据表）'!N14</f>
        <v>#DIV/0!</v>
      </c>
      <c r="O14" s="101" t="e">
        <f>'收入支出明细表（基础数据表）'!O14</f>
        <v>#DIV/0!</v>
      </c>
      <c r="P14" s="101" t="e">
        <f>'收入支出明细表（基础数据表）'!P14</f>
        <v>#DIV/0!</v>
      </c>
      <c r="Q14" s="101" t="e">
        <f>'收入支出明细表（基础数据表）'!Q14</f>
        <v>#DIV/0!</v>
      </c>
      <c r="R14" s="101" t="e">
        <f>'收入支出明细表（基础数据表）'!R14</f>
        <v>#DIV/0!</v>
      </c>
      <c r="S14" s="101" t="e">
        <f>'收入支出明细表（基础数据表）'!S14</f>
        <v>#DIV/0!</v>
      </c>
    </row>
    <row r="15" spans="1:24" ht="22.05" customHeight="1" x14ac:dyDescent="0.25">
      <c r="A15" s="204"/>
      <c r="B15" s="208"/>
      <c r="C15" s="223" t="s">
        <v>112</v>
      </c>
      <c r="D15" s="79" t="s">
        <v>103</v>
      </c>
      <c r="E15" s="102">
        <f>'收入支出明细表（基础数据表）'!E15</f>
        <v>0</v>
      </c>
      <c r="F15" s="84">
        <f>'收入支出明细表（基础数据表）'!F15</f>
        <v>0.09</v>
      </c>
      <c r="G15" s="99">
        <f>'收入支出明细表（基础数据表）'!G15</f>
        <v>0</v>
      </c>
      <c r="H15" s="103">
        <f>'收入支出明细表（基础数据表）'!H15</f>
        <v>0</v>
      </c>
      <c r="I15" s="103">
        <f>'收入支出明细表（基础数据表）'!I15</f>
        <v>0</v>
      </c>
      <c r="J15" s="103">
        <f>'收入支出明细表（基础数据表）'!J15</f>
        <v>0</v>
      </c>
      <c r="K15" s="103">
        <f>'收入支出明细表（基础数据表）'!K15</f>
        <v>0</v>
      </c>
      <c r="L15" s="103">
        <f>'收入支出明细表（基础数据表）'!L15</f>
        <v>0</v>
      </c>
      <c r="M15" s="103">
        <f>'收入支出明细表（基础数据表）'!M15</f>
        <v>0</v>
      </c>
      <c r="N15" s="103">
        <f>'收入支出明细表（基础数据表）'!N15</f>
        <v>0</v>
      </c>
      <c r="O15" s="103">
        <f>'收入支出明细表（基础数据表）'!O15</f>
        <v>0</v>
      </c>
      <c r="P15" s="103">
        <f>'收入支出明细表（基础数据表）'!P15</f>
        <v>0</v>
      </c>
      <c r="Q15" s="103">
        <f>'收入支出明细表（基础数据表）'!Q15</f>
        <v>0</v>
      </c>
      <c r="R15" s="103">
        <f>'收入支出明细表（基础数据表）'!R15</f>
        <v>0</v>
      </c>
      <c r="S15" s="103">
        <f>'收入支出明细表（基础数据表）'!S15</f>
        <v>0</v>
      </c>
    </row>
    <row r="16" spans="1:24" ht="22.05" customHeight="1" x14ac:dyDescent="0.25">
      <c r="A16" s="204"/>
      <c r="B16" s="208"/>
      <c r="C16" s="224"/>
      <c r="D16" s="79" t="s">
        <v>105</v>
      </c>
      <c r="E16" s="102">
        <f>'收入支出明细表（基础数据表）'!E16</f>
        <v>0</v>
      </c>
      <c r="F16" s="102">
        <f>'收入支出明细表（基础数据表）'!F16</f>
        <v>0</v>
      </c>
      <c r="G16" s="99">
        <f>'收入支出明细表（基础数据表）'!G16</f>
        <v>0</v>
      </c>
      <c r="H16" s="103">
        <f>'收入支出明细表（基础数据表）'!H16</f>
        <v>0</v>
      </c>
      <c r="I16" s="103">
        <f>'收入支出明细表（基础数据表）'!I16</f>
        <v>0</v>
      </c>
      <c r="J16" s="103">
        <f>'收入支出明细表（基础数据表）'!J16</f>
        <v>0</v>
      </c>
      <c r="K16" s="103">
        <f>'收入支出明细表（基础数据表）'!K16</f>
        <v>0</v>
      </c>
      <c r="L16" s="103">
        <f>'收入支出明细表（基础数据表）'!L16</f>
        <v>0</v>
      </c>
      <c r="M16" s="103">
        <f>'收入支出明细表（基础数据表）'!M16</f>
        <v>0</v>
      </c>
      <c r="N16" s="103">
        <f>'收入支出明细表（基础数据表）'!N16</f>
        <v>0</v>
      </c>
      <c r="O16" s="103">
        <f>'收入支出明细表（基础数据表）'!O16</f>
        <v>0</v>
      </c>
      <c r="P16" s="103">
        <f>'收入支出明细表（基础数据表）'!P16</f>
        <v>0</v>
      </c>
      <c r="Q16" s="103">
        <f>'收入支出明细表（基础数据表）'!Q16</f>
        <v>0</v>
      </c>
      <c r="R16" s="103">
        <f>'收入支出明细表（基础数据表）'!R16</f>
        <v>0</v>
      </c>
      <c r="S16" s="103">
        <f>'收入支出明细表（基础数据表）'!S16</f>
        <v>0</v>
      </c>
    </row>
    <row r="17" spans="1:19" ht="22.05" customHeight="1" x14ac:dyDescent="0.25">
      <c r="A17" s="204"/>
      <c r="B17" s="208"/>
      <c r="C17" s="225"/>
      <c r="D17" s="79" t="s">
        <v>106</v>
      </c>
      <c r="E17" s="102">
        <f>'收入支出明细表（基础数据表）'!E17</f>
        <v>0</v>
      </c>
      <c r="F17" s="102">
        <f>'收入支出明细表（基础数据表）'!F17</f>
        <v>0</v>
      </c>
      <c r="G17" s="99">
        <f>'收入支出明细表（基础数据表）'!G17</f>
        <v>0</v>
      </c>
      <c r="H17" s="101" t="e">
        <f>'收入支出明细表（基础数据表）'!H17</f>
        <v>#DIV/0!</v>
      </c>
      <c r="I17" s="101" t="e">
        <f>'收入支出明细表（基础数据表）'!I17</f>
        <v>#DIV/0!</v>
      </c>
      <c r="J17" s="101" t="e">
        <f>'收入支出明细表（基础数据表）'!J17</f>
        <v>#DIV/0!</v>
      </c>
      <c r="K17" s="101" t="e">
        <f>'收入支出明细表（基础数据表）'!K17</f>
        <v>#DIV/0!</v>
      </c>
      <c r="L17" s="101" t="e">
        <f>'收入支出明细表（基础数据表）'!L17</f>
        <v>#DIV/0!</v>
      </c>
      <c r="M17" s="101" t="e">
        <f>'收入支出明细表（基础数据表）'!M17</f>
        <v>#DIV/0!</v>
      </c>
      <c r="N17" s="101" t="e">
        <f>'收入支出明细表（基础数据表）'!N17</f>
        <v>#DIV/0!</v>
      </c>
      <c r="O17" s="101" t="e">
        <f>'收入支出明细表（基础数据表）'!O17</f>
        <v>#DIV/0!</v>
      </c>
      <c r="P17" s="101" t="e">
        <f>'收入支出明细表（基础数据表）'!P17</f>
        <v>#DIV/0!</v>
      </c>
      <c r="Q17" s="101" t="e">
        <f>'收入支出明细表（基础数据表）'!Q17</f>
        <v>#DIV/0!</v>
      </c>
      <c r="R17" s="101" t="e">
        <f>'收入支出明细表（基础数据表）'!R17</f>
        <v>#DIV/0!</v>
      </c>
      <c r="S17" s="101" t="e">
        <f>'收入支出明细表（基础数据表）'!S17</f>
        <v>#DIV/0!</v>
      </c>
    </row>
    <row r="18" spans="1:19" ht="22.05" customHeight="1" x14ac:dyDescent="0.25">
      <c r="A18" s="204"/>
      <c r="B18" s="208"/>
      <c r="C18" s="223" t="s">
        <v>113</v>
      </c>
      <c r="D18" s="79" t="s">
        <v>103</v>
      </c>
      <c r="E18" s="102">
        <f>'收入支出明细表（基础数据表）'!E18</f>
        <v>0</v>
      </c>
      <c r="F18" s="84">
        <f>'收入支出明细表（基础数据表）'!F18</f>
        <v>0.06</v>
      </c>
      <c r="G18" s="99">
        <f>'收入支出明细表（基础数据表）'!G18</f>
        <v>0</v>
      </c>
      <c r="H18" s="103">
        <f>'收入支出明细表（基础数据表）'!H18</f>
        <v>0</v>
      </c>
      <c r="I18" s="103">
        <f>'收入支出明细表（基础数据表）'!I18</f>
        <v>0</v>
      </c>
      <c r="J18" s="103">
        <f>'收入支出明细表（基础数据表）'!J18</f>
        <v>0</v>
      </c>
      <c r="K18" s="103">
        <f>'收入支出明细表（基础数据表）'!K18</f>
        <v>0</v>
      </c>
      <c r="L18" s="103">
        <f>'收入支出明细表（基础数据表）'!L18</f>
        <v>0</v>
      </c>
      <c r="M18" s="103">
        <f>'收入支出明细表（基础数据表）'!M18</f>
        <v>0</v>
      </c>
      <c r="N18" s="103">
        <f>'收入支出明细表（基础数据表）'!N18</f>
        <v>0</v>
      </c>
      <c r="O18" s="103">
        <f>'收入支出明细表（基础数据表）'!O18</f>
        <v>0</v>
      </c>
      <c r="P18" s="103">
        <f>'收入支出明细表（基础数据表）'!P18</f>
        <v>0</v>
      </c>
      <c r="Q18" s="103">
        <f>'收入支出明细表（基础数据表）'!Q18</f>
        <v>0</v>
      </c>
      <c r="R18" s="103">
        <f>'收入支出明细表（基础数据表）'!R18</f>
        <v>0</v>
      </c>
      <c r="S18" s="103">
        <f>'收入支出明细表（基础数据表）'!S18</f>
        <v>0</v>
      </c>
    </row>
    <row r="19" spans="1:19" ht="22.05" customHeight="1" x14ac:dyDescent="0.25">
      <c r="A19" s="204"/>
      <c r="B19" s="208"/>
      <c r="C19" s="224"/>
      <c r="D19" s="79" t="s">
        <v>105</v>
      </c>
      <c r="E19" s="102">
        <f>'收入支出明细表（基础数据表）'!E19</f>
        <v>0</v>
      </c>
      <c r="F19" s="102">
        <f>'收入支出明细表（基础数据表）'!F19</f>
        <v>0</v>
      </c>
      <c r="G19" s="99">
        <f>'收入支出明细表（基础数据表）'!G19</f>
        <v>0</v>
      </c>
      <c r="H19" s="103">
        <f>'收入支出明细表（基础数据表）'!H19</f>
        <v>0</v>
      </c>
      <c r="I19" s="103">
        <f>'收入支出明细表（基础数据表）'!I19</f>
        <v>0</v>
      </c>
      <c r="J19" s="103">
        <f>'收入支出明细表（基础数据表）'!J19</f>
        <v>0</v>
      </c>
      <c r="K19" s="103">
        <f>'收入支出明细表（基础数据表）'!K19</f>
        <v>0</v>
      </c>
      <c r="L19" s="103">
        <f>'收入支出明细表（基础数据表）'!L19</f>
        <v>0</v>
      </c>
      <c r="M19" s="103">
        <f>'收入支出明细表（基础数据表）'!M19</f>
        <v>0</v>
      </c>
      <c r="N19" s="103">
        <f>'收入支出明细表（基础数据表）'!N19</f>
        <v>0</v>
      </c>
      <c r="O19" s="103">
        <f>'收入支出明细表（基础数据表）'!O19</f>
        <v>0</v>
      </c>
      <c r="P19" s="103">
        <f>'收入支出明细表（基础数据表）'!P19</f>
        <v>0</v>
      </c>
      <c r="Q19" s="103">
        <f>'收入支出明细表（基础数据表）'!Q19</f>
        <v>0</v>
      </c>
      <c r="R19" s="103">
        <f>'收入支出明细表（基础数据表）'!R19</f>
        <v>0</v>
      </c>
      <c r="S19" s="103">
        <f>'收入支出明细表（基础数据表）'!S19</f>
        <v>0</v>
      </c>
    </row>
    <row r="20" spans="1:19" ht="22.05" customHeight="1" x14ac:dyDescent="0.25">
      <c r="A20" s="204"/>
      <c r="B20" s="208"/>
      <c r="C20" s="225"/>
      <c r="D20" s="79" t="s">
        <v>106</v>
      </c>
      <c r="E20" s="102">
        <f>'收入支出明细表（基础数据表）'!E20</f>
        <v>0</v>
      </c>
      <c r="F20" s="102">
        <f>'收入支出明细表（基础数据表）'!F20</f>
        <v>0</v>
      </c>
      <c r="G20" s="99">
        <f>'收入支出明细表（基础数据表）'!G20</f>
        <v>0</v>
      </c>
      <c r="H20" s="101" t="e">
        <f>'收入支出明细表（基础数据表）'!H20</f>
        <v>#DIV/0!</v>
      </c>
      <c r="I20" s="101" t="e">
        <f>'收入支出明细表（基础数据表）'!I20</f>
        <v>#DIV/0!</v>
      </c>
      <c r="J20" s="101" t="e">
        <f>'收入支出明细表（基础数据表）'!J20</f>
        <v>#DIV/0!</v>
      </c>
      <c r="K20" s="101" t="e">
        <f>'收入支出明细表（基础数据表）'!K20</f>
        <v>#DIV/0!</v>
      </c>
      <c r="L20" s="101" t="e">
        <f>'收入支出明细表（基础数据表）'!L20</f>
        <v>#DIV/0!</v>
      </c>
      <c r="M20" s="101" t="e">
        <f>'收入支出明细表（基础数据表）'!M20</f>
        <v>#DIV/0!</v>
      </c>
      <c r="N20" s="101" t="e">
        <f>'收入支出明细表（基础数据表）'!N20</f>
        <v>#DIV/0!</v>
      </c>
      <c r="O20" s="101" t="e">
        <f>'收入支出明细表（基础数据表）'!O20</f>
        <v>#DIV/0!</v>
      </c>
      <c r="P20" s="101" t="e">
        <f>'收入支出明细表（基础数据表）'!P20</f>
        <v>#DIV/0!</v>
      </c>
      <c r="Q20" s="101" t="e">
        <f>'收入支出明细表（基础数据表）'!Q20</f>
        <v>#DIV/0!</v>
      </c>
      <c r="R20" s="101" t="e">
        <f>'收入支出明细表（基础数据表）'!R20</f>
        <v>#DIV/0!</v>
      </c>
      <c r="S20" s="101" t="e">
        <f>'收入支出明细表（基础数据表）'!S20</f>
        <v>#DIV/0!</v>
      </c>
    </row>
    <row r="21" spans="1:19" ht="22.05" customHeight="1" x14ac:dyDescent="0.25">
      <c r="A21" s="204"/>
      <c r="B21" s="208"/>
      <c r="C21" s="220" t="s">
        <v>115</v>
      </c>
      <c r="D21" s="79" t="s">
        <v>103</v>
      </c>
      <c r="E21" s="102">
        <f>'收入支出明细表（基础数据表）'!E21</f>
        <v>0</v>
      </c>
      <c r="F21" s="84">
        <f>'收入支出明细表（基础数据表）'!F21</f>
        <v>0.09</v>
      </c>
      <c r="G21" s="99">
        <f>'收入支出明细表（基础数据表）'!G21</f>
        <v>0</v>
      </c>
      <c r="H21" s="103">
        <f>'收入支出明细表（基础数据表）'!H21</f>
        <v>0</v>
      </c>
      <c r="I21" s="103">
        <f>'收入支出明细表（基础数据表）'!I21</f>
        <v>0</v>
      </c>
      <c r="J21" s="103">
        <f>'收入支出明细表（基础数据表）'!J21</f>
        <v>0</v>
      </c>
      <c r="K21" s="103">
        <f>'收入支出明细表（基础数据表）'!K21</f>
        <v>0</v>
      </c>
      <c r="L21" s="103">
        <f>'收入支出明细表（基础数据表）'!L21</f>
        <v>0</v>
      </c>
      <c r="M21" s="103">
        <f>'收入支出明细表（基础数据表）'!M21</f>
        <v>0</v>
      </c>
      <c r="N21" s="103">
        <f>'收入支出明细表（基础数据表）'!N21</f>
        <v>0</v>
      </c>
      <c r="O21" s="103">
        <f>'收入支出明细表（基础数据表）'!O21</f>
        <v>0</v>
      </c>
      <c r="P21" s="103">
        <f>'收入支出明细表（基础数据表）'!P21</f>
        <v>0</v>
      </c>
      <c r="Q21" s="103">
        <f>'收入支出明细表（基础数据表）'!Q21</f>
        <v>0</v>
      </c>
      <c r="R21" s="103">
        <f>'收入支出明细表（基础数据表）'!R21</f>
        <v>0</v>
      </c>
      <c r="S21" s="103">
        <f>'收入支出明细表（基础数据表）'!S21</f>
        <v>0</v>
      </c>
    </row>
    <row r="22" spans="1:19" ht="22.05" customHeight="1" x14ac:dyDescent="0.25">
      <c r="A22" s="204"/>
      <c r="B22" s="208"/>
      <c r="C22" s="221"/>
      <c r="D22" s="79" t="s">
        <v>105</v>
      </c>
      <c r="E22" s="102">
        <f>'收入支出明细表（基础数据表）'!E22</f>
        <v>0</v>
      </c>
      <c r="F22" s="102">
        <f>'收入支出明细表（基础数据表）'!F22</f>
        <v>0</v>
      </c>
      <c r="G22" s="99">
        <f>'收入支出明细表（基础数据表）'!G22</f>
        <v>0</v>
      </c>
      <c r="H22" s="103">
        <f>'收入支出明细表（基础数据表）'!H22</f>
        <v>0</v>
      </c>
      <c r="I22" s="103">
        <f>'收入支出明细表（基础数据表）'!I22</f>
        <v>0</v>
      </c>
      <c r="J22" s="103">
        <f>'收入支出明细表（基础数据表）'!J22</f>
        <v>0</v>
      </c>
      <c r="K22" s="103">
        <f>'收入支出明细表（基础数据表）'!K22</f>
        <v>0</v>
      </c>
      <c r="L22" s="103">
        <f>'收入支出明细表（基础数据表）'!L22</f>
        <v>0</v>
      </c>
      <c r="M22" s="103">
        <f>'收入支出明细表（基础数据表）'!M22</f>
        <v>0</v>
      </c>
      <c r="N22" s="103">
        <f>'收入支出明细表（基础数据表）'!N22</f>
        <v>0</v>
      </c>
      <c r="O22" s="103">
        <f>'收入支出明细表（基础数据表）'!O22</f>
        <v>0</v>
      </c>
      <c r="P22" s="103">
        <f>'收入支出明细表（基础数据表）'!P22</f>
        <v>0</v>
      </c>
      <c r="Q22" s="103">
        <f>'收入支出明细表（基础数据表）'!Q22</f>
        <v>0</v>
      </c>
      <c r="R22" s="103">
        <f>'收入支出明细表（基础数据表）'!R22</f>
        <v>0</v>
      </c>
      <c r="S22" s="103">
        <f>'收入支出明细表（基础数据表）'!S22</f>
        <v>0</v>
      </c>
    </row>
    <row r="23" spans="1:19" ht="22.05" customHeight="1" x14ac:dyDescent="0.25">
      <c r="A23" s="204"/>
      <c r="B23" s="208"/>
      <c r="C23" s="222"/>
      <c r="D23" s="79" t="s">
        <v>106</v>
      </c>
      <c r="E23" s="102">
        <f>'收入支出明细表（基础数据表）'!E23</f>
        <v>0</v>
      </c>
      <c r="F23" s="102">
        <f>'收入支出明细表（基础数据表）'!F23</f>
        <v>0</v>
      </c>
      <c r="G23" s="99">
        <f>'收入支出明细表（基础数据表）'!G23</f>
        <v>0</v>
      </c>
      <c r="H23" s="101" t="e">
        <f>'收入支出明细表（基础数据表）'!H23</f>
        <v>#DIV/0!</v>
      </c>
      <c r="I23" s="101" t="e">
        <f>'收入支出明细表（基础数据表）'!I23</f>
        <v>#DIV/0!</v>
      </c>
      <c r="J23" s="101" t="e">
        <f>'收入支出明细表（基础数据表）'!J23</f>
        <v>#DIV/0!</v>
      </c>
      <c r="K23" s="101" t="e">
        <f>'收入支出明细表（基础数据表）'!K23</f>
        <v>#DIV/0!</v>
      </c>
      <c r="L23" s="101" t="e">
        <f>'收入支出明细表（基础数据表）'!L23</f>
        <v>#DIV/0!</v>
      </c>
      <c r="M23" s="101" t="e">
        <f>'收入支出明细表（基础数据表）'!M23</f>
        <v>#DIV/0!</v>
      </c>
      <c r="N23" s="101" t="e">
        <f>'收入支出明细表（基础数据表）'!N23</f>
        <v>#DIV/0!</v>
      </c>
      <c r="O23" s="101" t="e">
        <f>'收入支出明细表（基础数据表）'!O23</f>
        <v>#DIV/0!</v>
      </c>
      <c r="P23" s="101" t="e">
        <f>'收入支出明细表（基础数据表）'!P23</f>
        <v>#DIV/0!</v>
      </c>
      <c r="Q23" s="101" t="e">
        <f>'收入支出明细表（基础数据表）'!Q23</f>
        <v>#DIV/0!</v>
      </c>
      <c r="R23" s="101" t="e">
        <f>'收入支出明细表（基础数据表）'!R23</f>
        <v>#DIV/0!</v>
      </c>
      <c r="S23" s="101" t="e">
        <f>'收入支出明细表（基础数据表）'!S23</f>
        <v>#DIV/0!</v>
      </c>
    </row>
    <row r="24" spans="1:19" ht="22.05" customHeight="1" x14ac:dyDescent="0.25">
      <c r="A24" s="204"/>
      <c r="B24" s="208"/>
      <c r="C24" s="226" t="s">
        <v>116</v>
      </c>
      <c r="D24" s="79" t="s">
        <v>103</v>
      </c>
      <c r="E24" s="102">
        <f>'收入支出明细表（基础数据表）'!E24</f>
        <v>0</v>
      </c>
      <c r="F24" s="84">
        <f>'收入支出明细表（基础数据表）'!F24</f>
        <v>0.13</v>
      </c>
      <c r="G24" s="99">
        <f>'收入支出明细表（基础数据表）'!G24</f>
        <v>0</v>
      </c>
      <c r="H24" s="103">
        <f>'收入支出明细表（基础数据表）'!H24</f>
        <v>0</v>
      </c>
      <c r="I24" s="103">
        <f>'收入支出明细表（基础数据表）'!I24</f>
        <v>0</v>
      </c>
      <c r="J24" s="103">
        <f>'收入支出明细表（基础数据表）'!J24</f>
        <v>0</v>
      </c>
      <c r="K24" s="103">
        <f>'收入支出明细表（基础数据表）'!K24</f>
        <v>0</v>
      </c>
      <c r="L24" s="103">
        <f>'收入支出明细表（基础数据表）'!L24</f>
        <v>0</v>
      </c>
      <c r="M24" s="103">
        <f>'收入支出明细表（基础数据表）'!M24</f>
        <v>0</v>
      </c>
      <c r="N24" s="103">
        <f>'收入支出明细表（基础数据表）'!N24</f>
        <v>0</v>
      </c>
      <c r="O24" s="103">
        <f>'收入支出明细表（基础数据表）'!O24</f>
        <v>0</v>
      </c>
      <c r="P24" s="103">
        <f>'收入支出明细表（基础数据表）'!P24</f>
        <v>0</v>
      </c>
      <c r="Q24" s="103">
        <f>'收入支出明细表（基础数据表）'!Q24</f>
        <v>0</v>
      </c>
      <c r="R24" s="103">
        <f>'收入支出明细表（基础数据表）'!R24</f>
        <v>0</v>
      </c>
      <c r="S24" s="103">
        <f>'收入支出明细表（基础数据表）'!S24</f>
        <v>0</v>
      </c>
    </row>
    <row r="25" spans="1:19" ht="22.05" customHeight="1" x14ac:dyDescent="0.25">
      <c r="A25" s="204"/>
      <c r="B25" s="208"/>
      <c r="C25" s="227"/>
      <c r="D25" s="79" t="s">
        <v>105</v>
      </c>
      <c r="E25" s="102">
        <f>'收入支出明细表（基础数据表）'!E25</f>
        <v>0</v>
      </c>
      <c r="F25" s="102">
        <f>'收入支出明细表（基础数据表）'!F25</f>
        <v>0</v>
      </c>
      <c r="G25" s="99">
        <f>'收入支出明细表（基础数据表）'!G25</f>
        <v>0</v>
      </c>
      <c r="H25" s="103">
        <f>'收入支出明细表（基础数据表）'!H25</f>
        <v>0</v>
      </c>
      <c r="I25" s="103">
        <f>'收入支出明细表（基础数据表）'!I25</f>
        <v>0</v>
      </c>
      <c r="J25" s="103">
        <f>'收入支出明细表（基础数据表）'!J25</f>
        <v>0</v>
      </c>
      <c r="K25" s="103">
        <f>'收入支出明细表（基础数据表）'!K25</f>
        <v>0</v>
      </c>
      <c r="L25" s="103">
        <f>'收入支出明细表（基础数据表）'!L25</f>
        <v>0</v>
      </c>
      <c r="M25" s="103">
        <f>'收入支出明细表（基础数据表）'!M25</f>
        <v>0</v>
      </c>
      <c r="N25" s="103">
        <f>'收入支出明细表（基础数据表）'!N25</f>
        <v>0</v>
      </c>
      <c r="O25" s="103">
        <f>'收入支出明细表（基础数据表）'!O25</f>
        <v>0</v>
      </c>
      <c r="P25" s="103">
        <f>'收入支出明细表（基础数据表）'!P25</f>
        <v>0</v>
      </c>
      <c r="Q25" s="103">
        <f>'收入支出明细表（基础数据表）'!Q25</f>
        <v>0</v>
      </c>
      <c r="R25" s="103">
        <f>'收入支出明细表（基础数据表）'!R25</f>
        <v>0</v>
      </c>
      <c r="S25" s="103">
        <f>'收入支出明细表（基础数据表）'!S25</f>
        <v>0</v>
      </c>
    </row>
    <row r="26" spans="1:19" ht="22.05" customHeight="1" x14ac:dyDescent="0.25">
      <c r="A26" s="204"/>
      <c r="B26" s="208"/>
      <c r="C26" s="228"/>
      <c r="D26" s="79" t="s">
        <v>106</v>
      </c>
      <c r="E26" s="102">
        <f>'收入支出明细表（基础数据表）'!E26</f>
        <v>0</v>
      </c>
      <c r="F26" s="102">
        <f>'收入支出明细表（基础数据表）'!F26</f>
        <v>0</v>
      </c>
      <c r="G26" s="99">
        <f>'收入支出明细表（基础数据表）'!G26</f>
        <v>0</v>
      </c>
      <c r="H26" s="101" t="e">
        <f>'收入支出明细表（基础数据表）'!H26</f>
        <v>#DIV/0!</v>
      </c>
      <c r="I26" s="101" t="e">
        <f>'收入支出明细表（基础数据表）'!I26</f>
        <v>#DIV/0!</v>
      </c>
      <c r="J26" s="101" t="e">
        <f>'收入支出明细表（基础数据表）'!J26</f>
        <v>#DIV/0!</v>
      </c>
      <c r="K26" s="101" t="e">
        <f>'收入支出明细表（基础数据表）'!K26</f>
        <v>#DIV/0!</v>
      </c>
      <c r="L26" s="101" t="e">
        <f>'收入支出明细表（基础数据表）'!L26</f>
        <v>#DIV/0!</v>
      </c>
      <c r="M26" s="101" t="e">
        <f>'收入支出明细表（基础数据表）'!M26</f>
        <v>#DIV/0!</v>
      </c>
      <c r="N26" s="101" t="e">
        <f>'收入支出明细表（基础数据表）'!N26</f>
        <v>#DIV/0!</v>
      </c>
      <c r="O26" s="101" t="e">
        <f>'收入支出明细表（基础数据表）'!O26</f>
        <v>#DIV/0!</v>
      </c>
      <c r="P26" s="101" t="e">
        <f>'收入支出明细表（基础数据表）'!P26</f>
        <v>#DIV/0!</v>
      </c>
      <c r="Q26" s="101" t="e">
        <f>'收入支出明细表（基础数据表）'!Q26</f>
        <v>#DIV/0!</v>
      </c>
      <c r="R26" s="101" t="e">
        <f>'收入支出明细表（基础数据表）'!R26</f>
        <v>#DIV/0!</v>
      </c>
      <c r="S26" s="101" t="e">
        <f>'收入支出明细表（基础数据表）'!S26</f>
        <v>#DIV/0!</v>
      </c>
    </row>
    <row r="27" spans="1:19" ht="22.05" customHeight="1" x14ac:dyDescent="0.25">
      <c r="A27" s="204"/>
      <c r="B27" s="208"/>
      <c r="C27" s="223" t="s">
        <v>117</v>
      </c>
      <c r="D27" s="79" t="s">
        <v>103</v>
      </c>
      <c r="E27" s="102">
        <f>'收入支出明细表（基础数据表）'!E27</f>
        <v>0</v>
      </c>
      <c r="F27" s="84">
        <f>'收入支出明细表（基础数据表）'!F27</f>
        <v>0.13</v>
      </c>
      <c r="G27" s="99">
        <f>'收入支出明细表（基础数据表）'!G27</f>
        <v>0</v>
      </c>
      <c r="H27" s="103">
        <f>'收入支出明细表（基础数据表）'!H27</f>
        <v>0</v>
      </c>
      <c r="I27" s="103">
        <f>'收入支出明细表（基础数据表）'!I27</f>
        <v>0</v>
      </c>
      <c r="J27" s="103">
        <f>'收入支出明细表（基础数据表）'!J27</f>
        <v>0</v>
      </c>
      <c r="K27" s="103">
        <f>'收入支出明细表（基础数据表）'!K27</f>
        <v>0</v>
      </c>
      <c r="L27" s="103">
        <f>'收入支出明细表（基础数据表）'!L27</f>
        <v>0</v>
      </c>
      <c r="M27" s="103">
        <f>'收入支出明细表（基础数据表）'!M27</f>
        <v>0</v>
      </c>
      <c r="N27" s="103">
        <f>'收入支出明细表（基础数据表）'!N27</f>
        <v>0</v>
      </c>
      <c r="O27" s="103">
        <f>'收入支出明细表（基础数据表）'!O27</f>
        <v>0</v>
      </c>
      <c r="P27" s="103">
        <f>'收入支出明细表（基础数据表）'!P27</f>
        <v>0</v>
      </c>
      <c r="Q27" s="103">
        <f>'收入支出明细表（基础数据表）'!Q27</f>
        <v>0</v>
      </c>
      <c r="R27" s="103">
        <f>'收入支出明细表（基础数据表）'!R27</f>
        <v>0</v>
      </c>
      <c r="S27" s="103">
        <f>'收入支出明细表（基础数据表）'!S27</f>
        <v>0</v>
      </c>
    </row>
    <row r="28" spans="1:19" ht="22.05" customHeight="1" x14ac:dyDescent="0.25">
      <c r="A28" s="204"/>
      <c r="B28" s="208"/>
      <c r="C28" s="224"/>
      <c r="D28" s="79" t="s">
        <v>105</v>
      </c>
      <c r="E28" s="102">
        <f>'收入支出明细表（基础数据表）'!E28</f>
        <v>0</v>
      </c>
      <c r="F28" s="102">
        <f>'收入支出明细表（基础数据表）'!F28</f>
        <v>0</v>
      </c>
      <c r="G28" s="99">
        <f>'收入支出明细表（基础数据表）'!G28</f>
        <v>0</v>
      </c>
      <c r="H28" s="103">
        <f>'收入支出明细表（基础数据表）'!H28</f>
        <v>0</v>
      </c>
      <c r="I28" s="103">
        <f>'收入支出明细表（基础数据表）'!I28</f>
        <v>0</v>
      </c>
      <c r="J28" s="103">
        <f>'收入支出明细表（基础数据表）'!J28</f>
        <v>0</v>
      </c>
      <c r="K28" s="103">
        <f>'收入支出明细表（基础数据表）'!K28</f>
        <v>0</v>
      </c>
      <c r="L28" s="103">
        <f>'收入支出明细表（基础数据表）'!L28</f>
        <v>0</v>
      </c>
      <c r="M28" s="103">
        <f>'收入支出明细表（基础数据表）'!M28</f>
        <v>0</v>
      </c>
      <c r="N28" s="103">
        <f>'收入支出明细表（基础数据表）'!N28</f>
        <v>0</v>
      </c>
      <c r="O28" s="103">
        <f>'收入支出明细表（基础数据表）'!O28</f>
        <v>0</v>
      </c>
      <c r="P28" s="103">
        <f>'收入支出明细表（基础数据表）'!P28</f>
        <v>0</v>
      </c>
      <c r="Q28" s="103">
        <f>'收入支出明细表（基础数据表）'!Q28</f>
        <v>0</v>
      </c>
      <c r="R28" s="103">
        <f>'收入支出明细表（基础数据表）'!R28</f>
        <v>0</v>
      </c>
      <c r="S28" s="103">
        <f>'收入支出明细表（基础数据表）'!S28</f>
        <v>0</v>
      </c>
    </row>
    <row r="29" spans="1:19" ht="22.05" customHeight="1" x14ac:dyDescent="0.25">
      <c r="A29" s="204"/>
      <c r="B29" s="208"/>
      <c r="C29" s="225"/>
      <c r="D29" s="79" t="s">
        <v>106</v>
      </c>
      <c r="E29" s="102">
        <f>'收入支出明细表（基础数据表）'!E29</f>
        <v>0</v>
      </c>
      <c r="F29" s="102">
        <f>'收入支出明细表（基础数据表）'!F29</f>
        <v>0</v>
      </c>
      <c r="G29" s="99">
        <f>'收入支出明细表（基础数据表）'!G29</f>
        <v>0</v>
      </c>
      <c r="H29" s="101" t="e">
        <f>'收入支出明细表（基础数据表）'!H29</f>
        <v>#DIV/0!</v>
      </c>
      <c r="I29" s="101" t="e">
        <f>'收入支出明细表（基础数据表）'!I29</f>
        <v>#DIV/0!</v>
      </c>
      <c r="J29" s="101" t="e">
        <f>'收入支出明细表（基础数据表）'!J29</f>
        <v>#DIV/0!</v>
      </c>
      <c r="K29" s="101" t="e">
        <f>'收入支出明细表（基础数据表）'!K29</f>
        <v>#DIV/0!</v>
      </c>
      <c r="L29" s="101" t="e">
        <f>'收入支出明细表（基础数据表）'!L29</f>
        <v>#DIV/0!</v>
      </c>
      <c r="M29" s="101" t="e">
        <f>'收入支出明细表（基础数据表）'!M29</f>
        <v>#DIV/0!</v>
      </c>
      <c r="N29" s="101" t="e">
        <f>'收入支出明细表（基础数据表）'!N29</f>
        <v>#DIV/0!</v>
      </c>
      <c r="O29" s="101" t="e">
        <f>'收入支出明细表（基础数据表）'!O29</f>
        <v>#DIV/0!</v>
      </c>
      <c r="P29" s="101" t="e">
        <f>'收入支出明细表（基础数据表）'!P29</f>
        <v>#DIV/0!</v>
      </c>
      <c r="Q29" s="101" t="e">
        <f>'收入支出明细表（基础数据表）'!Q29</f>
        <v>#DIV/0!</v>
      </c>
      <c r="R29" s="101" t="e">
        <f>'收入支出明细表（基础数据表）'!R29</f>
        <v>#DIV/0!</v>
      </c>
      <c r="S29" s="101" t="e">
        <f>'收入支出明细表（基础数据表）'!S29</f>
        <v>#DIV/0!</v>
      </c>
    </row>
    <row r="30" spans="1:19" ht="22.05" customHeight="1" x14ac:dyDescent="0.25">
      <c r="A30" s="204"/>
      <c r="B30" s="208"/>
      <c r="C30" s="229" t="s">
        <v>119</v>
      </c>
      <c r="D30" s="79" t="s">
        <v>103</v>
      </c>
      <c r="E30" s="104">
        <f>'收入支出明细表（基础数据表）'!E30</f>
        <v>0</v>
      </c>
      <c r="F30" s="84">
        <f>'收入支出明细表（基础数据表）'!F30</f>
        <v>0.13</v>
      </c>
      <c r="G30" s="99">
        <f>'收入支出明细表（基础数据表）'!G30</f>
        <v>0</v>
      </c>
      <c r="H30" s="103">
        <f>'收入支出明细表（基础数据表）'!H30</f>
        <v>0</v>
      </c>
      <c r="I30" s="103">
        <f>'收入支出明细表（基础数据表）'!I30</f>
        <v>0</v>
      </c>
      <c r="J30" s="103">
        <f>'收入支出明细表（基础数据表）'!J30</f>
        <v>0</v>
      </c>
      <c r="K30" s="103">
        <f>'收入支出明细表（基础数据表）'!K30</f>
        <v>0</v>
      </c>
      <c r="L30" s="103">
        <f>'收入支出明细表（基础数据表）'!L30</f>
        <v>0</v>
      </c>
      <c r="M30" s="103">
        <f>'收入支出明细表（基础数据表）'!M30</f>
        <v>0</v>
      </c>
      <c r="N30" s="103">
        <f>'收入支出明细表（基础数据表）'!N30</f>
        <v>0</v>
      </c>
      <c r="O30" s="103">
        <f>'收入支出明细表（基础数据表）'!O30</f>
        <v>0</v>
      </c>
      <c r="P30" s="103">
        <f>'收入支出明细表（基础数据表）'!P30</f>
        <v>0</v>
      </c>
      <c r="Q30" s="103">
        <f>'收入支出明细表（基础数据表）'!Q30</f>
        <v>0</v>
      </c>
      <c r="R30" s="103">
        <f>'收入支出明细表（基础数据表）'!R30</f>
        <v>0</v>
      </c>
      <c r="S30" s="103">
        <f>'收入支出明细表（基础数据表）'!S30</f>
        <v>0</v>
      </c>
    </row>
    <row r="31" spans="1:19" ht="22.05" customHeight="1" x14ac:dyDescent="0.25">
      <c r="A31" s="204"/>
      <c r="B31" s="208"/>
      <c r="C31" s="230"/>
      <c r="D31" s="79" t="s">
        <v>105</v>
      </c>
      <c r="E31" s="104">
        <f>'收入支出明细表（基础数据表）'!E31</f>
        <v>0</v>
      </c>
      <c r="F31" s="102">
        <f>'收入支出明细表（基础数据表）'!F31</f>
        <v>0</v>
      </c>
      <c r="G31" s="99">
        <f>'收入支出明细表（基础数据表）'!G31</f>
        <v>0</v>
      </c>
      <c r="H31" s="103">
        <f>'收入支出明细表（基础数据表）'!H31</f>
        <v>0</v>
      </c>
      <c r="I31" s="103">
        <f>'收入支出明细表（基础数据表）'!I31</f>
        <v>0</v>
      </c>
      <c r="J31" s="103">
        <f>'收入支出明细表（基础数据表）'!J31</f>
        <v>0</v>
      </c>
      <c r="K31" s="103">
        <f>'收入支出明细表（基础数据表）'!K31</f>
        <v>0</v>
      </c>
      <c r="L31" s="103">
        <f>'收入支出明细表（基础数据表）'!L31</f>
        <v>0</v>
      </c>
      <c r="M31" s="103">
        <f>'收入支出明细表（基础数据表）'!M31</f>
        <v>0</v>
      </c>
      <c r="N31" s="103">
        <f>'收入支出明细表（基础数据表）'!N31</f>
        <v>0</v>
      </c>
      <c r="O31" s="103">
        <f>'收入支出明细表（基础数据表）'!O31</f>
        <v>0</v>
      </c>
      <c r="P31" s="103">
        <f>'收入支出明细表（基础数据表）'!P31</f>
        <v>0</v>
      </c>
      <c r="Q31" s="103">
        <f>'收入支出明细表（基础数据表）'!Q31</f>
        <v>0</v>
      </c>
      <c r="R31" s="103">
        <f>'收入支出明细表（基础数据表）'!R31</f>
        <v>0</v>
      </c>
      <c r="S31" s="103">
        <f>'收入支出明细表（基础数据表）'!S31</f>
        <v>0</v>
      </c>
    </row>
    <row r="32" spans="1:19" ht="22.05" customHeight="1" x14ac:dyDescent="0.25">
      <c r="A32" s="204"/>
      <c r="B32" s="208"/>
      <c r="C32" s="231"/>
      <c r="D32" s="79" t="s">
        <v>106</v>
      </c>
      <c r="E32" s="104">
        <f>'收入支出明细表（基础数据表）'!E32</f>
        <v>0</v>
      </c>
      <c r="F32" s="102">
        <f>'收入支出明细表（基础数据表）'!F32</f>
        <v>0</v>
      </c>
      <c r="G32" s="99">
        <f>'收入支出明细表（基础数据表）'!G32</f>
        <v>0</v>
      </c>
      <c r="H32" s="101" t="e">
        <f>'收入支出明细表（基础数据表）'!H32</f>
        <v>#DIV/0!</v>
      </c>
      <c r="I32" s="101" t="e">
        <f>'收入支出明细表（基础数据表）'!I32</f>
        <v>#DIV/0!</v>
      </c>
      <c r="J32" s="101" t="e">
        <f>'收入支出明细表（基础数据表）'!J32</f>
        <v>#DIV/0!</v>
      </c>
      <c r="K32" s="101" t="e">
        <f>'收入支出明细表（基础数据表）'!K32</f>
        <v>#DIV/0!</v>
      </c>
      <c r="L32" s="101" t="e">
        <f>'收入支出明细表（基础数据表）'!L32</f>
        <v>#DIV/0!</v>
      </c>
      <c r="M32" s="101" t="e">
        <f>'收入支出明细表（基础数据表）'!M32</f>
        <v>#DIV/0!</v>
      </c>
      <c r="N32" s="101" t="e">
        <f>'收入支出明细表（基础数据表）'!N32</f>
        <v>#DIV/0!</v>
      </c>
      <c r="O32" s="101" t="e">
        <f>'收入支出明细表（基础数据表）'!O32</f>
        <v>#DIV/0!</v>
      </c>
      <c r="P32" s="101" t="e">
        <f>'收入支出明细表（基础数据表）'!P32</f>
        <v>#DIV/0!</v>
      </c>
      <c r="Q32" s="101" t="e">
        <f>'收入支出明细表（基础数据表）'!Q32</f>
        <v>#DIV/0!</v>
      </c>
      <c r="R32" s="101" t="e">
        <f>'收入支出明细表（基础数据表）'!R32</f>
        <v>#DIV/0!</v>
      </c>
      <c r="S32" s="101" t="e">
        <f>'收入支出明细表（基础数据表）'!S32</f>
        <v>#DIV/0!</v>
      </c>
    </row>
    <row r="33" spans="1:19" ht="22.05" customHeight="1" x14ac:dyDescent="0.25">
      <c r="A33" s="204"/>
      <c r="B33" s="208"/>
      <c r="C33" s="229" t="s">
        <v>121</v>
      </c>
      <c r="D33" s="79" t="s">
        <v>103</v>
      </c>
      <c r="E33" s="104">
        <f>'收入支出明细表（基础数据表）'!E33</f>
        <v>0</v>
      </c>
      <c r="F33" s="84">
        <f>'收入支出明细表（基础数据表）'!F33</f>
        <v>0.13</v>
      </c>
      <c r="G33" s="99">
        <f>'收入支出明细表（基础数据表）'!G33</f>
        <v>0</v>
      </c>
      <c r="H33" s="103">
        <f>'收入支出明细表（基础数据表）'!H33</f>
        <v>0</v>
      </c>
      <c r="I33" s="103">
        <f>'收入支出明细表（基础数据表）'!I33</f>
        <v>0</v>
      </c>
      <c r="J33" s="103">
        <f>'收入支出明细表（基础数据表）'!J33</f>
        <v>0</v>
      </c>
      <c r="K33" s="103">
        <f>'收入支出明细表（基础数据表）'!K33</f>
        <v>0</v>
      </c>
      <c r="L33" s="103">
        <f>'收入支出明细表（基础数据表）'!L33</f>
        <v>0</v>
      </c>
      <c r="M33" s="103">
        <f>'收入支出明细表（基础数据表）'!M33</f>
        <v>0</v>
      </c>
      <c r="N33" s="103">
        <f>'收入支出明细表（基础数据表）'!N33</f>
        <v>0</v>
      </c>
      <c r="O33" s="103">
        <f>'收入支出明细表（基础数据表）'!O33</f>
        <v>0</v>
      </c>
      <c r="P33" s="103">
        <f>'收入支出明细表（基础数据表）'!P33</f>
        <v>0</v>
      </c>
      <c r="Q33" s="103">
        <f>'收入支出明细表（基础数据表）'!Q33</f>
        <v>0</v>
      </c>
      <c r="R33" s="103">
        <f>'收入支出明细表（基础数据表）'!R33</f>
        <v>0</v>
      </c>
      <c r="S33" s="103">
        <f>'收入支出明细表（基础数据表）'!S33</f>
        <v>0</v>
      </c>
    </row>
    <row r="34" spans="1:19" ht="22.05" customHeight="1" x14ac:dyDescent="0.25">
      <c r="A34" s="204"/>
      <c r="B34" s="208"/>
      <c r="C34" s="230"/>
      <c r="D34" s="79" t="s">
        <v>105</v>
      </c>
      <c r="E34" s="104">
        <f>'收入支出明细表（基础数据表）'!E34</f>
        <v>0</v>
      </c>
      <c r="F34" s="102">
        <f>'收入支出明细表（基础数据表）'!F34</f>
        <v>0</v>
      </c>
      <c r="G34" s="99">
        <f>'收入支出明细表（基础数据表）'!G34</f>
        <v>0</v>
      </c>
      <c r="H34" s="103">
        <f>'收入支出明细表（基础数据表）'!H34</f>
        <v>0</v>
      </c>
      <c r="I34" s="103">
        <f>'收入支出明细表（基础数据表）'!I34</f>
        <v>0</v>
      </c>
      <c r="J34" s="103">
        <f>'收入支出明细表（基础数据表）'!J34</f>
        <v>0</v>
      </c>
      <c r="K34" s="103">
        <f>'收入支出明细表（基础数据表）'!K34</f>
        <v>0</v>
      </c>
      <c r="L34" s="103">
        <f>'收入支出明细表（基础数据表）'!L34</f>
        <v>0</v>
      </c>
      <c r="M34" s="103">
        <f>'收入支出明细表（基础数据表）'!M34</f>
        <v>0</v>
      </c>
      <c r="N34" s="103">
        <f>'收入支出明细表（基础数据表）'!N34</f>
        <v>0</v>
      </c>
      <c r="O34" s="103">
        <f>'收入支出明细表（基础数据表）'!O34</f>
        <v>0</v>
      </c>
      <c r="P34" s="103">
        <f>'收入支出明细表（基础数据表）'!P34</f>
        <v>0</v>
      </c>
      <c r="Q34" s="103">
        <f>'收入支出明细表（基础数据表）'!Q34</f>
        <v>0</v>
      </c>
      <c r="R34" s="103">
        <f>'收入支出明细表（基础数据表）'!R34</f>
        <v>0</v>
      </c>
      <c r="S34" s="103">
        <f>'收入支出明细表（基础数据表）'!S34</f>
        <v>0</v>
      </c>
    </row>
    <row r="35" spans="1:19" ht="22.05" customHeight="1" x14ac:dyDescent="0.25">
      <c r="A35" s="204"/>
      <c r="B35" s="208"/>
      <c r="C35" s="231"/>
      <c r="D35" s="79" t="s">
        <v>106</v>
      </c>
      <c r="E35" s="104">
        <f>'收入支出明细表（基础数据表）'!E35</f>
        <v>0</v>
      </c>
      <c r="F35" s="102">
        <f>'收入支出明细表（基础数据表）'!F35</f>
        <v>0</v>
      </c>
      <c r="G35" s="99">
        <f>'收入支出明细表（基础数据表）'!G35</f>
        <v>0</v>
      </c>
      <c r="H35" s="101" t="e">
        <f>'收入支出明细表（基础数据表）'!H35</f>
        <v>#DIV/0!</v>
      </c>
      <c r="I35" s="101" t="e">
        <f>'收入支出明细表（基础数据表）'!I35</f>
        <v>#DIV/0!</v>
      </c>
      <c r="J35" s="101" t="e">
        <f>'收入支出明细表（基础数据表）'!J35</f>
        <v>#DIV/0!</v>
      </c>
      <c r="K35" s="101" t="e">
        <f>'收入支出明细表（基础数据表）'!K35</f>
        <v>#DIV/0!</v>
      </c>
      <c r="L35" s="101" t="e">
        <f>'收入支出明细表（基础数据表）'!L35</f>
        <v>#DIV/0!</v>
      </c>
      <c r="M35" s="101" t="e">
        <f>'收入支出明细表（基础数据表）'!M35</f>
        <v>#DIV/0!</v>
      </c>
      <c r="N35" s="101" t="e">
        <f>'收入支出明细表（基础数据表）'!N35</f>
        <v>#DIV/0!</v>
      </c>
      <c r="O35" s="101" t="e">
        <f>'收入支出明细表（基础数据表）'!O35</f>
        <v>#DIV/0!</v>
      </c>
      <c r="P35" s="101" t="e">
        <f>'收入支出明细表（基础数据表）'!P35</f>
        <v>#DIV/0!</v>
      </c>
      <c r="Q35" s="101" t="e">
        <f>'收入支出明细表（基础数据表）'!Q35</f>
        <v>#DIV/0!</v>
      </c>
      <c r="R35" s="101" t="e">
        <f>'收入支出明细表（基础数据表）'!R35</f>
        <v>#DIV/0!</v>
      </c>
      <c r="S35" s="101" t="e">
        <f>'收入支出明细表（基础数据表）'!S35</f>
        <v>#DIV/0!</v>
      </c>
    </row>
    <row r="36" spans="1:19" ht="22.05" customHeight="1" x14ac:dyDescent="0.25">
      <c r="A36" s="204"/>
      <c r="B36" s="208"/>
      <c r="C36" s="229" t="s">
        <v>123</v>
      </c>
      <c r="D36" s="79" t="s">
        <v>103</v>
      </c>
      <c r="E36" s="104">
        <f>'收入支出明细表（基础数据表）'!E36</f>
        <v>0</v>
      </c>
      <c r="F36" s="84">
        <f>'收入支出明细表（基础数据表）'!F36</f>
        <v>0.09</v>
      </c>
      <c r="G36" s="99">
        <f>'收入支出明细表（基础数据表）'!G36</f>
        <v>0</v>
      </c>
      <c r="H36" s="103">
        <f>'收入支出明细表（基础数据表）'!H36</f>
        <v>0</v>
      </c>
      <c r="I36" s="103">
        <f>'收入支出明细表（基础数据表）'!I36</f>
        <v>0</v>
      </c>
      <c r="J36" s="103">
        <f>'收入支出明细表（基础数据表）'!J36</f>
        <v>0</v>
      </c>
      <c r="K36" s="103">
        <f>'收入支出明细表（基础数据表）'!K36</f>
        <v>0</v>
      </c>
      <c r="L36" s="103">
        <f>'收入支出明细表（基础数据表）'!L36</f>
        <v>0</v>
      </c>
      <c r="M36" s="103">
        <f>'收入支出明细表（基础数据表）'!M36</f>
        <v>0</v>
      </c>
      <c r="N36" s="103">
        <f>'收入支出明细表（基础数据表）'!N36</f>
        <v>0</v>
      </c>
      <c r="O36" s="103">
        <f>'收入支出明细表（基础数据表）'!O36</f>
        <v>0</v>
      </c>
      <c r="P36" s="103">
        <f>'收入支出明细表（基础数据表）'!P36</f>
        <v>0</v>
      </c>
      <c r="Q36" s="103">
        <f>'收入支出明细表（基础数据表）'!Q36</f>
        <v>0</v>
      </c>
      <c r="R36" s="103">
        <f>'收入支出明细表（基础数据表）'!R36</f>
        <v>0</v>
      </c>
      <c r="S36" s="103">
        <f>'收入支出明细表（基础数据表）'!S36</f>
        <v>0</v>
      </c>
    </row>
    <row r="37" spans="1:19" ht="22.05" customHeight="1" x14ac:dyDescent="0.25">
      <c r="A37" s="204"/>
      <c r="B37" s="208"/>
      <c r="C37" s="230"/>
      <c r="D37" s="79" t="s">
        <v>105</v>
      </c>
      <c r="E37" s="104">
        <f>'收入支出明细表（基础数据表）'!E37</f>
        <v>0</v>
      </c>
      <c r="F37" s="102">
        <f>'收入支出明细表（基础数据表）'!F37</f>
        <v>0</v>
      </c>
      <c r="G37" s="99">
        <f>'收入支出明细表（基础数据表）'!G37</f>
        <v>0</v>
      </c>
      <c r="H37" s="103">
        <f>'收入支出明细表（基础数据表）'!H37</f>
        <v>0</v>
      </c>
      <c r="I37" s="103">
        <f>'收入支出明细表（基础数据表）'!I37</f>
        <v>0</v>
      </c>
      <c r="J37" s="103">
        <f>'收入支出明细表（基础数据表）'!J37</f>
        <v>0</v>
      </c>
      <c r="K37" s="103">
        <f>'收入支出明细表（基础数据表）'!K37</f>
        <v>0</v>
      </c>
      <c r="L37" s="103">
        <f>'收入支出明细表（基础数据表）'!L37</f>
        <v>0</v>
      </c>
      <c r="M37" s="103">
        <f>'收入支出明细表（基础数据表）'!M37</f>
        <v>0</v>
      </c>
      <c r="N37" s="103">
        <f>'收入支出明细表（基础数据表）'!N37</f>
        <v>0</v>
      </c>
      <c r="O37" s="103">
        <f>'收入支出明细表（基础数据表）'!O37</f>
        <v>0</v>
      </c>
      <c r="P37" s="103">
        <f>'收入支出明细表（基础数据表）'!P37</f>
        <v>0</v>
      </c>
      <c r="Q37" s="103">
        <f>'收入支出明细表（基础数据表）'!Q37</f>
        <v>0</v>
      </c>
      <c r="R37" s="103">
        <f>'收入支出明细表（基础数据表）'!R37</f>
        <v>0</v>
      </c>
      <c r="S37" s="103">
        <f>'收入支出明细表（基础数据表）'!S37</f>
        <v>0</v>
      </c>
    </row>
    <row r="38" spans="1:19" ht="22.05" customHeight="1" x14ac:dyDescent="0.25">
      <c r="A38" s="204"/>
      <c r="B38" s="208"/>
      <c r="C38" s="231"/>
      <c r="D38" s="79" t="s">
        <v>106</v>
      </c>
      <c r="E38" s="104">
        <f>'收入支出明细表（基础数据表）'!E38</f>
        <v>0</v>
      </c>
      <c r="F38" s="102">
        <f>'收入支出明细表（基础数据表）'!F38</f>
        <v>0</v>
      </c>
      <c r="G38" s="99">
        <f>'收入支出明细表（基础数据表）'!G38</f>
        <v>0</v>
      </c>
      <c r="H38" s="101" t="e">
        <f>'收入支出明细表（基础数据表）'!H38</f>
        <v>#DIV/0!</v>
      </c>
      <c r="I38" s="101" t="e">
        <f>'收入支出明细表（基础数据表）'!I38</f>
        <v>#DIV/0!</v>
      </c>
      <c r="J38" s="101" t="e">
        <f>'收入支出明细表（基础数据表）'!J38</f>
        <v>#DIV/0!</v>
      </c>
      <c r="K38" s="101" t="e">
        <f>'收入支出明细表（基础数据表）'!K38</f>
        <v>#DIV/0!</v>
      </c>
      <c r="L38" s="101" t="e">
        <f>'收入支出明细表（基础数据表）'!L38</f>
        <v>#DIV/0!</v>
      </c>
      <c r="M38" s="101" t="e">
        <f>'收入支出明细表（基础数据表）'!M38</f>
        <v>#DIV/0!</v>
      </c>
      <c r="N38" s="101" t="e">
        <f>'收入支出明细表（基础数据表）'!N38</f>
        <v>#DIV/0!</v>
      </c>
      <c r="O38" s="101" t="e">
        <f>'收入支出明细表（基础数据表）'!O38</f>
        <v>#DIV/0!</v>
      </c>
      <c r="P38" s="101" t="e">
        <f>'收入支出明细表（基础数据表）'!P38</f>
        <v>#DIV/0!</v>
      </c>
      <c r="Q38" s="101" t="e">
        <f>'收入支出明细表（基础数据表）'!Q38</f>
        <v>#DIV/0!</v>
      </c>
      <c r="R38" s="101" t="e">
        <f>'收入支出明细表（基础数据表）'!R38</f>
        <v>#DIV/0!</v>
      </c>
      <c r="S38" s="101" t="e">
        <f>'收入支出明细表（基础数据表）'!S38</f>
        <v>#DIV/0!</v>
      </c>
    </row>
    <row r="39" spans="1:19" ht="22.05" customHeight="1" x14ac:dyDescent="0.25">
      <c r="A39" s="204"/>
      <c r="B39" s="208"/>
      <c r="C39" s="86" t="s">
        <v>125</v>
      </c>
      <c r="D39" s="86"/>
      <c r="E39" s="104">
        <f>'收入支出明细表（基础数据表）'!E39</f>
        <v>0</v>
      </c>
      <c r="F39" s="102">
        <f>'收入支出明细表（基础数据表）'!F39</f>
        <v>0</v>
      </c>
      <c r="G39" s="99">
        <f>'收入支出明细表（基础数据表）'!G39</f>
        <v>0</v>
      </c>
      <c r="H39" s="103">
        <f>'收入支出明细表（基础数据表）'!H39</f>
        <v>0</v>
      </c>
      <c r="I39" s="103">
        <f>'收入支出明细表（基础数据表）'!I39</f>
        <v>0</v>
      </c>
      <c r="J39" s="103">
        <f>'收入支出明细表（基础数据表）'!J39</f>
        <v>0</v>
      </c>
      <c r="K39" s="103">
        <f>'收入支出明细表（基础数据表）'!K39</f>
        <v>0</v>
      </c>
      <c r="L39" s="103">
        <f>'收入支出明细表（基础数据表）'!L39</f>
        <v>0</v>
      </c>
      <c r="M39" s="103">
        <f>'收入支出明细表（基础数据表）'!M39</f>
        <v>0</v>
      </c>
      <c r="N39" s="103">
        <f>'收入支出明细表（基础数据表）'!N39</f>
        <v>0</v>
      </c>
      <c r="O39" s="103">
        <f>'收入支出明细表（基础数据表）'!O39</f>
        <v>0</v>
      </c>
      <c r="P39" s="103">
        <f>'收入支出明细表（基础数据表）'!P39</f>
        <v>0</v>
      </c>
      <c r="Q39" s="103">
        <f>'收入支出明细表（基础数据表）'!Q39</f>
        <v>0</v>
      </c>
      <c r="R39" s="103">
        <f>'收入支出明细表（基础数据表）'!R39</f>
        <v>0</v>
      </c>
      <c r="S39" s="103">
        <f>'收入支出明细表（基础数据表）'!S39</f>
        <v>0</v>
      </c>
    </row>
    <row r="40" spans="1:19" ht="22.05" customHeight="1" x14ac:dyDescent="0.25">
      <c r="A40" s="204"/>
      <c r="B40" s="209" t="s">
        <v>127</v>
      </c>
      <c r="C40" s="232" t="s">
        <v>128</v>
      </c>
      <c r="D40" s="79" t="s">
        <v>103</v>
      </c>
      <c r="E40" s="98">
        <f>'收入支出明细表（基础数据表）'!E40</f>
        <v>0</v>
      </c>
      <c r="F40" s="102">
        <f>'收入支出明细表（基础数据表）'!F40</f>
        <v>0</v>
      </c>
      <c r="G40" s="99">
        <f>'收入支出明细表（基础数据表）'!G40</f>
        <v>0</v>
      </c>
      <c r="H40" s="99">
        <f>'收入支出明细表（基础数据表）'!H40</f>
        <v>0</v>
      </c>
      <c r="I40" s="99">
        <f>'收入支出明细表（基础数据表）'!I40</f>
        <v>0</v>
      </c>
      <c r="J40" s="99">
        <f>'收入支出明细表（基础数据表）'!J40</f>
        <v>0</v>
      </c>
      <c r="K40" s="99">
        <f>'收入支出明细表（基础数据表）'!K40</f>
        <v>0</v>
      </c>
      <c r="L40" s="99">
        <f>'收入支出明细表（基础数据表）'!L40</f>
        <v>0</v>
      </c>
      <c r="M40" s="99">
        <f>'收入支出明细表（基础数据表）'!M40</f>
        <v>0</v>
      </c>
      <c r="N40" s="99">
        <f>'收入支出明细表（基础数据表）'!N40</f>
        <v>0</v>
      </c>
      <c r="O40" s="99">
        <f>'收入支出明细表（基础数据表）'!O40</f>
        <v>0</v>
      </c>
      <c r="P40" s="99">
        <f>'收入支出明细表（基础数据表）'!P40</f>
        <v>0</v>
      </c>
      <c r="Q40" s="99">
        <f>'收入支出明细表（基础数据表）'!Q40</f>
        <v>0</v>
      </c>
      <c r="R40" s="99">
        <f>'收入支出明细表（基础数据表）'!R40</f>
        <v>0</v>
      </c>
      <c r="S40" s="99">
        <f>'收入支出明细表（基础数据表）'!S40</f>
        <v>0</v>
      </c>
    </row>
    <row r="41" spans="1:19" ht="22.05" customHeight="1" x14ac:dyDescent="0.25">
      <c r="A41" s="204"/>
      <c r="B41" s="209"/>
      <c r="C41" s="233"/>
      <c r="D41" s="79" t="s">
        <v>105</v>
      </c>
      <c r="E41" s="98">
        <f>'收入支出明细表（基础数据表）'!E41</f>
        <v>0</v>
      </c>
      <c r="F41" s="102">
        <f>'收入支出明细表（基础数据表）'!F41</f>
        <v>0</v>
      </c>
      <c r="G41" s="99">
        <f>'收入支出明细表（基础数据表）'!G41</f>
        <v>0</v>
      </c>
      <c r="H41" s="99">
        <f>'收入支出明细表（基础数据表）'!H41</f>
        <v>0</v>
      </c>
      <c r="I41" s="99">
        <f>'收入支出明细表（基础数据表）'!I41</f>
        <v>0</v>
      </c>
      <c r="J41" s="99">
        <f>'收入支出明细表（基础数据表）'!J41</f>
        <v>0</v>
      </c>
      <c r="K41" s="99">
        <f>'收入支出明细表（基础数据表）'!K41</f>
        <v>0</v>
      </c>
      <c r="L41" s="99">
        <f>'收入支出明细表（基础数据表）'!L41</f>
        <v>0</v>
      </c>
      <c r="M41" s="99">
        <f>'收入支出明细表（基础数据表）'!M41</f>
        <v>0</v>
      </c>
      <c r="N41" s="99">
        <f>'收入支出明细表（基础数据表）'!N41</f>
        <v>0</v>
      </c>
      <c r="O41" s="99">
        <f>'收入支出明细表（基础数据表）'!O41</f>
        <v>0</v>
      </c>
      <c r="P41" s="99">
        <f>'收入支出明细表（基础数据表）'!P41</f>
        <v>0</v>
      </c>
      <c r="Q41" s="99">
        <f>'收入支出明细表（基础数据表）'!Q41</f>
        <v>0</v>
      </c>
      <c r="R41" s="99">
        <f>'收入支出明细表（基础数据表）'!R41</f>
        <v>0</v>
      </c>
      <c r="S41" s="99">
        <f>'收入支出明细表（基础数据表）'!S41</f>
        <v>0</v>
      </c>
    </row>
    <row r="42" spans="1:19" ht="22.05" customHeight="1" x14ac:dyDescent="0.25">
      <c r="A42" s="204"/>
      <c r="B42" s="209"/>
      <c r="C42" s="234"/>
      <c r="D42" s="79" t="s">
        <v>106</v>
      </c>
      <c r="E42" s="98">
        <f>'收入支出明细表（基础数据表）'!E42</f>
        <v>0</v>
      </c>
      <c r="F42" s="102">
        <f>'收入支出明细表（基础数据表）'!F42</f>
        <v>0</v>
      </c>
      <c r="G42" s="99">
        <f>'收入支出明细表（基础数据表）'!G42</f>
        <v>0</v>
      </c>
      <c r="H42" s="101" t="e">
        <f>'收入支出明细表（基础数据表）'!H42</f>
        <v>#DIV/0!</v>
      </c>
      <c r="I42" s="101" t="e">
        <f>'收入支出明细表（基础数据表）'!I42</f>
        <v>#DIV/0!</v>
      </c>
      <c r="J42" s="101" t="e">
        <f>'收入支出明细表（基础数据表）'!J42</f>
        <v>#DIV/0!</v>
      </c>
      <c r="K42" s="101" t="e">
        <f>'收入支出明细表（基础数据表）'!K42</f>
        <v>#DIV/0!</v>
      </c>
      <c r="L42" s="101" t="e">
        <f>'收入支出明细表（基础数据表）'!L42</f>
        <v>#DIV/0!</v>
      </c>
      <c r="M42" s="101" t="e">
        <f>'收入支出明细表（基础数据表）'!M42</f>
        <v>#DIV/0!</v>
      </c>
      <c r="N42" s="101" t="e">
        <f>'收入支出明细表（基础数据表）'!N42</f>
        <v>#DIV/0!</v>
      </c>
      <c r="O42" s="101" t="e">
        <f>'收入支出明细表（基础数据表）'!O42</f>
        <v>#DIV/0!</v>
      </c>
      <c r="P42" s="101" t="e">
        <f>'收入支出明细表（基础数据表）'!P42</f>
        <v>#DIV/0!</v>
      </c>
      <c r="Q42" s="101" t="e">
        <f>'收入支出明细表（基础数据表）'!Q42</f>
        <v>#DIV/0!</v>
      </c>
      <c r="R42" s="101" t="e">
        <f>'收入支出明细表（基础数据表）'!R42</f>
        <v>#DIV/0!</v>
      </c>
      <c r="S42" s="101" t="e">
        <f>'收入支出明细表（基础数据表）'!S42</f>
        <v>#DIV/0!</v>
      </c>
    </row>
    <row r="43" spans="1:19" ht="22.05" customHeight="1" x14ac:dyDescent="0.25">
      <c r="A43" s="204"/>
      <c r="B43" s="209"/>
      <c r="C43" s="235" t="s">
        <v>129</v>
      </c>
      <c r="D43" s="79" t="s">
        <v>103</v>
      </c>
      <c r="E43" s="104">
        <f>'收入支出明细表（基础数据表）'!E43</f>
        <v>0</v>
      </c>
      <c r="F43" s="102">
        <f>'收入支出明细表（基础数据表）'!F43</f>
        <v>0</v>
      </c>
      <c r="G43" s="99">
        <f>'收入支出明细表（基础数据表）'!G43</f>
        <v>0</v>
      </c>
      <c r="H43" s="103">
        <f>'收入支出明细表（基础数据表）'!H43</f>
        <v>0</v>
      </c>
      <c r="I43" s="103">
        <f>'收入支出明细表（基础数据表）'!I43</f>
        <v>0</v>
      </c>
      <c r="J43" s="103">
        <f>'收入支出明细表（基础数据表）'!J43</f>
        <v>0</v>
      </c>
      <c r="K43" s="103">
        <f>'收入支出明细表（基础数据表）'!K43</f>
        <v>0</v>
      </c>
      <c r="L43" s="103">
        <f>'收入支出明细表（基础数据表）'!L43</f>
        <v>0</v>
      </c>
      <c r="M43" s="103">
        <f>'收入支出明细表（基础数据表）'!M43</f>
        <v>0</v>
      </c>
      <c r="N43" s="103">
        <f>'收入支出明细表（基础数据表）'!N43</f>
        <v>0</v>
      </c>
      <c r="O43" s="103">
        <f>'收入支出明细表（基础数据表）'!O43</f>
        <v>0</v>
      </c>
      <c r="P43" s="103">
        <f>'收入支出明细表（基础数据表）'!P43</f>
        <v>0</v>
      </c>
      <c r="Q43" s="103">
        <f>'收入支出明细表（基础数据表）'!Q43</f>
        <v>0</v>
      </c>
      <c r="R43" s="103">
        <f>'收入支出明细表（基础数据表）'!R43</f>
        <v>0</v>
      </c>
      <c r="S43" s="103">
        <f>'收入支出明细表（基础数据表）'!S43</f>
        <v>0</v>
      </c>
    </row>
    <row r="44" spans="1:19" ht="22.05" customHeight="1" x14ac:dyDescent="0.25">
      <c r="A44" s="204"/>
      <c r="B44" s="209"/>
      <c r="C44" s="236"/>
      <c r="D44" s="79" t="s">
        <v>105</v>
      </c>
      <c r="E44" s="104">
        <f>'收入支出明细表（基础数据表）'!E44</f>
        <v>0</v>
      </c>
      <c r="F44" s="102">
        <f>'收入支出明细表（基础数据表）'!F44</f>
        <v>0</v>
      </c>
      <c r="G44" s="99">
        <f>'收入支出明细表（基础数据表）'!G44</f>
        <v>0</v>
      </c>
      <c r="H44" s="103">
        <f>'收入支出明细表（基础数据表）'!H44</f>
        <v>0</v>
      </c>
      <c r="I44" s="103">
        <f>'收入支出明细表（基础数据表）'!I44</f>
        <v>0</v>
      </c>
      <c r="J44" s="103">
        <f>'收入支出明细表（基础数据表）'!J44</f>
        <v>0</v>
      </c>
      <c r="K44" s="103">
        <f>'收入支出明细表（基础数据表）'!K44</f>
        <v>0</v>
      </c>
      <c r="L44" s="103">
        <f>'收入支出明细表（基础数据表）'!L44</f>
        <v>0</v>
      </c>
      <c r="M44" s="103">
        <f>'收入支出明细表（基础数据表）'!M44</f>
        <v>0</v>
      </c>
      <c r="N44" s="103">
        <f>'收入支出明细表（基础数据表）'!N44</f>
        <v>0</v>
      </c>
      <c r="O44" s="103">
        <f>'收入支出明细表（基础数据表）'!O44</f>
        <v>0</v>
      </c>
      <c r="P44" s="103">
        <f>'收入支出明细表（基础数据表）'!P44</f>
        <v>0</v>
      </c>
      <c r="Q44" s="103">
        <f>'收入支出明细表（基础数据表）'!Q44</f>
        <v>0</v>
      </c>
      <c r="R44" s="103">
        <f>'收入支出明细表（基础数据表）'!R44</f>
        <v>0</v>
      </c>
      <c r="S44" s="103">
        <f>'收入支出明细表（基础数据表）'!S44</f>
        <v>0</v>
      </c>
    </row>
    <row r="45" spans="1:19" ht="22.05" customHeight="1" x14ac:dyDescent="0.25">
      <c r="A45" s="204"/>
      <c r="B45" s="209"/>
      <c r="C45" s="237"/>
      <c r="D45" s="79" t="s">
        <v>106</v>
      </c>
      <c r="E45" s="104">
        <f>'收入支出明细表（基础数据表）'!E45</f>
        <v>0</v>
      </c>
      <c r="F45" s="102">
        <f>'收入支出明细表（基础数据表）'!F45</f>
        <v>0</v>
      </c>
      <c r="G45" s="99">
        <f>'收入支出明细表（基础数据表）'!G45</f>
        <v>0</v>
      </c>
      <c r="H45" s="101" t="e">
        <f>'收入支出明细表（基础数据表）'!H45</f>
        <v>#DIV/0!</v>
      </c>
      <c r="I45" s="101" t="e">
        <f>'收入支出明细表（基础数据表）'!I45</f>
        <v>#DIV/0!</v>
      </c>
      <c r="J45" s="101" t="e">
        <f>'收入支出明细表（基础数据表）'!J45</f>
        <v>#DIV/0!</v>
      </c>
      <c r="K45" s="101" t="e">
        <f>'收入支出明细表（基础数据表）'!K45</f>
        <v>#DIV/0!</v>
      </c>
      <c r="L45" s="101" t="e">
        <f>'收入支出明细表（基础数据表）'!L45</f>
        <v>#DIV/0!</v>
      </c>
      <c r="M45" s="101" t="e">
        <f>'收入支出明细表（基础数据表）'!M45</f>
        <v>#DIV/0!</v>
      </c>
      <c r="N45" s="101" t="e">
        <f>'收入支出明细表（基础数据表）'!N45</f>
        <v>#DIV/0!</v>
      </c>
      <c r="O45" s="101" t="e">
        <f>'收入支出明细表（基础数据表）'!O45</f>
        <v>#DIV/0!</v>
      </c>
      <c r="P45" s="101" t="e">
        <f>'收入支出明细表（基础数据表）'!P45</f>
        <v>#DIV/0!</v>
      </c>
      <c r="Q45" s="101" t="e">
        <f>'收入支出明细表（基础数据表）'!Q45</f>
        <v>#DIV/0!</v>
      </c>
      <c r="R45" s="101" t="e">
        <f>'收入支出明细表（基础数据表）'!R45</f>
        <v>#DIV/0!</v>
      </c>
      <c r="S45" s="101" t="e">
        <f>'收入支出明细表（基础数据表）'!S45</f>
        <v>#DIV/0!</v>
      </c>
    </row>
    <row r="46" spans="1:19" ht="22.05" customHeight="1" x14ac:dyDescent="0.25">
      <c r="A46" s="204"/>
      <c r="B46" s="209"/>
      <c r="C46" s="235" t="s">
        <v>131</v>
      </c>
      <c r="D46" s="79" t="s">
        <v>103</v>
      </c>
      <c r="E46" s="104">
        <f>'收入支出明细表（基础数据表）'!E46</f>
        <v>0</v>
      </c>
      <c r="F46" s="84">
        <f>'收入支出明细表（基础数据表）'!F46</f>
        <v>0.09</v>
      </c>
      <c r="G46" s="99">
        <f>'收入支出明细表（基础数据表）'!G46</f>
        <v>0</v>
      </c>
      <c r="H46" s="103">
        <f>'收入支出明细表（基础数据表）'!H46</f>
        <v>0</v>
      </c>
      <c r="I46" s="103">
        <f>'收入支出明细表（基础数据表）'!I46</f>
        <v>0</v>
      </c>
      <c r="J46" s="103">
        <f>'收入支出明细表（基础数据表）'!J46</f>
        <v>0</v>
      </c>
      <c r="K46" s="103">
        <f>'收入支出明细表（基础数据表）'!K46</f>
        <v>0</v>
      </c>
      <c r="L46" s="103">
        <f>'收入支出明细表（基础数据表）'!L46</f>
        <v>0</v>
      </c>
      <c r="M46" s="103">
        <f>'收入支出明细表（基础数据表）'!M46</f>
        <v>0</v>
      </c>
      <c r="N46" s="103">
        <f>'收入支出明细表（基础数据表）'!N46</f>
        <v>0</v>
      </c>
      <c r="O46" s="103">
        <f>'收入支出明细表（基础数据表）'!O46</f>
        <v>0</v>
      </c>
      <c r="P46" s="103">
        <f>'收入支出明细表（基础数据表）'!P46</f>
        <v>0</v>
      </c>
      <c r="Q46" s="103">
        <f>'收入支出明细表（基础数据表）'!Q46</f>
        <v>0</v>
      </c>
      <c r="R46" s="103">
        <f>'收入支出明细表（基础数据表）'!R46</f>
        <v>0</v>
      </c>
      <c r="S46" s="103">
        <f>'收入支出明细表（基础数据表）'!S46</f>
        <v>0</v>
      </c>
    </row>
    <row r="47" spans="1:19" ht="22.05" customHeight="1" x14ac:dyDescent="0.25">
      <c r="A47" s="204"/>
      <c r="B47" s="209"/>
      <c r="C47" s="236"/>
      <c r="D47" s="79" t="s">
        <v>105</v>
      </c>
      <c r="E47" s="104">
        <f>'收入支出明细表（基础数据表）'!E47</f>
        <v>0</v>
      </c>
      <c r="F47" s="102">
        <f>'收入支出明细表（基础数据表）'!F47</f>
        <v>0</v>
      </c>
      <c r="G47" s="99">
        <f>'收入支出明细表（基础数据表）'!G47</f>
        <v>0</v>
      </c>
      <c r="H47" s="103">
        <f>'收入支出明细表（基础数据表）'!H47</f>
        <v>0</v>
      </c>
      <c r="I47" s="103">
        <f>'收入支出明细表（基础数据表）'!I47</f>
        <v>0</v>
      </c>
      <c r="J47" s="103">
        <f>'收入支出明细表（基础数据表）'!J47</f>
        <v>0</v>
      </c>
      <c r="K47" s="103">
        <f>'收入支出明细表（基础数据表）'!K47</f>
        <v>0</v>
      </c>
      <c r="L47" s="103">
        <f>'收入支出明细表（基础数据表）'!L47</f>
        <v>0</v>
      </c>
      <c r="M47" s="103">
        <f>'收入支出明细表（基础数据表）'!M47</f>
        <v>0</v>
      </c>
      <c r="N47" s="103">
        <f>'收入支出明细表（基础数据表）'!N47</f>
        <v>0</v>
      </c>
      <c r="O47" s="103">
        <f>'收入支出明细表（基础数据表）'!O47</f>
        <v>0</v>
      </c>
      <c r="P47" s="103">
        <f>'收入支出明细表（基础数据表）'!P47</f>
        <v>0</v>
      </c>
      <c r="Q47" s="103">
        <f>'收入支出明细表（基础数据表）'!Q47</f>
        <v>0</v>
      </c>
      <c r="R47" s="103">
        <f>'收入支出明细表（基础数据表）'!R47</f>
        <v>0</v>
      </c>
      <c r="S47" s="103">
        <f>'收入支出明细表（基础数据表）'!S47</f>
        <v>0</v>
      </c>
    </row>
    <row r="48" spans="1:19" ht="22.05" customHeight="1" x14ac:dyDescent="0.25">
      <c r="A48" s="204"/>
      <c r="B48" s="209"/>
      <c r="C48" s="237"/>
      <c r="D48" s="79" t="s">
        <v>106</v>
      </c>
      <c r="E48" s="104">
        <f>'收入支出明细表（基础数据表）'!E48</f>
        <v>0</v>
      </c>
      <c r="F48" s="102">
        <f>'收入支出明细表（基础数据表）'!F48</f>
        <v>0</v>
      </c>
      <c r="G48" s="99">
        <f>'收入支出明细表（基础数据表）'!G48</f>
        <v>0</v>
      </c>
      <c r="H48" s="101" t="e">
        <f>'收入支出明细表（基础数据表）'!H48</f>
        <v>#DIV/0!</v>
      </c>
      <c r="I48" s="101" t="e">
        <f>'收入支出明细表（基础数据表）'!I48</f>
        <v>#DIV/0!</v>
      </c>
      <c r="J48" s="101" t="e">
        <f>'收入支出明细表（基础数据表）'!J48</f>
        <v>#DIV/0!</v>
      </c>
      <c r="K48" s="101" t="e">
        <f>'收入支出明细表（基础数据表）'!K48</f>
        <v>#DIV/0!</v>
      </c>
      <c r="L48" s="101" t="e">
        <f>'收入支出明细表（基础数据表）'!L48</f>
        <v>#DIV/0!</v>
      </c>
      <c r="M48" s="101" t="e">
        <f>'收入支出明细表（基础数据表）'!M48</f>
        <v>#DIV/0!</v>
      </c>
      <c r="N48" s="101" t="e">
        <f>'收入支出明细表（基础数据表）'!N48</f>
        <v>#DIV/0!</v>
      </c>
      <c r="O48" s="101" t="e">
        <f>'收入支出明细表（基础数据表）'!O48</f>
        <v>#DIV/0!</v>
      </c>
      <c r="P48" s="101" t="e">
        <f>'收入支出明细表（基础数据表）'!P48</f>
        <v>#DIV/0!</v>
      </c>
      <c r="Q48" s="101" t="e">
        <f>'收入支出明细表（基础数据表）'!Q48</f>
        <v>#DIV/0!</v>
      </c>
      <c r="R48" s="101" t="e">
        <f>'收入支出明细表（基础数据表）'!R48</f>
        <v>#DIV/0!</v>
      </c>
      <c r="S48" s="101" t="e">
        <f>'收入支出明细表（基础数据表）'!S48</f>
        <v>#DIV/0!</v>
      </c>
    </row>
    <row r="49" spans="1:19" ht="22.05" customHeight="1" x14ac:dyDescent="0.25">
      <c r="A49" s="204"/>
      <c r="B49" s="209"/>
      <c r="C49" s="238" t="s">
        <v>132</v>
      </c>
      <c r="D49" s="79" t="s">
        <v>103</v>
      </c>
      <c r="E49" s="104">
        <f>'收入支出明细表（基础数据表）'!E49</f>
        <v>0</v>
      </c>
      <c r="F49" s="84">
        <f>'收入支出明细表（基础数据表）'!F49</f>
        <v>0.09</v>
      </c>
      <c r="G49" s="99">
        <f>'收入支出明细表（基础数据表）'!G49</f>
        <v>0</v>
      </c>
      <c r="H49" s="103">
        <f>'收入支出明细表（基础数据表）'!H49</f>
        <v>0</v>
      </c>
      <c r="I49" s="103">
        <f>'收入支出明细表（基础数据表）'!I49</f>
        <v>0</v>
      </c>
      <c r="J49" s="103">
        <f>'收入支出明细表（基础数据表）'!J49</f>
        <v>0</v>
      </c>
      <c r="K49" s="103">
        <f>'收入支出明细表（基础数据表）'!K49</f>
        <v>0</v>
      </c>
      <c r="L49" s="103">
        <f>'收入支出明细表（基础数据表）'!L49</f>
        <v>0</v>
      </c>
      <c r="M49" s="103">
        <f>'收入支出明细表（基础数据表）'!M49</f>
        <v>0</v>
      </c>
      <c r="N49" s="103">
        <f>'收入支出明细表（基础数据表）'!N49</f>
        <v>0</v>
      </c>
      <c r="O49" s="103">
        <f>'收入支出明细表（基础数据表）'!O49</f>
        <v>0</v>
      </c>
      <c r="P49" s="103">
        <f>'收入支出明细表（基础数据表）'!P49</f>
        <v>0</v>
      </c>
      <c r="Q49" s="103">
        <f>'收入支出明细表（基础数据表）'!Q49</f>
        <v>0</v>
      </c>
      <c r="R49" s="103">
        <f>'收入支出明细表（基础数据表）'!R49</f>
        <v>0</v>
      </c>
      <c r="S49" s="103">
        <f>'收入支出明细表（基础数据表）'!S49</f>
        <v>0</v>
      </c>
    </row>
    <row r="50" spans="1:19" ht="22.05" customHeight="1" x14ac:dyDescent="0.25">
      <c r="A50" s="204"/>
      <c r="B50" s="209"/>
      <c r="C50" s="239"/>
      <c r="D50" s="79" t="s">
        <v>105</v>
      </c>
      <c r="E50" s="104">
        <f>'收入支出明细表（基础数据表）'!E50</f>
        <v>0</v>
      </c>
      <c r="F50" s="102">
        <f>'收入支出明细表（基础数据表）'!F50</f>
        <v>0</v>
      </c>
      <c r="G50" s="99">
        <f>'收入支出明细表（基础数据表）'!G50</f>
        <v>0</v>
      </c>
      <c r="H50" s="103">
        <f>'收入支出明细表（基础数据表）'!H50</f>
        <v>0</v>
      </c>
      <c r="I50" s="103">
        <f>'收入支出明细表（基础数据表）'!I50</f>
        <v>0</v>
      </c>
      <c r="J50" s="103">
        <f>'收入支出明细表（基础数据表）'!J50</f>
        <v>0</v>
      </c>
      <c r="K50" s="103">
        <f>'收入支出明细表（基础数据表）'!K50</f>
        <v>0</v>
      </c>
      <c r="L50" s="103">
        <f>'收入支出明细表（基础数据表）'!L50</f>
        <v>0</v>
      </c>
      <c r="M50" s="103">
        <f>'收入支出明细表（基础数据表）'!M50</f>
        <v>0</v>
      </c>
      <c r="N50" s="103">
        <f>'收入支出明细表（基础数据表）'!N50</f>
        <v>0</v>
      </c>
      <c r="O50" s="103">
        <f>'收入支出明细表（基础数据表）'!O50</f>
        <v>0</v>
      </c>
      <c r="P50" s="103">
        <f>'收入支出明细表（基础数据表）'!P50</f>
        <v>0</v>
      </c>
      <c r="Q50" s="103">
        <f>'收入支出明细表（基础数据表）'!Q50</f>
        <v>0</v>
      </c>
      <c r="R50" s="103">
        <f>'收入支出明细表（基础数据表）'!R50</f>
        <v>0</v>
      </c>
      <c r="S50" s="103">
        <f>'收入支出明细表（基础数据表）'!S50</f>
        <v>0</v>
      </c>
    </row>
    <row r="51" spans="1:19" ht="22.05" customHeight="1" x14ac:dyDescent="0.25">
      <c r="A51" s="204"/>
      <c r="B51" s="209"/>
      <c r="C51" s="240"/>
      <c r="D51" s="79" t="s">
        <v>106</v>
      </c>
      <c r="E51" s="104">
        <f>'收入支出明细表（基础数据表）'!E51</f>
        <v>0</v>
      </c>
      <c r="F51" s="102">
        <f>'收入支出明细表（基础数据表）'!F51</f>
        <v>0</v>
      </c>
      <c r="G51" s="99">
        <f>'收入支出明细表（基础数据表）'!G51</f>
        <v>0</v>
      </c>
      <c r="H51" s="101" t="e">
        <f>'收入支出明细表（基础数据表）'!H51</f>
        <v>#DIV/0!</v>
      </c>
      <c r="I51" s="101" t="e">
        <f>'收入支出明细表（基础数据表）'!I51</f>
        <v>#DIV/0!</v>
      </c>
      <c r="J51" s="101" t="e">
        <f>'收入支出明细表（基础数据表）'!J51</f>
        <v>#DIV/0!</v>
      </c>
      <c r="K51" s="101" t="e">
        <f>'收入支出明细表（基础数据表）'!K51</f>
        <v>#DIV/0!</v>
      </c>
      <c r="L51" s="101" t="e">
        <f>'收入支出明细表（基础数据表）'!L51</f>
        <v>#DIV/0!</v>
      </c>
      <c r="M51" s="101" t="e">
        <f>'收入支出明细表（基础数据表）'!M51</f>
        <v>#DIV/0!</v>
      </c>
      <c r="N51" s="101" t="e">
        <f>'收入支出明细表（基础数据表）'!N51</f>
        <v>#DIV/0!</v>
      </c>
      <c r="O51" s="101" t="e">
        <f>'收入支出明细表（基础数据表）'!O51</f>
        <v>#DIV/0!</v>
      </c>
      <c r="P51" s="101" t="e">
        <f>'收入支出明细表（基础数据表）'!P51</f>
        <v>#DIV/0!</v>
      </c>
      <c r="Q51" s="101" t="e">
        <f>'收入支出明细表（基础数据表）'!Q51</f>
        <v>#DIV/0!</v>
      </c>
      <c r="R51" s="101" t="e">
        <f>'收入支出明细表（基础数据表）'!R51</f>
        <v>#DIV/0!</v>
      </c>
      <c r="S51" s="101" t="e">
        <f>'收入支出明细表（基础数据表）'!S51</f>
        <v>#DIV/0!</v>
      </c>
    </row>
    <row r="52" spans="1:19" ht="22.05" customHeight="1" x14ac:dyDescent="0.25">
      <c r="A52" s="204"/>
      <c r="B52" s="209"/>
      <c r="C52" s="235" t="s">
        <v>133</v>
      </c>
      <c r="D52" s="79" t="s">
        <v>103</v>
      </c>
      <c r="E52" s="104">
        <f>'收入支出明细表（基础数据表）'!E52</f>
        <v>0</v>
      </c>
      <c r="F52" s="84">
        <f>'收入支出明细表（基础数据表）'!F52</f>
        <v>0.09</v>
      </c>
      <c r="G52" s="99">
        <f>'收入支出明细表（基础数据表）'!G52</f>
        <v>0</v>
      </c>
      <c r="H52" s="103">
        <f>'收入支出明细表（基础数据表）'!H52</f>
        <v>0</v>
      </c>
      <c r="I52" s="103">
        <f>'收入支出明细表（基础数据表）'!I52</f>
        <v>0</v>
      </c>
      <c r="J52" s="103">
        <f>'收入支出明细表（基础数据表）'!J52</f>
        <v>0</v>
      </c>
      <c r="K52" s="103">
        <f>'收入支出明细表（基础数据表）'!K52</f>
        <v>0</v>
      </c>
      <c r="L52" s="103">
        <f>'收入支出明细表（基础数据表）'!L52</f>
        <v>0</v>
      </c>
      <c r="M52" s="103">
        <f>'收入支出明细表（基础数据表）'!M52</f>
        <v>0</v>
      </c>
      <c r="N52" s="103">
        <f>'收入支出明细表（基础数据表）'!N52</f>
        <v>0</v>
      </c>
      <c r="O52" s="103">
        <f>'收入支出明细表（基础数据表）'!O52</f>
        <v>0</v>
      </c>
      <c r="P52" s="103">
        <f>'收入支出明细表（基础数据表）'!P52</f>
        <v>0</v>
      </c>
      <c r="Q52" s="103">
        <f>'收入支出明细表（基础数据表）'!Q52</f>
        <v>0</v>
      </c>
      <c r="R52" s="103">
        <f>'收入支出明细表（基础数据表）'!R52</f>
        <v>0</v>
      </c>
      <c r="S52" s="103">
        <f>'收入支出明细表（基础数据表）'!S52</f>
        <v>0</v>
      </c>
    </row>
    <row r="53" spans="1:19" ht="22.05" customHeight="1" x14ac:dyDescent="0.25">
      <c r="A53" s="204"/>
      <c r="B53" s="209"/>
      <c r="C53" s="236"/>
      <c r="D53" s="79" t="s">
        <v>105</v>
      </c>
      <c r="E53" s="104">
        <f>'收入支出明细表（基础数据表）'!E53</f>
        <v>0</v>
      </c>
      <c r="F53" s="102">
        <f>'收入支出明细表（基础数据表）'!F53</f>
        <v>0</v>
      </c>
      <c r="G53" s="99">
        <f>'收入支出明细表（基础数据表）'!G53</f>
        <v>0</v>
      </c>
      <c r="H53" s="103">
        <f>'收入支出明细表（基础数据表）'!H53</f>
        <v>0</v>
      </c>
      <c r="I53" s="103">
        <f>'收入支出明细表（基础数据表）'!I53</f>
        <v>0</v>
      </c>
      <c r="J53" s="103">
        <f>'收入支出明细表（基础数据表）'!J53</f>
        <v>0</v>
      </c>
      <c r="K53" s="103">
        <f>'收入支出明细表（基础数据表）'!K53</f>
        <v>0</v>
      </c>
      <c r="L53" s="103">
        <f>'收入支出明细表（基础数据表）'!L53</f>
        <v>0</v>
      </c>
      <c r="M53" s="103">
        <f>'收入支出明细表（基础数据表）'!M53</f>
        <v>0</v>
      </c>
      <c r="N53" s="103">
        <f>'收入支出明细表（基础数据表）'!N53</f>
        <v>0</v>
      </c>
      <c r="O53" s="103">
        <f>'收入支出明细表（基础数据表）'!O53</f>
        <v>0</v>
      </c>
      <c r="P53" s="103">
        <f>'收入支出明细表（基础数据表）'!P53</f>
        <v>0</v>
      </c>
      <c r="Q53" s="103">
        <f>'收入支出明细表（基础数据表）'!Q53</f>
        <v>0</v>
      </c>
      <c r="R53" s="103">
        <f>'收入支出明细表（基础数据表）'!R53</f>
        <v>0</v>
      </c>
      <c r="S53" s="103">
        <f>'收入支出明细表（基础数据表）'!S53</f>
        <v>0</v>
      </c>
    </row>
    <row r="54" spans="1:19" ht="22.05" customHeight="1" x14ac:dyDescent="0.25">
      <c r="A54" s="204"/>
      <c r="B54" s="209"/>
      <c r="C54" s="237"/>
      <c r="D54" s="79" t="s">
        <v>106</v>
      </c>
      <c r="E54" s="104">
        <f>'收入支出明细表（基础数据表）'!E54</f>
        <v>0</v>
      </c>
      <c r="F54" s="102">
        <f>'收入支出明细表（基础数据表）'!F54</f>
        <v>0</v>
      </c>
      <c r="G54" s="99">
        <f>'收入支出明细表（基础数据表）'!G54</f>
        <v>0</v>
      </c>
      <c r="H54" s="101" t="e">
        <f>'收入支出明细表（基础数据表）'!H54</f>
        <v>#DIV/0!</v>
      </c>
      <c r="I54" s="101" t="e">
        <f>'收入支出明细表（基础数据表）'!I54</f>
        <v>#DIV/0!</v>
      </c>
      <c r="J54" s="101" t="e">
        <f>'收入支出明细表（基础数据表）'!J54</f>
        <v>#DIV/0!</v>
      </c>
      <c r="K54" s="101" t="e">
        <f>'收入支出明细表（基础数据表）'!K54</f>
        <v>#DIV/0!</v>
      </c>
      <c r="L54" s="101" t="e">
        <f>'收入支出明细表（基础数据表）'!L54</f>
        <v>#DIV/0!</v>
      </c>
      <c r="M54" s="101" t="e">
        <f>'收入支出明细表（基础数据表）'!M54</f>
        <v>#DIV/0!</v>
      </c>
      <c r="N54" s="101" t="e">
        <f>'收入支出明细表（基础数据表）'!N54</f>
        <v>#DIV/0!</v>
      </c>
      <c r="O54" s="101" t="e">
        <f>'收入支出明细表（基础数据表）'!O54</f>
        <v>#DIV/0!</v>
      </c>
      <c r="P54" s="101" t="e">
        <f>'收入支出明细表（基础数据表）'!P54</f>
        <v>#DIV/0!</v>
      </c>
      <c r="Q54" s="101" t="e">
        <f>'收入支出明细表（基础数据表）'!Q54</f>
        <v>#DIV/0!</v>
      </c>
      <c r="R54" s="101" t="e">
        <f>'收入支出明细表（基础数据表）'!R54</f>
        <v>#DIV/0!</v>
      </c>
      <c r="S54" s="101" t="e">
        <f>'收入支出明细表（基础数据表）'!S54</f>
        <v>#DIV/0!</v>
      </c>
    </row>
    <row r="55" spans="1:19" ht="22.05" customHeight="1" x14ac:dyDescent="0.25">
      <c r="A55" s="204"/>
      <c r="B55" s="209"/>
      <c r="C55" s="235" t="s">
        <v>134</v>
      </c>
      <c r="D55" s="79" t="s">
        <v>103</v>
      </c>
      <c r="E55" s="104">
        <f>'收入支出明细表（基础数据表）'!E55</f>
        <v>0</v>
      </c>
      <c r="F55" s="84">
        <f>'收入支出明细表（基础数据表）'!F55</f>
        <v>0.09</v>
      </c>
      <c r="G55" s="99">
        <f>'收入支出明细表（基础数据表）'!G55</f>
        <v>0</v>
      </c>
      <c r="H55" s="103">
        <f>'收入支出明细表（基础数据表）'!H55</f>
        <v>0</v>
      </c>
      <c r="I55" s="103">
        <f>'收入支出明细表（基础数据表）'!I55</f>
        <v>0</v>
      </c>
      <c r="J55" s="103">
        <f>'收入支出明细表（基础数据表）'!J55</f>
        <v>0</v>
      </c>
      <c r="K55" s="103">
        <f>'收入支出明细表（基础数据表）'!K55</f>
        <v>0</v>
      </c>
      <c r="L55" s="103">
        <f>'收入支出明细表（基础数据表）'!L55</f>
        <v>0</v>
      </c>
      <c r="M55" s="103">
        <f>'收入支出明细表（基础数据表）'!M55</f>
        <v>0</v>
      </c>
      <c r="N55" s="103">
        <f>'收入支出明细表（基础数据表）'!N55</f>
        <v>0</v>
      </c>
      <c r="O55" s="103">
        <f>'收入支出明细表（基础数据表）'!O55</f>
        <v>0</v>
      </c>
      <c r="P55" s="103">
        <f>'收入支出明细表（基础数据表）'!P55</f>
        <v>0</v>
      </c>
      <c r="Q55" s="103">
        <f>'收入支出明细表（基础数据表）'!Q55</f>
        <v>0</v>
      </c>
      <c r="R55" s="103">
        <f>'收入支出明细表（基础数据表）'!R55</f>
        <v>0</v>
      </c>
      <c r="S55" s="103">
        <f>'收入支出明细表（基础数据表）'!S55</f>
        <v>0</v>
      </c>
    </row>
    <row r="56" spans="1:19" ht="22.05" customHeight="1" x14ac:dyDescent="0.25">
      <c r="A56" s="204"/>
      <c r="B56" s="209"/>
      <c r="C56" s="236"/>
      <c r="D56" s="79" t="s">
        <v>105</v>
      </c>
      <c r="E56" s="104">
        <f>'收入支出明细表（基础数据表）'!E56</f>
        <v>0</v>
      </c>
      <c r="F56" s="102">
        <f>'收入支出明细表（基础数据表）'!F56</f>
        <v>0</v>
      </c>
      <c r="G56" s="99">
        <f>'收入支出明细表（基础数据表）'!G56</f>
        <v>0</v>
      </c>
      <c r="H56" s="103">
        <f>'收入支出明细表（基础数据表）'!H56</f>
        <v>0</v>
      </c>
      <c r="I56" s="103">
        <f>'收入支出明细表（基础数据表）'!I56</f>
        <v>0</v>
      </c>
      <c r="J56" s="103">
        <f>'收入支出明细表（基础数据表）'!J56</f>
        <v>0</v>
      </c>
      <c r="K56" s="103">
        <f>'收入支出明细表（基础数据表）'!K56</f>
        <v>0</v>
      </c>
      <c r="L56" s="103">
        <f>'收入支出明细表（基础数据表）'!L56</f>
        <v>0</v>
      </c>
      <c r="M56" s="103">
        <f>'收入支出明细表（基础数据表）'!M56</f>
        <v>0</v>
      </c>
      <c r="N56" s="103">
        <f>'收入支出明细表（基础数据表）'!N56</f>
        <v>0</v>
      </c>
      <c r="O56" s="103">
        <f>'收入支出明细表（基础数据表）'!O56</f>
        <v>0</v>
      </c>
      <c r="P56" s="103">
        <f>'收入支出明细表（基础数据表）'!P56</f>
        <v>0</v>
      </c>
      <c r="Q56" s="103">
        <f>'收入支出明细表（基础数据表）'!Q56</f>
        <v>0</v>
      </c>
      <c r="R56" s="103">
        <f>'收入支出明细表（基础数据表）'!R56</f>
        <v>0</v>
      </c>
      <c r="S56" s="103">
        <f>'收入支出明细表（基础数据表）'!S56</f>
        <v>0</v>
      </c>
    </row>
    <row r="57" spans="1:19" ht="22.05" customHeight="1" x14ac:dyDescent="0.25">
      <c r="A57" s="204"/>
      <c r="B57" s="209"/>
      <c r="C57" s="237"/>
      <c r="D57" s="79" t="s">
        <v>106</v>
      </c>
      <c r="E57" s="104">
        <f>'收入支出明细表（基础数据表）'!E57</f>
        <v>0</v>
      </c>
      <c r="F57" s="102">
        <f>'收入支出明细表（基础数据表）'!F57</f>
        <v>0</v>
      </c>
      <c r="G57" s="99">
        <f>'收入支出明细表（基础数据表）'!G57</f>
        <v>0</v>
      </c>
      <c r="H57" s="101" t="e">
        <f>'收入支出明细表（基础数据表）'!H57</f>
        <v>#DIV/0!</v>
      </c>
      <c r="I57" s="101" t="e">
        <f>'收入支出明细表（基础数据表）'!I57</f>
        <v>#DIV/0!</v>
      </c>
      <c r="J57" s="101" t="e">
        <f>'收入支出明细表（基础数据表）'!J57</f>
        <v>#DIV/0!</v>
      </c>
      <c r="K57" s="101" t="e">
        <f>'收入支出明细表（基础数据表）'!K57</f>
        <v>#DIV/0!</v>
      </c>
      <c r="L57" s="101" t="e">
        <f>'收入支出明细表（基础数据表）'!L57</f>
        <v>#DIV/0!</v>
      </c>
      <c r="M57" s="101" t="e">
        <f>'收入支出明细表（基础数据表）'!M57</f>
        <v>#DIV/0!</v>
      </c>
      <c r="N57" s="101" t="e">
        <f>'收入支出明细表（基础数据表）'!N57</f>
        <v>#DIV/0!</v>
      </c>
      <c r="O57" s="101" t="e">
        <f>'收入支出明细表（基础数据表）'!O57</f>
        <v>#DIV/0!</v>
      </c>
      <c r="P57" s="101" t="e">
        <f>'收入支出明细表（基础数据表）'!P57</f>
        <v>#DIV/0!</v>
      </c>
      <c r="Q57" s="101" t="e">
        <f>'收入支出明细表（基础数据表）'!Q57</f>
        <v>#DIV/0!</v>
      </c>
      <c r="R57" s="101" t="e">
        <f>'收入支出明细表（基础数据表）'!R57</f>
        <v>#DIV/0!</v>
      </c>
      <c r="S57" s="101" t="e">
        <f>'收入支出明细表（基础数据表）'!S57</f>
        <v>#DIV/0!</v>
      </c>
    </row>
    <row r="58" spans="1:19" ht="22.05" customHeight="1" x14ac:dyDescent="0.25">
      <c r="A58" s="204"/>
      <c r="B58" s="209"/>
      <c r="C58" s="105" t="s">
        <v>125</v>
      </c>
      <c r="D58" s="86"/>
      <c r="E58" s="104">
        <f>'收入支出明细表（基础数据表）'!E58</f>
        <v>0</v>
      </c>
      <c r="F58" s="102">
        <f>'收入支出明细表（基础数据表）'!F58</f>
        <v>0</v>
      </c>
      <c r="G58" s="99">
        <f>'收入支出明细表（基础数据表）'!G58</f>
        <v>0</v>
      </c>
      <c r="H58" s="103">
        <f>'收入支出明细表（基础数据表）'!H58</f>
        <v>0</v>
      </c>
      <c r="I58" s="103">
        <f>'收入支出明细表（基础数据表）'!I58</f>
        <v>0</v>
      </c>
      <c r="J58" s="103">
        <f>'收入支出明细表（基础数据表）'!J58</f>
        <v>0</v>
      </c>
      <c r="K58" s="103">
        <f>'收入支出明细表（基础数据表）'!K58</f>
        <v>0</v>
      </c>
      <c r="L58" s="103">
        <f>'收入支出明细表（基础数据表）'!L58</f>
        <v>0</v>
      </c>
      <c r="M58" s="103">
        <f>'收入支出明细表（基础数据表）'!M58</f>
        <v>0</v>
      </c>
      <c r="N58" s="103">
        <f>'收入支出明细表（基础数据表）'!N58</f>
        <v>0</v>
      </c>
      <c r="O58" s="103">
        <f>'收入支出明细表（基础数据表）'!O58</f>
        <v>0</v>
      </c>
      <c r="P58" s="103">
        <f>'收入支出明细表（基础数据表）'!P58</f>
        <v>0</v>
      </c>
      <c r="Q58" s="103">
        <f>'收入支出明细表（基础数据表）'!Q58</f>
        <v>0</v>
      </c>
      <c r="R58" s="103">
        <f>'收入支出明细表（基础数据表）'!R58</f>
        <v>0</v>
      </c>
      <c r="S58" s="103">
        <f>'收入支出明细表（基础数据表）'!S58</f>
        <v>0</v>
      </c>
    </row>
    <row r="59" spans="1:19" ht="22.05" customHeight="1" x14ac:dyDescent="0.25">
      <c r="A59" s="204"/>
      <c r="B59" s="209"/>
      <c r="C59" s="105"/>
      <c r="D59" s="86"/>
      <c r="E59" s="104">
        <f>'收入支出明细表（基础数据表）'!E59</f>
        <v>0</v>
      </c>
      <c r="F59" s="102">
        <f>'收入支出明细表（基础数据表）'!F59</f>
        <v>0</v>
      </c>
      <c r="G59" s="99">
        <f>'收入支出明细表（基础数据表）'!G59</f>
        <v>0</v>
      </c>
      <c r="H59" s="103">
        <f>'收入支出明细表（基础数据表）'!H59</f>
        <v>0</v>
      </c>
      <c r="I59" s="103">
        <f>'收入支出明细表（基础数据表）'!I59</f>
        <v>0</v>
      </c>
      <c r="J59" s="103">
        <f>'收入支出明细表（基础数据表）'!J59</f>
        <v>0</v>
      </c>
      <c r="K59" s="103">
        <f>'收入支出明细表（基础数据表）'!K59</f>
        <v>0</v>
      </c>
      <c r="L59" s="103">
        <f>'收入支出明细表（基础数据表）'!L59</f>
        <v>0</v>
      </c>
      <c r="M59" s="103">
        <f>'收入支出明细表（基础数据表）'!M59</f>
        <v>0</v>
      </c>
      <c r="N59" s="103">
        <f>'收入支出明细表（基础数据表）'!N59</f>
        <v>0</v>
      </c>
      <c r="O59" s="103">
        <f>'收入支出明细表（基础数据表）'!O59</f>
        <v>0</v>
      </c>
      <c r="P59" s="103">
        <f>'收入支出明细表（基础数据表）'!P59</f>
        <v>0</v>
      </c>
      <c r="Q59" s="103">
        <f>'收入支出明细表（基础数据表）'!Q59</f>
        <v>0</v>
      </c>
      <c r="R59" s="103">
        <f>'收入支出明细表（基础数据表）'!R59</f>
        <v>0</v>
      </c>
      <c r="S59" s="103">
        <f>'收入支出明细表（基础数据表）'!S59</f>
        <v>0</v>
      </c>
    </row>
    <row r="60" spans="1:19" ht="22.05" customHeight="1" x14ac:dyDescent="0.25">
      <c r="A60" s="204"/>
      <c r="B60" s="209"/>
      <c r="C60" s="105"/>
      <c r="D60" s="86"/>
      <c r="E60" s="104">
        <f>'收入支出明细表（基础数据表）'!E60</f>
        <v>0</v>
      </c>
      <c r="F60" s="102">
        <f>'收入支出明细表（基础数据表）'!F60</f>
        <v>0</v>
      </c>
      <c r="G60" s="99">
        <f>'收入支出明细表（基础数据表）'!G60</f>
        <v>0</v>
      </c>
      <c r="H60" s="103">
        <f>'收入支出明细表（基础数据表）'!H60</f>
        <v>0</v>
      </c>
      <c r="I60" s="103">
        <f>'收入支出明细表（基础数据表）'!I60</f>
        <v>0</v>
      </c>
      <c r="J60" s="103">
        <f>'收入支出明细表（基础数据表）'!J60</f>
        <v>0</v>
      </c>
      <c r="K60" s="103">
        <f>'收入支出明细表（基础数据表）'!K60</f>
        <v>0</v>
      </c>
      <c r="L60" s="103">
        <f>'收入支出明细表（基础数据表）'!L60</f>
        <v>0</v>
      </c>
      <c r="M60" s="103">
        <f>'收入支出明细表（基础数据表）'!M60</f>
        <v>0</v>
      </c>
      <c r="N60" s="103">
        <f>'收入支出明细表（基础数据表）'!N60</f>
        <v>0</v>
      </c>
      <c r="O60" s="103">
        <f>'收入支出明细表（基础数据表）'!O60</f>
        <v>0</v>
      </c>
      <c r="P60" s="103">
        <f>'收入支出明细表（基础数据表）'!P60</f>
        <v>0</v>
      </c>
      <c r="Q60" s="103">
        <f>'收入支出明细表（基础数据表）'!Q60</f>
        <v>0</v>
      </c>
      <c r="R60" s="103">
        <f>'收入支出明细表（基础数据表）'!R60</f>
        <v>0</v>
      </c>
      <c r="S60" s="103">
        <f>'收入支出明细表（基础数据表）'!S60</f>
        <v>0</v>
      </c>
    </row>
    <row r="61" spans="1:19" ht="22.05" customHeight="1" x14ac:dyDescent="0.25">
      <c r="A61" s="204"/>
      <c r="B61" s="209"/>
      <c r="C61" s="235" t="s">
        <v>135</v>
      </c>
      <c r="D61" s="79" t="s">
        <v>103</v>
      </c>
      <c r="E61" s="104">
        <f>'收入支出明细表（基础数据表）'!E61</f>
        <v>0</v>
      </c>
      <c r="F61" s="102">
        <f>'收入支出明细表（基础数据表）'!F61</f>
        <v>0</v>
      </c>
      <c r="G61" s="99">
        <f>'收入支出明细表（基础数据表）'!G61</f>
        <v>0</v>
      </c>
      <c r="H61" s="103">
        <f>'收入支出明细表（基础数据表）'!H61</f>
        <v>0</v>
      </c>
      <c r="I61" s="103">
        <f>'收入支出明细表（基础数据表）'!I61</f>
        <v>0</v>
      </c>
      <c r="J61" s="103">
        <f>'收入支出明细表（基础数据表）'!J61</f>
        <v>0</v>
      </c>
      <c r="K61" s="103">
        <f>'收入支出明细表（基础数据表）'!K61</f>
        <v>0</v>
      </c>
      <c r="L61" s="103">
        <f>'收入支出明细表（基础数据表）'!L61</f>
        <v>0</v>
      </c>
      <c r="M61" s="103">
        <f>'收入支出明细表（基础数据表）'!M61</f>
        <v>0</v>
      </c>
      <c r="N61" s="103">
        <f>'收入支出明细表（基础数据表）'!N61</f>
        <v>0</v>
      </c>
      <c r="O61" s="103">
        <f>'收入支出明细表（基础数据表）'!O61</f>
        <v>0</v>
      </c>
      <c r="P61" s="103">
        <f>'收入支出明细表（基础数据表）'!P61</f>
        <v>0</v>
      </c>
      <c r="Q61" s="103">
        <f>'收入支出明细表（基础数据表）'!Q61</f>
        <v>0</v>
      </c>
      <c r="R61" s="103">
        <f>'收入支出明细表（基础数据表）'!R61</f>
        <v>0</v>
      </c>
      <c r="S61" s="103">
        <f>'收入支出明细表（基础数据表）'!S61</f>
        <v>0</v>
      </c>
    </row>
    <row r="62" spans="1:19" ht="22.05" customHeight="1" x14ac:dyDescent="0.25">
      <c r="A62" s="204"/>
      <c r="B62" s="209"/>
      <c r="C62" s="236"/>
      <c r="D62" s="79" t="s">
        <v>105</v>
      </c>
      <c r="E62" s="104">
        <f>'收入支出明细表（基础数据表）'!E62</f>
        <v>0</v>
      </c>
      <c r="F62" s="102">
        <f>'收入支出明细表（基础数据表）'!F62</f>
        <v>0</v>
      </c>
      <c r="G62" s="99">
        <f>'收入支出明细表（基础数据表）'!G62</f>
        <v>0</v>
      </c>
      <c r="H62" s="103">
        <f>'收入支出明细表（基础数据表）'!H62</f>
        <v>0</v>
      </c>
      <c r="I62" s="103">
        <f>'收入支出明细表（基础数据表）'!I62</f>
        <v>0</v>
      </c>
      <c r="J62" s="103">
        <f>'收入支出明细表（基础数据表）'!J62</f>
        <v>0</v>
      </c>
      <c r="K62" s="103">
        <f>'收入支出明细表（基础数据表）'!K62</f>
        <v>0</v>
      </c>
      <c r="L62" s="103">
        <f>'收入支出明细表（基础数据表）'!L62</f>
        <v>0</v>
      </c>
      <c r="M62" s="103">
        <f>'收入支出明细表（基础数据表）'!M62</f>
        <v>0</v>
      </c>
      <c r="N62" s="103">
        <f>'收入支出明细表（基础数据表）'!N62</f>
        <v>0</v>
      </c>
      <c r="O62" s="103">
        <f>'收入支出明细表（基础数据表）'!O62</f>
        <v>0</v>
      </c>
      <c r="P62" s="103">
        <f>'收入支出明细表（基础数据表）'!P62</f>
        <v>0</v>
      </c>
      <c r="Q62" s="103">
        <f>'收入支出明细表（基础数据表）'!Q62</f>
        <v>0</v>
      </c>
      <c r="R62" s="103">
        <f>'收入支出明细表（基础数据表）'!R62</f>
        <v>0</v>
      </c>
      <c r="S62" s="103">
        <f>'收入支出明细表（基础数据表）'!S62</f>
        <v>0</v>
      </c>
    </row>
    <row r="63" spans="1:19" ht="22.05" customHeight="1" x14ac:dyDescent="0.25">
      <c r="A63" s="204"/>
      <c r="B63" s="209"/>
      <c r="C63" s="237"/>
      <c r="D63" s="79" t="s">
        <v>106</v>
      </c>
      <c r="E63" s="104">
        <f>'收入支出明细表（基础数据表）'!E63</f>
        <v>0</v>
      </c>
      <c r="F63" s="102">
        <f>'收入支出明细表（基础数据表）'!F63</f>
        <v>0</v>
      </c>
      <c r="G63" s="99">
        <f>'收入支出明细表（基础数据表）'!G63</f>
        <v>0</v>
      </c>
      <c r="H63" s="101" t="e">
        <f>'收入支出明细表（基础数据表）'!H63</f>
        <v>#DIV/0!</v>
      </c>
      <c r="I63" s="101" t="e">
        <f>'收入支出明细表（基础数据表）'!I63</f>
        <v>#DIV/0!</v>
      </c>
      <c r="J63" s="101" t="e">
        <f>'收入支出明细表（基础数据表）'!J63</f>
        <v>#DIV/0!</v>
      </c>
      <c r="K63" s="101" t="e">
        <f>'收入支出明细表（基础数据表）'!K63</f>
        <v>#DIV/0!</v>
      </c>
      <c r="L63" s="101" t="e">
        <f>'收入支出明细表（基础数据表）'!L63</f>
        <v>#DIV/0!</v>
      </c>
      <c r="M63" s="101" t="e">
        <f>'收入支出明细表（基础数据表）'!M63</f>
        <v>#DIV/0!</v>
      </c>
      <c r="N63" s="101" t="e">
        <f>'收入支出明细表（基础数据表）'!N63</f>
        <v>#DIV/0!</v>
      </c>
      <c r="O63" s="101" t="e">
        <f>'收入支出明细表（基础数据表）'!O63</f>
        <v>#DIV/0!</v>
      </c>
      <c r="P63" s="101" t="e">
        <f>'收入支出明细表（基础数据表）'!P63</f>
        <v>#DIV/0!</v>
      </c>
      <c r="Q63" s="101" t="e">
        <f>'收入支出明细表（基础数据表）'!Q63</f>
        <v>#DIV/0!</v>
      </c>
      <c r="R63" s="101" t="e">
        <f>'收入支出明细表（基础数据表）'!R63</f>
        <v>#DIV/0!</v>
      </c>
      <c r="S63" s="101" t="e">
        <f>'收入支出明细表（基础数据表）'!S63</f>
        <v>#DIV/0!</v>
      </c>
    </row>
    <row r="64" spans="1:19" ht="22.05" customHeight="1" x14ac:dyDescent="0.25">
      <c r="A64" s="204"/>
      <c r="B64" s="209"/>
      <c r="C64" s="229" t="s">
        <v>137</v>
      </c>
      <c r="D64" s="79" t="s">
        <v>103</v>
      </c>
      <c r="E64" s="104">
        <f>'收入支出明细表（基础数据表）'!E64</f>
        <v>0</v>
      </c>
      <c r="F64" s="84">
        <f>'收入支出明细表（基础数据表）'!F64</f>
        <v>0.06</v>
      </c>
      <c r="G64" s="99">
        <f>'收入支出明细表（基础数据表）'!G64</f>
        <v>0</v>
      </c>
      <c r="H64" s="103">
        <f>'收入支出明细表（基础数据表）'!H64</f>
        <v>0</v>
      </c>
      <c r="I64" s="103">
        <f>'收入支出明细表（基础数据表）'!I64</f>
        <v>0</v>
      </c>
      <c r="J64" s="103">
        <f>'收入支出明细表（基础数据表）'!J64</f>
        <v>0</v>
      </c>
      <c r="K64" s="103">
        <f>'收入支出明细表（基础数据表）'!K64</f>
        <v>0</v>
      </c>
      <c r="L64" s="103">
        <f>'收入支出明细表（基础数据表）'!L64</f>
        <v>0</v>
      </c>
      <c r="M64" s="103">
        <f>'收入支出明细表（基础数据表）'!M64</f>
        <v>0</v>
      </c>
      <c r="N64" s="103">
        <f>'收入支出明细表（基础数据表）'!N64</f>
        <v>0</v>
      </c>
      <c r="O64" s="103">
        <f>'收入支出明细表（基础数据表）'!O64</f>
        <v>0</v>
      </c>
      <c r="P64" s="103">
        <f>'收入支出明细表（基础数据表）'!P64</f>
        <v>0</v>
      </c>
      <c r="Q64" s="103">
        <f>'收入支出明细表（基础数据表）'!Q64</f>
        <v>0</v>
      </c>
      <c r="R64" s="103">
        <f>'收入支出明细表（基础数据表）'!R64</f>
        <v>0</v>
      </c>
      <c r="S64" s="103">
        <f>'收入支出明细表（基础数据表）'!S64</f>
        <v>0</v>
      </c>
    </row>
    <row r="65" spans="1:19" ht="22.05" customHeight="1" x14ac:dyDescent="0.25">
      <c r="A65" s="204"/>
      <c r="B65" s="209"/>
      <c r="C65" s="230"/>
      <c r="D65" s="79" t="s">
        <v>105</v>
      </c>
      <c r="E65" s="104">
        <f>'收入支出明细表（基础数据表）'!E65</f>
        <v>0</v>
      </c>
      <c r="F65" s="102">
        <f>'收入支出明细表（基础数据表）'!F65</f>
        <v>0</v>
      </c>
      <c r="G65" s="99">
        <f>'收入支出明细表（基础数据表）'!G65</f>
        <v>0</v>
      </c>
      <c r="H65" s="103">
        <f>'收入支出明细表（基础数据表）'!H65</f>
        <v>0</v>
      </c>
      <c r="I65" s="103">
        <f>'收入支出明细表（基础数据表）'!I65</f>
        <v>0</v>
      </c>
      <c r="J65" s="103">
        <f>'收入支出明细表（基础数据表）'!J65</f>
        <v>0</v>
      </c>
      <c r="K65" s="103">
        <f>'收入支出明细表（基础数据表）'!K65</f>
        <v>0</v>
      </c>
      <c r="L65" s="103">
        <f>'收入支出明细表（基础数据表）'!L65</f>
        <v>0</v>
      </c>
      <c r="M65" s="103">
        <f>'收入支出明细表（基础数据表）'!M65</f>
        <v>0</v>
      </c>
      <c r="N65" s="103">
        <f>'收入支出明细表（基础数据表）'!N65</f>
        <v>0</v>
      </c>
      <c r="O65" s="103">
        <f>'收入支出明细表（基础数据表）'!O65</f>
        <v>0</v>
      </c>
      <c r="P65" s="103">
        <f>'收入支出明细表（基础数据表）'!P65</f>
        <v>0</v>
      </c>
      <c r="Q65" s="103">
        <f>'收入支出明细表（基础数据表）'!Q65</f>
        <v>0</v>
      </c>
      <c r="R65" s="103">
        <f>'收入支出明细表（基础数据表）'!R65</f>
        <v>0</v>
      </c>
      <c r="S65" s="103">
        <f>'收入支出明细表（基础数据表）'!S65</f>
        <v>0</v>
      </c>
    </row>
    <row r="66" spans="1:19" ht="22.05" customHeight="1" x14ac:dyDescent="0.25">
      <c r="A66" s="204"/>
      <c r="B66" s="209"/>
      <c r="C66" s="231"/>
      <c r="D66" s="79" t="s">
        <v>106</v>
      </c>
      <c r="E66" s="104">
        <f>'收入支出明细表（基础数据表）'!E66</f>
        <v>0</v>
      </c>
      <c r="F66" s="102">
        <f>'收入支出明细表（基础数据表）'!F66</f>
        <v>0</v>
      </c>
      <c r="G66" s="99">
        <f>'收入支出明细表（基础数据表）'!G66</f>
        <v>0</v>
      </c>
      <c r="H66" s="101" t="e">
        <f>'收入支出明细表（基础数据表）'!H66</f>
        <v>#DIV/0!</v>
      </c>
      <c r="I66" s="101" t="e">
        <f>'收入支出明细表（基础数据表）'!I66</f>
        <v>#DIV/0!</v>
      </c>
      <c r="J66" s="101" t="e">
        <f>'收入支出明细表（基础数据表）'!J66</f>
        <v>#DIV/0!</v>
      </c>
      <c r="K66" s="101" t="e">
        <f>'收入支出明细表（基础数据表）'!K66</f>
        <v>#DIV/0!</v>
      </c>
      <c r="L66" s="101" t="e">
        <f>'收入支出明细表（基础数据表）'!L66</f>
        <v>#DIV/0!</v>
      </c>
      <c r="M66" s="101" t="e">
        <f>'收入支出明细表（基础数据表）'!M66</f>
        <v>#DIV/0!</v>
      </c>
      <c r="N66" s="101" t="e">
        <f>'收入支出明细表（基础数据表）'!N66</f>
        <v>#DIV/0!</v>
      </c>
      <c r="O66" s="101" t="e">
        <f>'收入支出明细表（基础数据表）'!O66</f>
        <v>#DIV/0!</v>
      </c>
      <c r="P66" s="101" t="e">
        <f>'收入支出明细表（基础数据表）'!P66</f>
        <v>#DIV/0!</v>
      </c>
      <c r="Q66" s="101" t="e">
        <f>'收入支出明细表（基础数据表）'!Q66</f>
        <v>#DIV/0!</v>
      </c>
      <c r="R66" s="101" t="e">
        <f>'收入支出明细表（基础数据表）'!R66</f>
        <v>#DIV/0!</v>
      </c>
      <c r="S66" s="101" t="e">
        <f>'收入支出明细表（基础数据表）'!S66</f>
        <v>#DIV/0!</v>
      </c>
    </row>
    <row r="67" spans="1:19" ht="22.05" customHeight="1" x14ac:dyDescent="0.25">
      <c r="A67" s="204"/>
      <c r="B67" s="209"/>
      <c r="C67" s="229" t="s">
        <v>138</v>
      </c>
      <c r="D67" s="79" t="s">
        <v>103</v>
      </c>
      <c r="E67" s="104">
        <f>'收入支出明细表（基础数据表）'!E67</f>
        <v>0</v>
      </c>
      <c r="F67" s="84">
        <f>'收入支出明细表（基础数据表）'!F67</f>
        <v>0.06</v>
      </c>
      <c r="G67" s="99">
        <f>'收入支出明细表（基础数据表）'!G67</f>
        <v>0</v>
      </c>
      <c r="H67" s="103">
        <f>'收入支出明细表（基础数据表）'!H67</f>
        <v>0</v>
      </c>
      <c r="I67" s="103">
        <f>'收入支出明细表（基础数据表）'!I67</f>
        <v>0</v>
      </c>
      <c r="J67" s="103">
        <f>'收入支出明细表（基础数据表）'!J67</f>
        <v>0</v>
      </c>
      <c r="K67" s="103">
        <f>'收入支出明细表（基础数据表）'!K67</f>
        <v>0</v>
      </c>
      <c r="L67" s="103">
        <f>'收入支出明细表（基础数据表）'!L67</f>
        <v>0</v>
      </c>
      <c r="M67" s="103">
        <f>'收入支出明细表（基础数据表）'!M67</f>
        <v>0</v>
      </c>
      <c r="N67" s="103">
        <f>'收入支出明细表（基础数据表）'!N67</f>
        <v>0</v>
      </c>
      <c r="O67" s="103">
        <f>'收入支出明细表（基础数据表）'!O67</f>
        <v>0</v>
      </c>
      <c r="P67" s="103">
        <f>'收入支出明细表（基础数据表）'!P67</f>
        <v>0</v>
      </c>
      <c r="Q67" s="103">
        <f>'收入支出明细表（基础数据表）'!Q67</f>
        <v>0</v>
      </c>
      <c r="R67" s="103">
        <f>'收入支出明细表（基础数据表）'!R67</f>
        <v>0</v>
      </c>
      <c r="S67" s="103">
        <f>'收入支出明细表（基础数据表）'!S67</f>
        <v>0</v>
      </c>
    </row>
    <row r="68" spans="1:19" ht="22.05" customHeight="1" x14ac:dyDescent="0.25">
      <c r="A68" s="204"/>
      <c r="B68" s="209"/>
      <c r="C68" s="230"/>
      <c r="D68" s="79" t="s">
        <v>105</v>
      </c>
      <c r="E68" s="104">
        <f>'收入支出明细表（基础数据表）'!E68</f>
        <v>0</v>
      </c>
      <c r="F68" s="102">
        <f>'收入支出明细表（基础数据表）'!F68</f>
        <v>0</v>
      </c>
      <c r="G68" s="99">
        <f>'收入支出明细表（基础数据表）'!G68</f>
        <v>0</v>
      </c>
      <c r="H68" s="103">
        <f>'收入支出明细表（基础数据表）'!H68</f>
        <v>0</v>
      </c>
      <c r="I68" s="103">
        <f>'收入支出明细表（基础数据表）'!I68</f>
        <v>0</v>
      </c>
      <c r="J68" s="103">
        <f>'收入支出明细表（基础数据表）'!J68</f>
        <v>0</v>
      </c>
      <c r="K68" s="103">
        <f>'收入支出明细表（基础数据表）'!K68</f>
        <v>0</v>
      </c>
      <c r="L68" s="103">
        <f>'收入支出明细表（基础数据表）'!L68</f>
        <v>0</v>
      </c>
      <c r="M68" s="103">
        <f>'收入支出明细表（基础数据表）'!M68</f>
        <v>0</v>
      </c>
      <c r="N68" s="103">
        <f>'收入支出明细表（基础数据表）'!N68</f>
        <v>0</v>
      </c>
      <c r="O68" s="103">
        <f>'收入支出明细表（基础数据表）'!O68</f>
        <v>0</v>
      </c>
      <c r="P68" s="103">
        <f>'收入支出明细表（基础数据表）'!P68</f>
        <v>0</v>
      </c>
      <c r="Q68" s="103">
        <f>'收入支出明细表（基础数据表）'!Q68</f>
        <v>0</v>
      </c>
      <c r="R68" s="103">
        <f>'收入支出明细表（基础数据表）'!R68</f>
        <v>0</v>
      </c>
      <c r="S68" s="103">
        <f>'收入支出明细表（基础数据表）'!S68</f>
        <v>0</v>
      </c>
    </row>
    <row r="69" spans="1:19" ht="22.05" customHeight="1" x14ac:dyDescent="0.25">
      <c r="A69" s="204"/>
      <c r="B69" s="209"/>
      <c r="C69" s="231"/>
      <c r="D69" s="79" t="s">
        <v>106</v>
      </c>
      <c r="E69" s="104">
        <f>'收入支出明细表（基础数据表）'!E69</f>
        <v>0</v>
      </c>
      <c r="F69" s="102">
        <f>'收入支出明细表（基础数据表）'!F69</f>
        <v>0</v>
      </c>
      <c r="G69" s="99">
        <f>'收入支出明细表（基础数据表）'!G69</f>
        <v>0</v>
      </c>
      <c r="H69" s="101" t="e">
        <f>'收入支出明细表（基础数据表）'!H69</f>
        <v>#DIV/0!</v>
      </c>
      <c r="I69" s="101" t="e">
        <f>'收入支出明细表（基础数据表）'!I69</f>
        <v>#DIV/0!</v>
      </c>
      <c r="J69" s="101" t="e">
        <f>'收入支出明细表（基础数据表）'!J69</f>
        <v>#DIV/0!</v>
      </c>
      <c r="K69" s="101" t="e">
        <f>'收入支出明细表（基础数据表）'!K69</f>
        <v>#DIV/0!</v>
      </c>
      <c r="L69" s="101" t="e">
        <f>'收入支出明细表（基础数据表）'!L69</f>
        <v>#DIV/0!</v>
      </c>
      <c r="M69" s="101" t="e">
        <f>'收入支出明细表（基础数据表）'!M69</f>
        <v>#DIV/0!</v>
      </c>
      <c r="N69" s="101" t="e">
        <f>'收入支出明细表（基础数据表）'!N69</f>
        <v>#DIV/0!</v>
      </c>
      <c r="O69" s="101" t="e">
        <f>'收入支出明细表（基础数据表）'!O69</f>
        <v>#DIV/0!</v>
      </c>
      <c r="P69" s="101" t="e">
        <f>'收入支出明细表（基础数据表）'!P69</f>
        <v>#DIV/0!</v>
      </c>
      <c r="Q69" s="101" t="e">
        <f>'收入支出明细表（基础数据表）'!Q69</f>
        <v>#DIV/0!</v>
      </c>
      <c r="R69" s="101" t="e">
        <f>'收入支出明细表（基础数据表）'!R69</f>
        <v>#DIV/0!</v>
      </c>
      <c r="S69" s="101" t="e">
        <f>'收入支出明细表（基础数据表）'!S69</f>
        <v>#DIV/0!</v>
      </c>
    </row>
    <row r="70" spans="1:19" ht="22.05" customHeight="1" x14ac:dyDescent="0.25">
      <c r="A70" s="204"/>
      <c r="B70" s="209"/>
      <c r="C70" s="241" t="s">
        <v>139</v>
      </c>
      <c r="D70" s="79" t="s">
        <v>103</v>
      </c>
      <c r="E70" s="104">
        <f>'收入支出明细表（基础数据表）'!E70</f>
        <v>0</v>
      </c>
      <c r="F70" s="84">
        <f>'收入支出明细表（基础数据表）'!F70</f>
        <v>0.06</v>
      </c>
      <c r="G70" s="99">
        <f>'收入支出明细表（基础数据表）'!G70</f>
        <v>0</v>
      </c>
      <c r="H70" s="103">
        <f>'收入支出明细表（基础数据表）'!H70</f>
        <v>0</v>
      </c>
      <c r="I70" s="103">
        <f>'收入支出明细表（基础数据表）'!I70</f>
        <v>0</v>
      </c>
      <c r="J70" s="103">
        <f>'收入支出明细表（基础数据表）'!J70</f>
        <v>0</v>
      </c>
      <c r="K70" s="103">
        <f>'收入支出明细表（基础数据表）'!K70</f>
        <v>0</v>
      </c>
      <c r="L70" s="103">
        <f>'收入支出明细表（基础数据表）'!L70</f>
        <v>0</v>
      </c>
      <c r="M70" s="103">
        <f>'收入支出明细表（基础数据表）'!M70</f>
        <v>0</v>
      </c>
      <c r="N70" s="103">
        <f>'收入支出明细表（基础数据表）'!N70</f>
        <v>0</v>
      </c>
      <c r="O70" s="103">
        <f>'收入支出明细表（基础数据表）'!O70</f>
        <v>0</v>
      </c>
      <c r="P70" s="103">
        <f>'收入支出明细表（基础数据表）'!P70</f>
        <v>0</v>
      </c>
      <c r="Q70" s="103">
        <f>'收入支出明细表（基础数据表）'!Q70</f>
        <v>0</v>
      </c>
      <c r="R70" s="103">
        <f>'收入支出明细表（基础数据表）'!R70</f>
        <v>0</v>
      </c>
      <c r="S70" s="103">
        <f>'收入支出明细表（基础数据表）'!S70</f>
        <v>0</v>
      </c>
    </row>
    <row r="71" spans="1:19" ht="22.05" customHeight="1" x14ac:dyDescent="0.25">
      <c r="A71" s="204"/>
      <c r="B71" s="209"/>
      <c r="C71" s="242"/>
      <c r="D71" s="79" t="s">
        <v>105</v>
      </c>
      <c r="E71" s="108">
        <f>'收入支出明细表（基础数据表）'!E71</f>
        <v>0</v>
      </c>
      <c r="F71" s="102">
        <f>'收入支出明细表（基础数据表）'!F71</f>
        <v>0</v>
      </c>
      <c r="G71" s="99">
        <f>'收入支出明细表（基础数据表）'!G71</f>
        <v>0</v>
      </c>
      <c r="H71" s="103">
        <f>'收入支出明细表（基础数据表）'!H71</f>
        <v>0</v>
      </c>
      <c r="I71" s="103">
        <f>'收入支出明细表（基础数据表）'!I71</f>
        <v>0</v>
      </c>
      <c r="J71" s="103">
        <f>'收入支出明细表（基础数据表）'!J71</f>
        <v>0</v>
      </c>
      <c r="K71" s="103">
        <f>'收入支出明细表（基础数据表）'!K71</f>
        <v>0</v>
      </c>
      <c r="L71" s="103">
        <f>'收入支出明细表（基础数据表）'!L71</f>
        <v>0</v>
      </c>
      <c r="M71" s="103">
        <f>'收入支出明细表（基础数据表）'!M71</f>
        <v>0</v>
      </c>
      <c r="N71" s="103">
        <f>'收入支出明细表（基础数据表）'!N71</f>
        <v>0</v>
      </c>
      <c r="O71" s="103">
        <f>'收入支出明细表（基础数据表）'!O71</f>
        <v>0</v>
      </c>
      <c r="P71" s="103">
        <f>'收入支出明细表（基础数据表）'!P71</f>
        <v>0</v>
      </c>
      <c r="Q71" s="103">
        <f>'收入支出明细表（基础数据表）'!Q71</f>
        <v>0</v>
      </c>
      <c r="R71" s="103">
        <f>'收入支出明细表（基础数据表）'!R71</f>
        <v>0</v>
      </c>
      <c r="S71" s="103">
        <f>'收入支出明细表（基础数据表）'!S71</f>
        <v>0</v>
      </c>
    </row>
    <row r="72" spans="1:19" ht="22.05" customHeight="1" x14ac:dyDescent="0.25">
      <c r="A72" s="204"/>
      <c r="B72" s="209"/>
      <c r="C72" s="243"/>
      <c r="D72" s="79" t="s">
        <v>106</v>
      </c>
      <c r="E72" s="108">
        <f>'收入支出明细表（基础数据表）'!E72</f>
        <v>0</v>
      </c>
      <c r="F72" s="102">
        <f>'收入支出明细表（基础数据表）'!F72</f>
        <v>0</v>
      </c>
      <c r="G72" s="99">
        <f>'收入支出明细表（基础数据表）'!G72</f>
        <v>0</v>
      </c>
      <c r="H72" s="101" t="e">
        <f>'收入支出明细表（基础数据表）'!H72</f>
        <v>#DIV/0!</v>
      </c>
      <c r="I72" s="101" t="e">
        <f>'收入支出明细表（基础数据表）'!I72</f>
        <v>#DIV/0!</v>
      </c>
      <c r="J72" s="101" t="e">
        <f>'收入支出明细表（基础数据表）'!J72</f>
        <v>#DIV/0!</v>
      </c>
      <c r="K72" s="101" t="e">
        <f>'收入支出明细表（基础数据表）'!K72</f>
        <v>#DIV/0!</v>
      </c>
      <c r="L72" s="101" t="e">
        <f>'收入支出明细表（基础数据表）'!L72</f>
        <v>#DIV/0!</v>
      </c>
      <c r="M72" s="101" t="e">
        <f>'收入支出明细表（基础数据表）'!M72</f>
        <v>#DIV/0!</v>
      </c>
      <c r="N72" s="101" t="e">
        <f>'收入支出明细表（基础数据表）'!N72</f>
        <v>#DIV/0!</v>
      </c>
      <c r="O72" s="101" t="e">
        <f>'收入支出明细表（基础数据表）'!O72</f>
        <v>#DIV/0!</v>
      </c>
      <c r="P72" s="101" t="e">
        <f>'收入支出明细表（基础数据表）'!P72</f>
        <v>#DIV/0!</v>
      </c>
      <c r="Q72" s="101" t="e">
        <f>'收入支出明细表（基础数据表）'!Q72</f>
        <v>#DIV/0!</v>
      </c>
      <c r="R72" s="101" t="e">
        <f>'收入支出明细表（基础数据表）'!R72</f>
        <v>#DIV/0!</v>
      </c>
      <c r="S72" s="101" t="e">
        <f>'收入支出明细表（基础数据表）'!S72</f>
        <v>#DIV/0!</v>
      </c>
    </row>
    <row r="73" spans="1:19" ht="22.05" customHeight="1" x14ac:dyDescent="0.25">
      <c r="A73" s="204"/>
      <c r="B73" s="209"/>
      <c r="C73" s="241" t="s">
        <v>140</v>
      </c>
      <c r="D73" s="79" t="s">
        <v>103</v>
      </c>
      <c r="E73" s="108">
        <f>'收入支出明细表（基础数据表）'!E73</f>
        <v>0</v>
      </c>
      <c r="F73" s="84">
        <f>'收入支出明细表（基础数据表）'!F73</f>
        <v>0.06</v>
      </c>
      <c r="G73" s="99">
        <f>'收入支出明细表（基础数据表）'!G73</f>
        <v>0</v>
      </c>
      <c r="H73" s="103">
        <f>'收入支出明细表（基础数据表）'!H73</f>
        <v>0</v>
      </c>
      <c r="I73" s="103">
        <f>'收入支出明细表（基础数据表）'!I73</f>
        <v>0</v>
      </c>
      <c r="J73" s="103">
        <f>'收入支出明细表（基础数据表）'!J73</f>
        <v>0</v>
      </c>
      <c r="K73" s="103">
        <f>'收入支出明细表（基础数据表）'!K73</f>
        <v>0</v>
      </c>
      <c r="L73" s="103">
        <f>'收入支出明细表（基础数据表）'!L73</f>
        <v>0</v>
      </c>
      <c r="M73" s="103">
        <f>'收入支出明细表（基础数据表）'!M73</f>
        <v>0</v>
      </c>
      <c r="N73" s="103">
        <f>'收入支出明细表（基础数据表）'!N73</f>
        <v>0</v>
      </c>
      <c r="O73" s="103">
        <f>'收入支出明细表（基础数据表）'!O73</f>
        <v>0</v>
      </c>
      <c r="P73" s="103">
        <f>'收入支出明细表（基础数据表）'!P73</f>
        <v>0</v>
      </c>
      <c r="Q73" s="103">
        <f>'收入支出明细表（基础数据表）'!Q73</f>
        <v>0</v>
      </c>
      <c r="R73" s="103">
        <f>'收入支出明细表（基础数据表）'!R73</f>
        <v>0</v>
      </c>
      <c r="S73" s="103">
        <f>'收入支出明细表（基础数据表）'!S73</f>
        <v>0</v>
      </c>
    </row>
    <row r="74" spans="1:19" ht="22.05" customHeight="1" x14ac:dyDescent="0.25">
      <c r="A74" s="204"/>
      <c r="B74" s="209"/>
      <c r="C74" s="242"/>
      <c r="D74" s="79" t="s">
        <v>105</v>
      </c>
      <c r="E74" s="108">
        <f>'收入支出明细表（基础数据表）'!E74</f>
        <v>0</v>
      </c>
      <c r="F74" s="102">
        <f>'收入支出明细表（基础数据表）'!F74</f>
        <v>0</v>
      </c>
      <c r="G74" s="99">
        <f>'收入支出明细表（基础数据表）'!G74</f>
        <v>0</v>
      </c>
      <c r="H74" s="103">
        <f>'收入支出明细表（基础数据表）'!H74</f>
        <v>0</v>
      </c>
      <c r="I74" s="103">
        <f>'收入支出明细表（基础数据表）'!I74</f>
        <v>0</v>
      </c>
      <c r="J74" s="103">
        <f>'收入支出明细表（基础数据表）'!J74</f>
        <v>0</v>
      </c>
      <c r="K74" s="103">
        <f>'收入支出明细表（基础数据表）'!K74</f>
        <v>0</v>
      </c>
      <c r="L74" s="103">
        <f>'收入支出明细表（基础数据表）'!L74</f>
        <v>0</v>
      </c>
      <c r="M74" s="103">
        <f>'收入支出明细表（基础数据表）'!M74</f>
        <v>0</v>
      </c>
      <c r="N74" s="103">
        <f>'收入支出明细表（基础数据表）'!N74</f>
        <v>0</v>
      </c>
      <c r="O74" s="103">
        <f>'收入支出明细表（基础数据表）'!O74</f>
        <v>0</v>
      </c>
      <c r="P74" s="103">
        <f>'收入支出明细表（基础数据表）'!P74</f>
        <v>0</v>
      </c>
      <c r="Q74" s="103">
        <f>'收入支出明细表（基础数据表）'!Q74</f>
        <v>0</v>
      </c>
      <c r="R74" s="103">
        <f>'收入支出明细表（基础数据表）'!R74</f>
        <v>0</v>
      </c>
      <c r="S74" s="103">
        <f>'收入支出明细表（基础数据表）'!S74</f>
        <v>0</v>
      </c>
    </row>
    <row r="75" spans="1:19" ht="22.05" customHeight="1" x14ac:dyDescent="0.25">
      <c r="A75" s="204"/>
      <c r="B75" s="209"/>
      <c r="C75" s="243"/>
      <c r="D75" s="79" t="s">
        <v>106</v>
      </c>
      <c r="E75" s="108">
        <f>'收入支出明细表（基础数据表）'!E75</f>
        <v>0</v>
      </c>
      <c r="F75" s="102">
        <f>'收入支出明细表（基础数据表）'!F75</f>
        <v>0</v>
      </c>
      <c r="G75" s="99">
        <f>'收入支出明细表（基础数据表）'!G75</f>
        <v>0</v>
      </c>
      <c r="H75" s="101" t="e">
        <f>'收入支出明细表（基础数据表）'!H75</f>
        <v>#DIV/0!</v>
      </c>
      <c r="I75" s="101" t="e">
        <f>'收入支出明细表（基础数据表）'!I75</f>
        <v>#DIV/0!</v>
      </c>
      <c r="J75" s="101" t="e">
        <f>'收入支出明细表（基础数据表）'!J75</f>
        <v>#DIV/0!</v>
      </c>
      <c r="K75" s="101" t="e">
        <f>'收入支出明细表（基础数据表）'!K75</f>
        <v>#DIV/0!</v>
      </c>
      <c r="L75" s="101" t="e">
        <f>'收入支出明细表（基础数据表）'!L75</f>
        <v>#DIV/0!</v>
      </c>
      <c r="M75" s="101" t="e">
        <f>'收入支出明细表（基础数据表）'!M75</f>
        <v>#DIV/0!</v>
      </c>
      <c r="N75" s="101" t="e">
        <f>'收入支出明细表（基础数据表）'!N75</f>
        <v>#DIV/0!</v>
      </c>
      <c r="O75" s="101" t="e">
        <f>'收入支出明细表（基础数据表）'!O75</f>
        <v>#DIV/0!</v>
      </c>
      <c r="P75" s="101" t="e">
        <f>'收入支出明细表（基础数据表）'!P75</f>
        <v>#DIV/0!</v>
      </c>
      <c r="Q75" s="101" t="e">
        <f>'收入支出明细表（基础数据表）'!Q75</f>
        <v>#DIV/0!</v>
      </c>
      <c r="R75" s="101" t="e">
        <f>'收入支出明细表（基础数据表）'!R75</f>
        <v>#DIV/0!</v>
      </c>
      <c r="S75" s="101" t="e">
        <f>'收入支出明细表（基础数据表）'!S75</f>
        <v>#DIV/0!</v>
      </c>
    </row>
    <row r="76" spans="1:19" ht="22.05" customHeight="1" x14ac:dyDescent="0.25">
      <c r="A76" s="204"/>
      <c r="B76" s="209"/>
      <c r="C76" s="241" t="s">
        <v>141</v>
      </c>
      <c r="D76" s="79" t="s">
        <v>103</v>
      </c>
      <c r="E76" s="108">
        <f>'收入支出明细表（基础数据表）'!E76</f>
        <v>0</v>
      </c>
      <c r="F76" s="84">
        <f>'收入支出明细表（基础数据表）'!F76</f>
        <v>0.06</v>
      </c>
      <c r="G76" s="99">
        <f>'收入支出明细表（基础数据表）'!G76</f>
        <v>0</v>
      </c>
      <c r="H76" s="103">
        <f>'收入支出明细表（基础数据表）'!H76</f>
        <v>0</v>
      </c>
      <c r="I76" s="103">
        <f>'收入支出明细表（基础数据表）'!I76</f>
        <v>0</v>
      </c>
      <c r="J76" s="103">
        <f>'收入支出明细表（基础数据表）'!J76</f>
        <v>0</v>
      </c>
      <c r="K76" s="103">
        <f>'收入支出明细表（基础数据表）'!K76</f>
        <v>0</v>
      </c>
      <c r="L76" s="103">
        <f>'收入支出明细表（基础数据表）'!L76</f>
        <v>0</v>
      </c>
      <c r="M76" s="103">
        <f>'收入支出明细表（基础数据表）'!M76</f>
        <v>0</v>
      </c>
      <c r="N76" s="103">
        <f>'收入支出明细表（基础数据表）'!N76</f>
        <v>0</v>
      </c>
      <c r="O76" s="103">
        <f>'收入支出明细表（基础数据表）'!O76</f>
        <v>0</v>
      </c>
      <c r="P76" s="103">
        <f>'收入支出明细表（基础数据表）'!P76</f>
        <v>0</v>
      </c>
      <c r="Q76" s="103">
        <f>'收入支出明细表（基础数据表）'!Q76</f>
        <v>0</v>
      </c>
      <c r="R76" s="103">
        <f>'收入支出明细表（基础数据表）'!R76</f>
        <v>0</v>
      </c>
      <c r="S76" s="103">
        <f>'收入支出明细表（基础数据表）'!S76</f>
        <v>0</v>
      </c>
    </row>
    <row r="77" spans="1:19" ht="22.05" customHeight="1" x14ac:dyDescent="0.25">
      <c r="A77" s="204"/>
      <c r="B77" s="209"/>
      <c r="C77" s="242"/>
      <c r="D77" s="79" t="s">
        <v>105</v>
      </c>
      <c r="E77" s="108">
        <f>'收入支出明细表（基础数据表）'!E77</f>
        <v>0</v>
      </c>
      <c r="F77" s="102">
        <f>'收入支出明细表（基础数据表）'!F77</f>
        <v>0</v>
      </c>
      <c r="G77" s="99">
        <f>'收入支出明细表（基础数据表）'!G77</f>
        <v>0</v>
      </c>
      <c r="H77" s="103">
        <f>'收入支出明细表（基础数据表）'!H77</f>
        <v>0</v>
      </c>
      <c r="I77" s="103">
        <f>'收入支出明细表（基础数据表）'!I77</f>
        <v>0</v>
      </c>
      <c r="J77" s="103">
        <f>'收入支出明细表（基础数据表）'!J77</f>
        <v>0</v>
      </c>
      <c r="K77" s="103">
        <f>'收入支出明细表（基础数据表）'!K77</f>
        <v>0</v>
      </c>
      <c r="L77" s="103">
        <f>'收入支出明细表（基础数据表）'!L77</f>
        <v>0</v>
      </c>
      <c r="M77" s="103">
        <f>'收入支出明细表（基础数据表）'!M77</f>
        <v>0</v>
      </c>
      <c r="N77" s="103">
        <f>'收入支出明细表（基础数据表）'!N77</f>
        <v>0</v>
      </c>
      <c r="O77" s="103">
        <f>'收入支出明细表（基础数据表）'!O77</f>
        <v>0</v>
      </c>
      <c r="P77" s="103">
        <f>'收入支出明细表（基础数据表）'!P77</f>
        <v>0</v>
      </c>
      <c r="Q77" s="103">
        <f>'收入支出明细表（基础数据表）'!Q77</f>
        <v>0</v>
      </c>
      <c r="R77" s="103">
        <f>'收入支出明细表（基础数据表）'!R77</f>
        <v>0</v>
      </c>
      <c r="S77" s="103">
        <f>'收入支出明细表（基础数据表）'!S77</f>
        <v>0</v>
      </c>
    </row>
    <row r="78" spans="1:19" ht="22.05" customHeight="1" x14ac:dyDescent="0.25">
      <c r="A78" s="204"/>
      <c r="B78" s="209"/>
      <c r="C78" s="243"/>
      <c r="D78" s="79" t="s">
        <v>106</v>
      </c>
      <c r="E78" s="108">
        <f>'收入支出明细表（基础数据表）'!E78</f>
        <v>0</v>
      </c>
      <c r="F78" s="102">
        <f>'收入支出明细表（基础数据表）'!F78</f>
        <v>0</v>
      </c>
      <c r="G78" s="99">
        <f>'收入支出明细表（基础数据表）'!G78</f>
        <v>0</v>
      </c>
      <c r="H78" s="101" t="e">
        <f>'收入支出明细表（基础数据表）'!H78</f>
        <v>#DIV/0!</v>
      </c>
      <c r="I78" s="101" t="e">
        <f>'收入支出明细表（基础数据表）'!I78</f>
        <v>#DIV/0!</v>
      </c>
      <c r="J78" s="101" t="e">
        <f>'收入支出明细表（基础数据表）'!J78</f>
        <v>#DIV/0!</v>
      </c>
      <c r="K78" s="101" t="e">
        <f>'收入支出明细表（基础数据表）'!K78</f>
        <v>#DIV/0!</v>
      </c>
      <c r="L78" s="101" t="e">
        <f>'收入支出明细表（基础数据表）'!L78</f>
        <v>#DIV/0!</v>
      </c>
      <c r="M78" s="101" t="e">
        <f>'收入支出明细表（基础数据表）'!M78</f>
        <v>#DIV/0!</v>
      </c>
      <c r="N78" s="101" t="e">
        <f>'收入支出明细表（基础数据表）'!N78</f>
        <v>#DIV/0!</v>
      </c>
      <c r="O78" s="101" t="e">
        <f>'收入支出明细表（基础数据表）'!O78</f>
        <v>#DIV/0!</v>
      </c>
      <c r="P78" s="101" t="e">
        <f>'收入支出明细表（基础数据表）'!P78</f>
        <v>#DIV/0!</v>
      </c>
      <c r="Q78" s="101" t="e">
        <f>'收入支出明细表（基础数据表）'!Q78</f>
        <v>#DIV/0!</v>
      </c>
      <c r="R78" s="101" t="e">
        <f>'收入支出明细表（基础数据表）'!R78</f>
        <v>#DIV/0!</v>
      </c>
      <c r="S78" s="101" t="e">
        <f>'收入支出明细表（基础数据表）'!S78</f>
        <v>#DIV/0!</v>
      </c>
    </row>
    <row r="79" spans="1:19" ht="22.05" customHeight="1" x14ac:dyDescent="0.25">
      <c r="A79" s="204"/>
      <c r="B79" s="209"/>
      <c r="C79" s="241" t="s">
        <v>142</v>
      </c>
      <c r="D79" s="79" t="s">
        <v>103</v>
      </c>
      <c r="E79" s="108">
        <f>'收入支出明细表（基础数据表）'!E79</f>
        <v>0</v>
      </c>
      <c r="F79" s="84">
        <f>'收入支出明细表（基础数据表）'!F79</f>
        <v>0.06</v>
      </c>
      <c r="G79" s="99">
        <f>'收入支出明细表（基础数据表）'!G79</f>
        <v>0</v>
      </c>
      <c r="H79" s="103">
        <f>'收入支出明细表（基础数据表）'!H79</f>
        <v>0</v>
      </c>
      <c r="I79" s="103">
        <f>'收入支出明细表（基础数据表）'!I79</f>
        <v>0</v>
      </c>
      <c r="J79" s="103">
        <f>'收入支出明细表（基础数据表）'!J79</f>
        <v>0</v>
      </c>
      <c r="K79" s="103">
        <f>'收入支出明细表（基础数据表）'!K79</f>
        <v>0</v>
      </c>
      <c r="L79" s="103">
        <f>'收入支出明细表（基础数据表）'!L79</f>
        <v>0</v>
      </c>
      <c r="M79" s="103">
        <f>'收入支出明细表（基础数据表）'!M79</f>
        <v>0</v>
      </c>
      <c r="N79" s="103">
        <f>'收入支出明细表（基础数据表）'!N79</f>
        <v>0</v>
      </c>
      <c r="O79" s="103">
        <f>'收入支出明细表（基础数据表）'!O79</f>
        <v>0</v>
      </c>
      <c r="P79" s="103">
        <f>'收入支出明细表（基础数据表）'!P79</f>
        <v>0</v>
      </c>
      <c r="Q79" s="103">
        <f>'收入支出明细表（基础数据表）'!Q79</f>
        <v>0</v>
      </c>
      <c r="R79" s="103">
        <f>'收入支出明细表（基础数据表）'!R79</f>
        <v>0</v>
      </c>
      <c r="S79" s="103">
        <f>'收入支出明细表（基础数据表）'!S79</f>
        <v>0</v>
      </c>
    </row>
    <row r="80" spans="1:19" ht="22.05" customHeight="1" x14ac:dyDescent="0.25">
      <c r="A80" s="204"/>
      <c r="B80" s="209"/>
      <c r="C80" s="242"/>
      <c r="D80" s="79" t="s">
        <v>105</v>
      </c>
      <c r="E80" s="108">
        <f>'收入支出明细表（基础数据表）'!E80</f>
        <v>0</v>
      </c>
      <c r="F80" s="102">
        <f>'收入支出明细表（基础数据表）'!F80</f>
        <v>0</v>
      </c>
      <c r="G80" s="99">
        <f>'收入支出明细表（基础数据表）'!G80</f>
        <v>0</v>
      </c>
      <c r="H80" s="103">
        <f>'收入支出明细表（基础数据表）'!H80</f>
        <v>0</v>
      </c>
      <c r="I80" s="103">
        <f>'收入支出明细表（基础数据表）'!I80</f>
        <v>0</v>
      </c>
      <c r="J80" s="103">
        <f>'收入支出明细表（基础数据表）'!J80</f>
        <v>0</v>
      </c>
      <c r="K80" s="103">
        <f>'收入支出明细表（基础数据表）'!K80</f>
        <v>0</v>
      </c>
      <c r="L80" s="103">
        <f>'收入支出明细表（基础数据表）'!L80</f>
        <v>0</v>
      </c>
      <c r="M80" s="103">
        <f>'收入支出明细表（基础数据表）'!M80</f>
        <v>0</v>
      </c>
      <c r="N80" s="103">
        <f>'收入支出明细表（基础数据表）'!N80</f>
        <v>0</v>
      </c>
      <c r="O80" s="103">
        <f>'收入支出明细表（基础数据表）'!O80</f>
        <v>0</v>
      </c>
      <c r="P80" s="103">
        <f>'收入支出明细表（基础数据表）'!P80</f>
        <v>0</v>
      </c>
      <c r="Q80" s="103">
        <f>'收入支出明细表（基础数据表）'!Q80</f>
        <v>0</v>
      </c>
      <c r="R80" s="103">
        <f>'收入支出明细表（基础数据表）'!R80</f>
        <v>0</v>
      </c>
      <c r="S80" s="103">
        <f>'收入支出明细表（基础数据表）'!S80</f>
        <v>0</v>
      </c>
    </row>
    <row r="81" spans="1:19" ht="22.05" customHeight="1" x14ac:dyDescent="0.25">
      <c r="A81" s="204"/>
      <c r="B81" s="209"/>
      <c r="C81" s="243"/>
      <c r="D81" s="79" t="s">
        <v>106</v>
      </c>
      <c r="E81" s="108">
        <f>'收入支出明细表（基础数据表）'!E81</f>
        <v>0</v>
      </c>
      <c r="F81" s="102">
        <f>'收入支出明细表（基础数据表）'!F81</f>
        <v>0</v>
      </c>
      <c r="G81" s="99">
        <f>'收入支出明细表（基础数据表）'!G81</f>
        <v>0</v>
      </c>
      <c r="H81" s="101" t="e">
        <f>'收入支出明细表（基础数据表）'!H81</f>
        <v>#DIV/0!</v>
      </c>
      <c r="I81" s="101" t="e">
        <f>'收入支出明细表（基础数据表）'!I81</f>
        <v>#DIV/0!</v>
      </c>
      <c r="J81" s="101" t="e">
        <f>'收入支出明细表（基础数据表）'!J81</f>
        <v>#DIV/0!</v>
      </c>
      <c r="K81" s="101" t="e">
        <f>'收入支出明细表（基础数据表）'!K81</f>
        <v>#DIV/0!</v>
      </c>
      <c r="L81" s="101" t="e">
        <f>'收入支出明细表（基础数据表）'!L81</f>
        <v>#DIV/0!</v>
      </c>
      <c r="M81" s="101" t="e">
        <f>'收入支出明细表（基础数据表）'!M81</f>
        <v>#DIV/0!</v>
      </c>
      <c r="N81" s="101" t="e">
        <f>'收入支出明细表（基础数据表）'!N81</f>
        <v>#DIV/0!</v>
      </c>
      <c r="O81" s="101" t="e">
        <f>'收入支出明细表（基础数据表）'!O81</f>
        <v>#DIV/0!</v>
      </c>
      <c r="P81" s="101" t="e">
        <f>'收入支出明细表（基础数据表）'!P81</f>
        <v>#DIV/0!</v>
      </c>
      <c r="Q81" s="101" t="e">
        <f>'收入支出明细表（基础数据表）'!Q81</f>
        <v>#DIV/0!</v>
      </c>
      <c r="R81" s="101" t="e">
        <f>'收入支出明细表（基础数据表）'!R81</f>
        <v>#DIV/0!</v>
      </c>
      <c r="S81" s="101" t="e">
        <f>'收入支出明细表（基础数据表）'!S81</f>
        <v>#DIV/0!</v>
      </c>
    </row>
    <row r="82" spans="1:19" ht="22.05" customHeight="1" x14ac:dyDescent="0.25">
      <c r="A82" s="204"/>
      <c r="B82" s="209"/>
      <c r="C82" s="241" t="s">
        <v>143</v>
      </c>
      <c r="D82" s="79" t="s">
        <v>103</v>
      </c>
      <c r="E82" s="108">
        <f>'收入支出明细表（基础数据表）'!E82</f>
        <v>0</v>
      </c>
      <c r="F82" s="84">
        <f>'收入支出明细表（基础数据表）'!F82</f>
        <v>0.06</v>
      </c>
      <c r="G82" s="99">
        <f>'收入支出明细表（基础数据表）'!G82</f>
        <v>0</v>
      </c>
      <c r="H82" s="103">
        <f>'收入支出明细表（基础数据表）'!H82</f>
        <v>0</v>
      </c>
      <c r="I82" s="103">
        <f>'收入支出明细表（基础数据表）'!I82</f>
        <v>0</v>
      </c>
      <c r="J82" s="103">
        <f>'收入支出明细表（基础数据表）'!J82</f>
        <v>0</v>
      </c>
      <c r="K82" s="103">
        <f>'收入支出明细表（基础数据表）'!K82</f>
        <v>0</v>
      </c>
      <c r="L82" s="103">
        <f>'收入支出明细表（基础数据表）'!L82</f>
        <v>0</v>
      </c>
      <c r="M82" s="103">
        <f>'收入支出明细表（基础数据表）'!M82</f>
        <v>0</v>
      </c>
      <c r="N82" s="103">
        <f>'收入支出明细表（基础数据表）'!N82</f>
        <v>0</v>
      </c>
      <c r="O82" s="103">
        <f>'收入支出明细表（基础数据表）'!O82</f>
        <v>0</v>
      </c>
      <c r="P82" s="103">
        <f>'收入支出明细表（基础数据表）'!P82</f>
        <v>0</v>
      </c>
      <c r="Q82" s="103">
        <f>'收入支出明细表（基础数据表）'!Q82</f>
        <v>0</v>
      </c>
      <c r="R82" s="103">
        <f>'收入支出明细表（基础数据表）'!R82</f>
        <v>0</v>
      </c>
      <c r="S82" s="103">
        <f>'收入支出明细表（基础数据表）'!S82</f>
        <v>0</v>
      </c>
    </row>
    <row r="83" spans="1:19" ht="22.05" customHeight="1" x14ac:dyDescent="0.25">
      <c r="A83" s="204"/>
      <c r="B83" s="209"/>
      <c r="C83" s="242"/>
      <c r="D83" s="79" t="s">
        <v>105</v>
      </c>
      <c r="E83" s="108">
        <f>'收入支出明细表（基础数据表）'!E83</f>
        <v>0</v>
      </c>
      <c r="F83" s="102">
        <f>'收入支出明细表（基础数据表）'!F83</f>
        <v>0</v>
      </c>
      <c r="G83" s="99">
        <f>'收入支出明细表（基础数据表）'!G83</f>
        <v>0</v>
      </c>
      <c r="H83" s="103">
        <f>'收入支出明细表（基础数据表）'!H83</f>
        <v>0</v>
      </c>
      <c r="I83" s="103">
        <f>'收入支出明细表（基础数据表）'!I83</f>
        <v>0</v>
      </c>
      <c r="J83" s="103">
        <f>'收入支出明细表（基础数据表）'!J83</f>
        <v>0</v>
      </c>
      <c r="K83" s="103">
        <f>'收入支出明细表（基础数据表）'!K83</f>
        <v>0</v>
      </c>
      <c r="L83" s="103">
        <f>'收入支出明细表（基础数据表）'!L83</f>
        <v>0</v>
      </c>
      <c r="M83" s="103">
        <f>'收入支出明细表（基础数据表）'!M83</f>
        <v>0</v>
      </c>
      <c r="N83" s="103">
        <f>'收入支出明细表（基础数据表）'!N83</f>
        <v>0</v>
      </c>
      <c r="O83" s="103">
        <f>'收入支出明细表（基础数据表）'!O83</f>
        <v>0</v>
      </c>
      <c r="P83" s="103">
        <f>'收入支出明细表（基础数据表）'!P83</f>
        <v>0</v>
      </c>
      <c r="Q83" s="103">
        <f>'收入支出明细表（基础数据表）'!Q83</f>
        <v>0</v>
      </c>
      <c r="R83" s="103">
        <f>'收入支出明细表（基础数据表）'!R83</f>
        <v>0</v>
      </c>
      <c r="S83" s="103">
        <f>'收入支出明细表（基础数据表）'!S83</f>
        <v>0</v>
      </c>
    </row>
    <row r="84" spans="1:19" ht="22.05" customHeight="1" x14ac:dyDescent="0.25">
      <c r="A84" s="204"/>
      <c r="B84" s="209"/>
      <c r="C84" s="243"/>
      <c r="D84" s="79" t="s">
        <v>106</v>
      </c>
      <c r="E84" s="108">
        <f>'收入支出明细表（基础数据表）'!E84</f>
        <v>0</v>
      </c>
      <c r="F84" s="102">
        <f>'收入支出明细表（基础数据表）'!F84</f>
        <v>0</v>
      </c>
      <c r="G84" s="99">
        <f>'收入支出明细表（基础数据表）'!G84</f>
        <v>0</v>
      </c>
      <c r="H84" s="101" t="e">
        <f>'收入支出明细表（基础数据表）'!H84</f>
        <v>#DIV/0!</v>
      </c>
      <c r="I84" s="101" t="e">
        <f>'收入支出明细表（基础数据表）'!I84</f>
        <v>#DIV/0!</v>
      </c>
      <c r="J84" s="101" t="e">
        <f>'收入支出明细表（基础数据表）'!J84</f>
        <v>#DIV/0!</v>
      </c>
      <c r="K84" s="101" t="e">
        <f>'收入支出明细表（基础数据表）'!K84</f>
        <v>#DIV/0!</v>
      </c>
      <c r="L84" s="101" t="e">
        <f>'收入支出明细表（基础数据表）'!L84</f>
        <v>#DIV/0!</v>
      </c>
      <c r="M84" s="101" t="e">
        <f>'收入支出明细表（基础数据表）'!M84</f>
        <v>#DIV/0!</v>
      </c>
      <c r="N84" s="101" t="e">
        <f>'收入支出明细表（基础数据表）'!N84</f>
        <v>#DIV/0!</v>
      </c>
      <c r="O84" s="101" t="e">
        <f>'收入支出明细表（基础数据表）'!O84</f>
        <v>#DIV/0!</v>
      </c>
      <c r="P84" s="101" t="e">
        <f>'收入支出明细表（基础数据表）'!P84</f>
        <v>#DIV/0!</v>
      </c>
      <c r="Q84" s="101" t="e">
        <f>'收入支出明细表（基础数据表）'!Q84</f>
        <v>#DIV/0!</v>
      </c>
      <c r="R84" s="101" t="e">
        <f>'收入支出明细表（基础数据表）'!R84</f>
        <v>#DIV/0!</v>
      </c>
      <c r="S84" s="101" t="e">
        <f>'收入支出明细表（基础数据表）'!S84</f>
        <v>#DIV/0!</v>
      </c>
    </row>
    <row r="85" spans="1:19" ht="22.05" customHeight="1" x14ac:dyDescent="0.25">
      <c r="A85" s="204"/>
      <c r="B85" s="209"/>
      <c r="C85" s="241" t="s">
        <v>144</v>
      </c>
      <c r="D85" s="79" t="s">
        <v>103</v>
      </c>
      <c r="E85" s="108">
        <f>'收入支出明细表（基础数据表）'!E85</f>
        <v>0</v>
      </c>
      <c r="F85" s="84">
        <f>'收入支出明细表（基础数据表）'!F85</f>
        <v>0.06</v>
      </c>
      <c r="G85" s="99">
        <f>'收入支出明细表（基础数据表）'!G85</f>
        <v>0</v>
      </c>
      <c r="H85" s="103">
        <f>'收入支出明细表（基础数据表）'!H85</f>
        <v>0</v>
      </c>
      <c r="I85" s="103">
        <f>'收入支出明细表（基础数据表）'!I85</f>
        <v>0</v>
      </c>
      <c r="J85" s="103">
        <f>'收入支出明细表（基础数据表）'!J85</f>
        <v>0</v>
      </c>
      <c r="K85" s="103">
        <f>'收入支出明细表（基础数据表）'!K85</f>
        <v>0</v>
      </c>
      <c r="L85" s="103">
        <f>'收入支出明细表（基础数据表）'!L85</f>
        <v>0</v>
      </c>
      <c r="M85" s="103">
        <f>'收入支出明细表（基础数据表）'!M85</f>
        <v>0</v>
      </c>
      <c r="N85" s="103">
        <f>'收入支出明细表（基础数据表）'!N85</f>
        <v>0</v>
      </c>
      <c r="O85" s="103">
        <f>'收入支出明细表（基础数据表）'!O85</f>
        <v>0</v>
      </c>
      <c r="P85" s="103">
        <f>'收入支出明细表（基础数据表）'!P85</f>
        <v>0</v>
      </c>
      <c r="Q85" s="103">
        <f>'收入支出明细表（基础数据表）'!Q85</f>
        <v>0</v>
      </c>
      <c r="R85" s="103">
        <f>'收入支出明细表（基础数据表）'!R85</f>
        <v>0</v>
      </c>
      <c r="S85" s="103">
        <f>'收入支出明细表（基础数据表）'!S85</f>
        <v>0</v>
      </c>
    </row>
    <row r="86" spans="1:19" ht="22.05" customHeight="1" x14ac:dyDescent="0.25">
      <c r="A86" s="204"/>
      <c r="B86" s="209"/>
      <c r="C86" s="242"/>
      <c r="D86" s="79" t="s">
        <v>105</v>
      </c>
      <c r="E86" s="108">
        <f>'收入支出明细表（基础数据表）'!E86</f>
        <v>0</v>
      </c>
      <c r="F86" s="102">
        <f>'收入支出明细表（基础数据表）'!F86</f>
        <v>0</v>
      </c>
      <c r="G86" s="99">
        <f>'收入支出明细表（基础数据表）'!G86</f>
        <v>0</v>
      </c>
      <c r="H86" s="103">
        <f>'收入支出明细表（基础数据表）'!H86</f>
        <v>0</v>
      </c>
      <c r="I86" s="103">
        <f>'收入支出明细表（基础数据表）'!I86</f>
        <v>0</v>
      </c>
      <c r="J86" s="103">
        <f>'收入支出明细表（基础数据表）'!J86</f>
        <v>0</v>
      </c>
      <c r="K86" s="103">
        <f>'收入支出明细表（基础数据表）'!K86</f>
        <v>0</v>
      </c>
      <c r="L86" s="103">
        <f>'收入支出明细表（基础数据表）'!L86</f>
        <v>0</v>
      </c>
      <c r="M86" s="103">
        <f>'收入支出明细表（基础数据表）'!M86</f>
        <v>0</v>
      </c>
      <c r="N86" s="103">
        <f>'收入支出明细表（基础数据表）'!N86</f>
        <v>0</v>
      </c>
      <c r="O86" s="103">
        <f>'收入支出明细表（基础数据表）'!O86</f>
        <v>0</v>
      </c>
      <c r="P86" s="103">
        <f>'收入支出明细表（基础数据表）'!P86</f>
        <v>0</v>
      </c>
      <c r="Q86" s="103">
        <f>'收入支出明细表（基础数据表）'!Q86</f>
        <v>0</v>
      </c>
      <c r="R86" s="103">
        <f>'收入支出明细表（基础数据表）'!R86</f>
        <v>0</v>
      </c>
      <c r="S86" s="103">
        <f>'收入支出明细表（基础数据表）'!S86</f>
        <v>0</v>
      </c>
    </row>
    <row r="87" spans="1:19" ht="22.05" customHeight="1" x14ac:dyDescent="0.25">
      <c r="A87" s="204"/>
      <c r="B87" s="209"/>
      <c r="C87" s="243"/>
      <c r="D87" s="79" t="s">
        <v>106</v>
      </c>
      <c r="E87" s="108">
        <f>'收入支出明细表（基础数据表）'!E87</f>
        <v>0</v>
      </c>
      <c r="F87" s="102">
        <f>'收入支出明细表（基础数据表）'!F87</f>
        <v>0</v>
      </c>
      <c r="G87" s="99">
        <f>'收入支出明细表（基础数据表）'!G87</f>
        <v>0</v>
      </c>
      <c r="H87" s="101" t="e">
        <f>'收入支出明细表（基础数据表）'!H87</f>
        <v>#DIV/0!</v>
      </c>
      <c r="I87" s="101" t="e">
        <f>'收入支出明细表（基础数据表）'!I87</f>
        <v>#DIV/0!</v>
      </c>
      <c r="J87" s="101" t="e">
        <f>'收入支出明细表（基础数据表）'!J87</f>
        <v>#DIV/0!</v>
      </c>
      <c r="K87" s="101" t="e">
        <f>'收入支出明细表（基础数据表）'!K87</f>
        <v>#DIV/0!</v>
      </c>
      <c r="L87" s="101" t="e">
        <f>'收入支出明细表（基础数据表）'!L87</f>
        <v>#DIV/0!</v>
      </c>
      <c r="M87" s="101" t="e">
        <f>'收入支出明细表（基础数据表）'!M87</f>
        <v>#DIV/0!</v>
      </c>
      <c r="N87" s="101" t="e">
        <f>'收入支出明细表（基础数据表）'!N87</f>
        <v>#DIV/0!</v>
      </c>
      <c r="O87" s="101" t="e">
        <f>'收入支出明细表（基础数据表）'!O87</f>
        <v>#DIV/0!</v>
      </c>
      <c r="P87" s="101" t="e">
        <f>'收入支出明细表（基础数据表）'!P87</f>
        <v>#DIV/0!</v>
      </c>
      <c r="Q87" s="101" t="e">
        <f>'收入支出明细表（基础数据表）'!Q87</f>
        <v>#DIV/0!</v>
      </c>
      <c r="R87" s="101" t="e">
        <f>'收入支出明细表（基础数据表）'!R87</f>
        <v>#DIV/0!</v>
      </c>
      <c r="S87" s="101" t="e">
        <f>'收入支出明细表（基础数据表）'!S87</f>
        <v>#DIV/0!</v>
      </c>
    </row>
    <row r="88" spans="1:19" ht="22.05" customHeight="1" x14ac:dyDescent="0.25">
      <c r="A88" s="204"/>
      <c r="B88" s="209"/>
      <c r="C88" s="241" t="s">
        <v>145</v>
      </c>
      <c r="D88" s="79" t="s">
        <v>103</v>
      </c>
      <c r="E88" s="108">
        <f>'收入支出明细表（基础数据表）'!E88</f>
        <v>0</v>
      </c>
      <c r="F88" s="84">
        <f>'收入支出明细表（基础数据表）'!F88</f>
        <v>0.06</v>
      </c>
      <c r="G88" s="99">
        <f>'收入支出明细表（基础数据表）'!G88</f>
        <v>0</v>
      </c>
      <c r="H88" s="103">
        <f>'收入支出明细表（基础数据表）'!H88</f>
        <v>0</v>
      </c>
      <c r="I88" s="103">
        <f>'收入支出明细表（基础数据表）'!I88</f>
        <v>0</v>
      </c>
      <c r="J88" s="103">
        <f>'收入支出明细表（基础数据表）'!J88</f>
        <v>0</v>
      </c>
      <c r="K88" s="103">
        <f>'收入支出明细表（基础数据表）'!K88</f>
        <v>0</v>
      </c>
      <c r="L88" s="103">
        <f>'收入支出明细表（基础数据表）'!L88</f>
        <v>0</v>
      </c>
      <c r="M88" s="103">
        <f>'收入支出明细表（基础数据表）'!M88</f>
        <v>0</v>
      </c>
      <c r="N88" s="103">
        <f>'收入支出明细表（基础数据表）'!N88</f>
        <v>0</v>
      </c>
      <c r="O88" s="103">
        <f>'收入支出明细表（基础数据表）'!O88</f>
        <v>0</v>
      </c>
      <c r="P88" s="103">
        <f>'收入支出明细表（基础数据表）'!P88</f>
        <v>0</v>
      </c>
      <c r="Q88" s="103">
        <f>'收入支出明细表（基础数据表）'!Q88</f>
        <v>0</v>
      </c>
      <c r="R88" s="103">
        <f>'收入支出明细表（基础数据表）'!R88</f>
        <v>0</v>
      </c>
      <c r="S88" s="103">
        <f>'收入支出明细表（基础数据表）'!S88</f>
        <v>0</v>
      </c>
    </row>
    <row r="89" spans="1:19" ht="22.05" customHeight="1" x14ac:dyDescent="0.25">
      <c r="A89" s="204"/>
      <c r="B89" s="209"/>
      <c r="C89" s="242"/>
      <c r="D89" s="79" t="s">
        <v>105</v>
      </c>
      <c r="E89" s="108">
        <f>'收入支出明细表（基础数据表）'!E89</f>
        <v>0</v>
      </c>
      <c r="F89" s="102">
        <f>'收入支出明细表（基础数据表）'!F89</f>
        <v>0</v>
      </c>
      <c r="G89" s="99">
        <f>'收入支出明细表（基础数据表）'!G89</f>
        <v>0</v>
      </c>
      <c r="H89" s="103">
        <f>'收入支出明细表（基础数据表）'!H89</f>
        <v>0</v>
      </c>
      <c r="I89" s="103">
        <f>'收入支出明细表（基础数据表）'!I89</f>
        <v>0</v>
      </c>
      <c r="J89" s="103">
        <f>'收入支出明细表（基础数据表）'!J89</f>
        <v>0</v>
      </c>
      <c r="K89" s="103">
        <f>'收入支出明细表（基础数据表）'!K89</f>
        <v>0</v>
      </c>
      <c r="L89" s="103">
        <f>'收入支出明细表（基础数据表）'!L89</f>
        <v>0</v>
      </c>
      <c r="M89" s="103">
        <f>'收入支出明细表（基础数据表）'!M89</f>
        <v>0</v>
      </c>
      <c r="N89" s="103">
        <f>'收入支出明细表（基础数据表）'!N89</f>
        <v>0</v>
      </c>
      <c r="O89" s="103">
        <f>'收入支出明细表（基础数据表）'!O89</f>
        <v>0</v>
      </c>
      <c r="P89" s="103">
        <f>'收入支出明细表（基础数据表）'!P89</f>
        <v>0</v>
      </c>
      <c r="Q89" s="103">
        <f>'收入支出明细表（基础数据表）'!Q89</f>
        <v>0</v>
      </c>
      <c r="R89" s="103">
        <f>'收入支出明细表（基础数据表）'!R89</f>
        <v>0</v>
      </c>
      <c r="S89" s="103">
        <f>'收入支出明细表（基础数据表）'!S89</f>
        <v>0</v>
      </c>
    </row>
    <row r="90" spans="1:19" ht="22.05" customHeight="1" x14ac:dyDescent="0.25">
      <c r="A90" s="204"/>
      <c r="B90" s="209"/>
      <c r="C90" s="243"/>
      <c r="D90" s="79" t="s">
        <v>106</v>
      </c>
      <c r="E90" s="108">
        <f>'收入支出明细表（基础数据表）'!E90</f>
        <v>0</v>
      </c>
      <c r="F90" s="102">
        <f>'收入支出明细表（基础数据表）'!F90</f>
        <v>0</v>
      </c>
      <c r="G90" s="99">
        <f>'收入支出明细表（基础数据表）'!G90</f>
        <v>0</v>
      </c>
      <c r="H90" s="101" t="e">
        <f>'收入支出明细表（基础数据表）'!H90</f>
        <v>#DIV/0!</v>
      </c>
      <c r="I90" s="101" t="e">
        <f>'收入支出明细表（基础数据表）'!I90</f>
        <v>#DIV/0!</v>
      </c>
      <c r="J90" s="101" t="e">
        <f>'收入支出明细表（基础数据表）'!J90</f>
        <v>#DIV/0!</v>
      </c>
      <c r="K90" s="101" t="e">
        <f>'收入支出明细表（基础数据表）'!K90</f>
        <v>#DIV/0!</v>
      </c>
      <c r="L90" s="101" t="e">
        <f>'收入支出明细表（基础数据表）'!L90</f>
        <v>#DIV/0!</v>
      </c>
      <c r="M90" s="101" t="e">
        <f>'收入支出明细表（基础数据表）'!M90</f>
        <v>#DIV/0!</v>
      </c>
      <c r="N90" s="101" t="e">
        <f>'收入支出明细表（基础数据表）'!N90</f>
        <v>#DIV/0!</v>
      </c>
      <c r="O90" s="101" t="e">
        <f>'收入支出明细表（基础数据表）'!O90</f>
        <v>#DIV/0!</v>
      </c>
      <c r="P90" s="101" t="e">
        <f>'收入支出明细表（基础数据表）'!P90</f>
        <v>#DIV/0!</v>
      </c>
      <c r="Q90" s="101" t="e">
        <f>'收入支出明细表（基础数据表）'!Q90</f>
        <v>#DIV/0!</v>
      </c>
      <c r="R90" s="101" t="e">
        <f>'收入支出明细表（基础数据表）'!R90</f>
        <v>#DIV/0!</v>
      </c>
      <c r="S90" s="101" t="e">
        <f>'收入支出明细表（基础数据表）'!S90</f>
        <v>#DIV/0!</v>
      </c>
    </row>
    <row r="91" spans="1:19" ht="22.05" customHeight="1" x14ac:dyDescent="0.25">
      <c r="A91" s="204"/>
      <c r="B91" s="209"/>
      <c r="C91" s="241" t="s">
        <v>146</v>
      </c>
      <c r="D91" s="79" t="s">
        <v>103</v>
      </c>
      <c r="E91" s="108">
        <f>'收入支出明细表（基础数据表）'!E91</f>
        <v>0</v>
      </c>
      <c r="F91" s="84">
        <f>'收入支出明细表（基础数据表）'!F91</f>
        <v>0.06</v>
      </c>
      <c r="G91" s="99">
        <f>'收入支出明细表（基础数据表）'!G91</f>
        <v>0</v>
      </c>
      <c r="H91" s="103">
        <f>'收入支出明细表（基础数据表）'!H91</f>
        <v>0</v>
      </c>
      <c r="I91" s="103">
        <f>'收入支出明细表（基础数据表）'!I91</f>
        <v>0</v>
      </c>
      <c r="J91" s="103">
        <f>'收入支出明细表（基础数据表）'!J91</f>
        <v>0</v>
      </c>
      <c r="K91" s="103">
        <f>'收入支出明细表（基础数据表）'!K91</f>
        <v>0</v>
      </c>
      <c r="L91" s="103">
        <f>'收入支出明细表（基础数据表）'!L91</f>
        <v>0</v>
      </c>
      <c r="M91" s="103">
        <f>'收入支出明细表（基础数据表）'!M91</f>
        <v>0</v>
      </c>
      <c r="N91" s="103">
        <f>'收入支出明细表（基础数据表）'!N91</f>
        <v>0</v>
      </c>
      <c r="O91" s="103">
        <f>'收入支出明细表（基础数据表）'!O91</f>
        <v>0</v>
      </c>
      <c r="P91" s="103">
        <f>'收入支出明细表（基础数据表）'!P91</f>
        <v>0</v>
      </c>
      <c r="Q91" s="103">
        <f>'收入支出明细表（基础数据表）'!Q91</f>
        <v>0</v>
      </c>
      <c r="R91" s="103">
        <f>'收入支出明细表（基础数据表）'!R91</f>
        <v>0</v>
      </c>
      <c r="S91" s="103">
        <f>'收入支出明细表（基础数据表）'!S91</f>
        <v>0</v>
      </c>
    </row>
    <row r="92" spans="1:19" ht="22.05" customHeight="1" x14ac:dyDescent="0.25">
      <c r="A92" s="204"/>
      <c r="B92" s="209"/>
      <c r="C92" s="242"/>
      <c r="D92" s="79" t="s">
        <v>105</v>
      </c>
      <c r="E92" s="108">
        <f>'收入支出明细表（基础数据表）'!E92</f>
        <v>0</v>
      </c>
      <c r="F92" s="102">
        <f>'收入支出明细表（基础数据表）'!F92</f>
        <v>0</v>
      </c>
      <c r="G92" s="99">
        <f>'收入支出明细表（基础数据表）'!G92</f>
        <v>0</v>
      </c>
      <c r="H92" s="103">
        <f>'收入支出明细表（基础数据表）'!H92</f>
        <v>0</v>
      </c>
      <c r="I92" s="103">
        <f>'收入支出明细表（基础数据表）'!I92</f>
        <v>0</v>
      </c>
      <c r="J92" s="103">
        <f>'收入支出明细表（基础数据表）'!J92</f>
        <v>0</v>
      </c>
      <c r="K92" s="103">
        <f>'收入支出明细表（基础数据表）'!K92</f>
        <v>0</v>
      </c>
      <c r="L92" s="103">
        <f>'收入支出明细表（基础数据表）'!L92</f>
        <v>0</v>
      </c>
      <c r="M92" s="103">
        <f>'收入支出明细表（基础数据表）'!M92</f>
        <v>0</v>
      </c>
      <c r="N92" s="103">
        <f>'收入支出明细表（基础数据表）'!N92</f>
        <v>0</v>
      </c>
      <c r="O92" s="103">
        <f>'收入支出明细表（基础数据表）'!O92</f>
        <v>0</v>
      </c>
      <c r="P92" s="103">
        <f>'收入支出明细表（基础数据表）'!P92</f>
        <v>0</v>
      </c>
      <c r="Q92" s="103">
        <f>'收入支出明细表（基础数据表）'!Q92</f>
        <v>0</v>
      </c>
      <c r="R92" s="103">
        <f>'收入支出明细表（基础数据表）'!R92</f>
        <v>0</v>
      </c>
      <c r="S92" s="103">
        <f>'收入支出明细表（基础数据表）'!S92</f>
        <v>0</v>
      </c>
    </row>
    <row r="93" spans="1:19" ht="22.05" customHeight="1" x14ac:dyDescent="0.25">
      <c r="A93" s="204"/>
      <c r="B93" s="209"/>
      <c r="C93" s="243"/>
      <c r="D93" s="79" t="s">
        <v>106</v>
      </c>
      <c r="E93" s="108">
        <f>'收入支出明细表（基础数据表）'!E93</f>
        <v>0</v>
      </c>
      <c r="F93" s="102">
        <f>'收入支出明细表（基础数据表）'!F93</f>
        <v>0</v>
      </c>
      <c r="G93" s="99">
        <f>'收入支出明细表（基础数据表）'!G93</f>
        <v>0</v>
      </c>
      <c r="H93" s="101" t="e">
        <f>'收入支出明细表（基础数据表）'!H93</f>
        <v>#DIV/0!</v>
      </c>
      <c r="I93" s="101" t="e">
        <f>'收入支出明细表（基础数据表）'!I93</f>
        <v>#DIV/0!</v>
      </c>
      <c r="J93" s="101" t="e">
        <f>'收入支出明细表（基础数据表）'!J93</f>
        <v>#DIV/0!</v>
      </c>
      <c r="K93" s="101" t="e">
        <f>'收入支出明细表（基础数据表）'!K93</f>
        <v>#DIV/0!</v>
      </c>
      <c r="L93" s="101" t="e">
        <f>'收入支出明细表（基础数据表）'!L93</f>
        <v>#DIV/0!</v>
      </c>
      <c r="M93" s="101" t="e">
        <f>'收入支出明细表（基础数据表）'!M93</f>
        <v>#DIV/0!</v>
      </c>
      <c r="N93" s="101" t="e">
        <f>'收入支出明细表（基础数据表）'!N93</f>
        <v>#DIV/0!</v>
      </c>
      <c r="O93" s="101" t="e">
        <f>'收入支出明细表（基础数据表）'!O93</f>
        <v>#DIV/0!</v>
      </c>
      <c r="P93" s="101" t="e">
        <f>'收入支出明细表（基础数据表）'!P93</f>
        <v>#DIV/0!</v>
      </c>
      <c r="Q93" s="101" t="e">
        <f>'收入支出明细表（基础数据表）'!Q93</f>
        <v>#DIV/0!</v>
      </c>
      <c r="R93" s="101" t="e">
        <f>'收入支出明细表（基础数据表）'!R93</f>
        <v>#DIV/0!</v>
      </c>
      <c r="S93" s="101" t="e">
        <f>'收入支出明细表（基础数据表）'!S93</f>
        <v>#DIV/0!</v>
      </c>
    </row>
    <row r="94" spans="1:19" ht="22.05" customHeight="1" x14ac:dyDescent="0.25">
      <c r="A94" s="204"/>
      <c r="B94" s="209"/>
      <c r="C94" s="86" t="s">
        <v>125</v>
      </c>
      <c r="D94" s="105"/>
      <c r="E94" s="108">
        <f>'收入支出明细表（基础数据表）'!E94</f>
        <v>0</v>
      </c>
      <c r="F94" s="102">
        <f>'收入支出明细表（基础数据表）'!F94</f>
        <v>0</v>
      </c>
      <c r="G94" s="99">
        <f>'收入支出明细表（基础数据表）'!G94</f>
        <v>0</v>
      </c>
      <c r="H94" s="103">
        <f>'收入支出明细表（基础数据表）'!H94</f>
        <v>0</v>
      </c>
      <c r="I94" s="103">
        <f>'收入支出明细表（基础数据表）'!I94</f>
        <v>0</v>
      </c>
      <c r="J94" s="103">
        <f>'收入支出明细表（基础数据表）'!J94</f>
        <v>0</v>
      </c>
      <c r="K94" s="103">
        <f>'收入支出明细表（基础数据表）'!K94</f>
        <v>0</v>
      </c>
      <c r="L94" s="103">
        <f>'收入支出明细表（基础数据表）'!L94</f>
        <v>0</v>
      </c>
      <c r="M94" s="103">
        <f>'收入支出明细表（基础数据表）'!M94</f>
        <v>0</v>
      </c>
      <c r="N94" s="103">
        <f>'收入支出明细表（基础数据表）'!N94</f>
        <v>0</v>
      </c>
      <c r="O94" s="103">
        <f>'收入支出明细表（基础数据表）'!O94</f>
        <v>0</v>
      </c>
      <c r="P94" s="103">
        <f>'收入支出明细表（基础数据表）'!P94</f>
        <v>0</v>
      </c>
      <c r="Q94" s="103">
        <f>'收入支出明细表（基础数据表）'!Q94</f>
        <v>0</v>
      </c>
      <c r="R94" s="103">
        <f>'收入支出明细表（基础数据表）'!R94</f>
        <v>0</v>
      </c>
      <c r="S94" s="103">
        <f>'收入支出明细表（基础数据表）'!S94</f>
        <v>0</v>
      </c>
    </row>
    <row r="95" spans="1:19" ht="22.05" customHeight="1" x14ac:dyDescent="0.25">
      <c r="A95" s="205"/>
      <c r="B95" s="209"/>
      <c r="C95" s="105"/>
      <c r="D95" s="105"/>
      <c r="E95" s="108">
        <f>'收入支出明细表（基础数据表）'!E95</f>
        <v>0</v>
      </c>
      <c r="F95" s="102">
        <f>'收入支出明细表（基础数据表）'!F95</f>
        <v>0</v>
      </c>
      <c r="G95" s="99">
        <f>'收入支出明细表（基础数据表）'!G95</f>
        <v>0</v>
      </c>
      <c r="H95" s="103">
        <f>'收入支出明细表（基础数据表）'!H95</f>
        <v>0</v>
      </c>
      <c r="I95" s="103">
        <f>'收入支出明细表（基础数据表）'!I95</f>
        <v>0</v>
      </c>
      <c r="J95" s="103">
        <f>'收入支出明细表（基础数据表）'!J95</f>
        <v>0</v>
      </c>
      <c r="K95" s="103">
        <f>'收入支出明细表（基础数据表）'!K95</f>
        <v>0</v>
      </c>
      <c r="L95" s="103">
        <f>'收入支出明细表（基础数据表）'!L95</f>
        <v>0</v>
      </c>
      <c r="M95" s="103">
        <f>'收入支出明细表（基础数据表）'!M95</f>
        <v>0</v>
      </c>
      <c r="N95" s="103">
        <f>'收入支出明细表（基础数据表）'!N95</f>
        <v>0</v>
      </c>
      <c r="O95" s="103">
        <f>'收入支出明细表（基础数据表）'!O95</f>
        <v>0</v>
      </c>
      <c r="P95" s="103">
        <f>'收入支出明细表（基础数据表）'!P95</f>
        <v>0</v>
      </c>
      <c r="Q95" s="103">
        <f>'收入支出明细表（基础数据表）'!Q95</f>
        <v>0</v>
      </c>
      <c r="R95" s="103">
        <f>'收入支出明细表（基础数据表）'!R95</f>
        <v>0</v>
      </c>
      <c r="S95" s="103">
        <f>'收入支出明细表（基础数据表）'!S95</f>
        <v>0</v>
      </c>
    </row>
    <row r="96" spans="1:19" ht="24" customHeight="1" x14ac:dyDescent="0.25">
      <c r="A96" s="206" t="s">
        <v>147</v>
      </c>
      <c r="B96" s="264" t="s">
        <v>148</v>
      </c>
      <c r="C96" s="265"/>
      <c r="D96" s="79" t="s">
        <v>149</v>
      </c>
      <c r="E96" s="108">
        <f>'收入支出明细表（基础数据表）'!E96</f>
        <v>0</v>
      </c>
      <c r="F96" s="102">
        <f>'收入支出明细表（基础数据表）'!F96</f>
        <v>0</v>
      </c>
      <c r="G96" s="99">
        <f>'收入支出明细表（基础数据表）'!G96</f>
        <v>0</v>
      </c>
      <c r="H96" s="99">
        <f>'收入支出明细表（基础数据表）'!H96</f>
        <v>0</v>
      </c>
      <c r="I96" s="99">
        <f>'收入支出明细表（基础数据表）'!I96</f>
        <v>0</v>
      </c>
      <c r="J96" s="99">
        <f>'收入支出明细表（基础数据表）'!J96</f>
        <v>0</v>
      </c>
      <c r="K96" s="99">
        <f>'收入支出明细表（基础数据表）'!K96</f>
        <v>0</v>
      </c>
      <c r="L96" s="99">
        <f>'收入支出明细表（基础数据表）'!L96</f>
        <v>0</v>
      </c>
      <c r="M96" s="99">
        <f>'收入支出明细表（基础数据表）'!M96</f>
        <v>0</v>
      </c>
      <c r="N96" s="99">
        <f>'收入支出明细表（基础数据表）'!N96</f>
        <v>0</v>
      </c>
      <c r="O96" s="99">
        <f>'收入支出明细表（基础数据表）'!O96</f>
        <v>0</v>
      </c>
      <c r="P96" s="99">
        <f>'收入支出明细表（基础数据表）'!P96</f>
        <v>0</v>
      </c>
      <c r="Q96" s="99">
        <f>'收入支出明细表（基础数据表）'!Q96</f>
        <v>0</v>
      </c>
      <c r="R96" s="99">
        <f>'收入支出明细表（基础数据表）'!R96</f>
        <v>0</v>
      </c>
      <c r="S96" s="99">
        <f>'收入支出明细表（基础数据表）'!S96</f>
        <v>0</v>
      </c>
    </row>
    <row r="97" spans="1:19" ht="24" customHeight="1" x14ac:dyDescent="0.25">
      <c r="A97" s="206"/>
      <c r="B97" s="266"/>
      <c r="C97" s="267"/>
      <c r="D97" s="79" t="s">
        <v>150</v>
      </c>
      <c r="E97" s="108">
        <f>'收入支出明细表（基础数据表）'!E97</f>
        <v>0</v>
      </c>
      <c r="F97" s="102">
        <f>'收入支出明细表（基础数据表）'!F97</f>
        <v>0</v>
      </c>
      <c r="G97" s="99">
        <f>'收入支出明细表（基础数据表）'!G97</f>
        <v>0</v>
      </c>
      <c r="H97" s="99">
        <f>'收入支出明细表（基础数据表）'!H97</f>
        <v>0</v>
      </c>
      <c r="I97" s="99">
        <f>'收入支出明细表（基础数据表）'!I97</f>
        <v>0</v>
      </c>
      <c r="J97" s="99">
        <f>'收入支出明细表（基础数据表）'!J97</f>
        <v>0</v>
      </c>
      <c r="K97" s="99">
        <f>'收入支出明细表（基础数据表）'!K97</f>
        <v>0</v>
      </c>
      <c r="L97" s="99">
        <f>'收入支出明细表（基础数据表）'!L97</f>
        <v>0</v>
      </c>
      <c r="M97" s="99">
        <f>'收入支出明细表（基础数据表）'!M97</f>
        <v>0</v>
      </c>
      <c r="N97" s="99">
        <f>'收入支出明细表（基础数据表）'!N97</f>
        <v>0</v>
      </c>
      <c r="O97" s="99">
        <f>'收入支出明细表（基础数据表）'!O97</f>
        <v>0</v>
      </c>
      <c r="P97" s="99">
        <f>'收入支出明细表（基础数据表）'!P97</f>
        <v>0</v>
      </c>
      <c r="Q97" s="99">
        <f>'收入支出明细表（基础数据表）'!Q97</f>
        <v>0</v>
      </c>
      <c r="R97" s="99">
        <f>'收入支出明细表（基础数据表）'!R97</f>
        <v>0</v>
      </c>
      <c r="S97" s="99">
        <f>'收入支出明细表（基础数据表）'!S97</f>
        <v>0</v>
      </c>
    </row>
    <row r="98" spans="1:19" ht="24" customHeight="1" x14ac:dyDescent="0.25">
      <c r="A98" s="206"/>
      <c r="B98" s="266"/>
      <c r="C98" s="267"/>
      <c r="D98" s="79" t="s">
        <v>151</v>
      </c>
      <c r="E98" s="108">
        <f>'收入支出明细表（基础数据表）'!E98</f>
        <v>0</v>
      </c>
      <c r="F98" s="102">
        <f>'收入支出明细表（基础数据表）'!F98</f>
        <v>0</v>
      </c>
      <c r="G98" s="99">
        <f>'收入支出明细表（基础数据表）'!G98</f>
        <v>0</v>
      </c>
      <c r="H98" s="101" t="e">
        <f>'收入支出明细表（基础数据表）'!H98</f>
        <v>#DIV/0!</v>
      </c>
      <c r="I98" s="101" t="e">
        <f>'收入支出明细表（基础数据表）'!I98</f>
        <v>#DIV/0!</v>
      </c>
      <c r="J98" s="101" t="e">
        <f>'收入支出明细表（基础数据表）'!J98</f>
        <v>#DIV/0!</v>
      </c>
      <c r="K98" s="101" t="e">
        <f>'收入支出明细表（基础数据表）'!K98</f>
        <v>#DIV/0!</v>
      </c>
      <c r="L98" s="101" t="e">
        <f>'收入支出明细表（基础数据表）'!L98</f>
        <v>#DIV/0!</v>
      </c>
      <c r="M98" s="101" t="e">
        <f>'收入支出明细表（基础数据表）'!M98</f>
        <v>#DIV/0!</v>
      </c>
      <c r="N98" s="101" t="e">
        <f>'收入支出明细表（基础数据表）'!N98</f>
        <v>#DIV/0!</v>
      </c>
      <c r="O98" s="101" t="e">
        <f>'收入支出明细表（基础数据表）'!O98</f>
        <v>#DIV/0!</v>
      </c>
      <c r="P98" s="101" t="e">
        <f>'收入支出明细表（基础数据表）'!P98</f>
        <v>#DIV/0!</v>
      </c>
      <c r="Q98" s="101" t="e">
        <f>'收入支出明细表（基础数据表）'!Q98</f>
        <v>#DIV/0!</v>
      </c>
      <c r="R98" s="101" t="e">
        <f>'收入支出明细表（基础数据表）'!R98</f>
        <v>#DIV/0!</v>
      </c>
      <c r="S98" s="101" t="e">
        <f>'收入支出明细表（基础数据表）'!S98</f>
        <v>#DIV/0!</v>
      </c>
    </row>
    <row r="99" spans="1:19" ht="24" customHeight="1" x14ac:dyDescent="0.25">
      <c r="A99" s="206"/>
      <c r="B99" s="210" t="s">
        <v>152</v>
      </c>
      <c r="C99" s="244" t="s">
        <v>153</v>
      </c>
      <c r="D99" s="79" t="s">
        <v>149</v>
      </c>
      <c r="E99" s="98">
        <f>'收入支出明细表（基础数据表）'!E99</f>
        <v>0</v>
      </c>
      <c r="F99" s="102">
        <f>'收入支出明细表（基础数据表）'!F99</f>
        <v>0</v>
      </c>
      <c r="G99" s="99">
        <f>'收入支出明细表（基础数据表）'!G99</f>
        <v>0</v>
      </c>
      <c r="H99" s="100">
        <f>'收入支出明细表（基础数据表）'!H99</f>
        <v>0</v>
      </c>
      <c r="I99" s="100">
        <f>'收入支出明细表（基础数据表）'!I99</f>
        <v>0</v>
      </c>
      <c r="J99" s="100">
        <f>'收入支出明细表（基础数据表）'!J99</f>
        <v>0</v>
      </c>
      <c r="K99" s="100">
        <f>'收入支出明细表（基础数据表）'!K99</f>
        <v>0</v>
      </c>
      <c r="L99" s="100">
        <f>'收入支出明细表（基础数据表）'!L99</f>
        <v>0</v>
      </c>
      <c r="M99" s="100">
        <f>'收入支出明细表（基础数据表）'!M99</f>
        <v>0</v>
      </c>
      <c r="N99" s="100">
        <f>'收入支出明细表（基础数据表）'!N99</f>
        <v>0</v>
      </c>
      <c r="O99" s="100">
        <f>'收入支出明细表（基础数据表）'!O99</f>
        <v>0</v>
      </c>
      <c r="P99" s="100">
        <f>'收入支出明细表（基础数据表）'!P99</f>
        <v>0</v>
      </c>
      <c r="Q99" s="100">
        <f>'收入支出明细表（基础数据表）'!Q99</f>
        <v>0</v>
      </c>
      <c r="R99" s="100">
        <f>'收入支出明细表（基础数据表）'!R99</f>
        <v>0</v>
      </c>
      <c r="S99" s="100">
        <f>'收入支出明细表（基础数据表）'!S99</f>
        <v>0</v>
      </c>
    </row>
    <row r="100" spans="1:19" ht="24" customHeight="1" x14ac:dyDescent="0.25">
      <c r="A100" s="206"/>
      <c r="B100" s="210"/>
      <c r="C100" s="245"/>
      <c r="D100" s="79" t="s">
        <v>150</v>
      </c>
      <c r="E100" s="98">
        <f>'收入支出明细表（基础数据表）'!E100</f>
        <v>0</v>
      </c>
      <c r="F100" s="102">
        <f>'收入支出明细表（基础数据表）'!F100</f>
        <v>0</v>
      </c>
      <c r="G100" s="99">
        <f>'收入支出明细表（基础数据表）'!G100</f>
        <v>0</v>
      </c>
      <c r="H100" s="100">
        <f>'收入支出明细表（基础数据表）'!H100</f>
        <v>0</v>
      </c>
      <c r="I100" s="100">
        <f>'收入支出明细表（基础数据表）'!I100</f>
        <v>0</v>
      </c>
      <c r="J100" s="100">
        <f>'收入支出明细表（基础数据表）'!J100</f>
        <v>0</v>
      </c>
      <c r="K100" s="100">
        <f>'收入支出明细表（基础数据表）'!K100</f>
        <v>0</v>
      </c>
      <c r="L100" s="100">
        <f>'收入支出明细表（基础数据表）'!L100</f>
        <v>0</v>
      </c>
      <c r="M100" s="100">
        <f>'收入支出明细表（基础数据表）'!M100</f>
        <v>0</v>
      </c>
      <c r="N100" s="100">
        <f>'收入支出明细表（基础数据表）'!N100</f>
        <v>0</v>
      </c>
      <c r="O100" s="100">
        <f>'收入支出明细表（基础数据表）'!O100</f>
        <v>0</v>
      </c>
      <c r="P100" s="100">
        <f>'收入支出明细表（基础数据表）'!P100</f>
        <v>0</v>
      </c>
      <c r="Q100" s="100">
        <f>'收入支出明细表（基础数据表）'!Q100</f>
        <v>0</v>
      </c>
      <c r="R100" s="100">
        <f>'收入支出明细表（基础数据表）'!R100</f>
        <v>0</v>
      </c>
      <c r="S100" s="100">
        <f>'收入支出明细表（基础数据表）'!S100</f>
        <v>0</v>
      </c>
    </row>
    <row r="101" spans="1:19" ht="24" customHeight="1" x14ac:dyDescent="0.25">
      <c r="A101" s="206"/>
      <c r="B101" s="210"/>
      <c r="C101" s="245"/>
      <c r="D101" s="79" t="s">
        <v>151</v>
      </c>
      <c r="E101" s="98">
        <f>'收入支出明细表（基础数据表）'!E101</f>
        <v>0</v>
      </c>
      <c r="F101" s="102">
        <f>'收入支出明细表（基础数据表）'!F101</f>
        <v>0</v>
      </c>
      <c r="G101" s="99">
        <f>'收入支出明细表（基础数据表）'!G101</f>
        <v>0</v>
      </c>
      <c r="H101" s="101" t="e">
        <f>'收入支出明细表（基础数据表）'!H101</f>
        <v>#DIV/0!</v>
      </c>
      <c r="I101" s="101" t="e">
        <f>'收入支出明细表（基础数据表）'!I101</f>
        <v>#DIV/0!</v>
      </c>
      <c r="J101" s="101" t="e">
        <f>'收入支出明细表（基础数据表）'!J101</f>
        <v>#DIV/0!</v>
      </c>
      <c r="K101" s="101" t="e">
        <f>'收入支出明细表（基础数据表）'!K101</f>
        <v>#DIV/0!</v>
      </c>
      <c r="L101" s="101" t="e">
        <f>'收入支出明细表（基础数据表）'!L101</f>
        <v>#DIV/0!</v>
      </c>
      <c r="M101" s="101" t="e">
        <f>'收入支出明细表（基础数据表）'!M101</f>
        <v>#DIV/0!</v>
      </c>
      <c r="N101" s="101" t="e">
        <f>'收入支出明细表（基础数据表）'!N101</f>
        <v>#DIV/0!</v>
      </c>
      <c r="O101" s="101" t="e">
        <f>'收入支出明细表（基础数据表）'!O101</f>
        <v>#DIV/0!</v>
      </c>
      <c r="P101" s="101" t="e">
        <f>'收入支出明细表（基础数据表）'!P101</f>
        <v>#DIV/0!</v>
      </c>
      <c r="Q101" s="101" t="e">
        <f>'收入支出明细表（基础数据表）'!Q101</f>
        <v>#DIV/0!</v>
      </c>
      <c r="R101" s="101" t="e">
        <f>'收入支出明细表（基础数据表）'!R101</f>
        <v>#DIV/0!</v>
      </c>
      <c r="S101" s="101" t="e">
        <f>'收入支出明细表（基础数据表）'!S101</f>
        <v>#DIV/0!</v>
      </c>
    </row>
    <row r="102" spans="1:19" ht="24" customHeight="1" x14ac:dyDescent="0.25">
      <c r="A102" s="206"/>
      <c r="B102" s="210"/>
      <c r="C102" s="229" t="s">
        <v>154</v>
      </c>
      <c r="D102" s="79" t="s">
        <v>149</v>
      </c>
      <c r="E102" s="104">
        <f>'收入支出明细表（基础数据表）'!E102</f>
        <v>0</v>
      </c>
      <c r="F102" s="84">
        <f>'收入支出明细表（基础数据表）'!F102</f>
        <v>0.13</v>
      </c>
      <c r="G102" s="99">
        <f>'收入支出明细表（基础数据表）'!G102</f>
        <v>0</v>
      </c>
      <c r="H102" s="103">
        <f>'收入支出明细表（基础数据表）'!H102</f>
        <v>0</v>
      </c>
      <c r="I102" s="103">
        <f>'收入支出明细表（基础数据表）'!I102</f>
        <v>0</v>
      </c>
      <c r="J102" s="103">
        <f>'收入支出明细表（基础数据表）'!J102</f>
        <v>0</v>
      </c>
      <c r="K102" s="103">
        <f>'收入支出明细表（基础数据表）'!K102</f>
        <v>0</v>
      </c>
      <c r="L102" s="103">
        <f>'收入支出明细表（基础数据表）'!L102</f>
        <v>0</v>
      </c>
      <c r="M102" s="103">
        <f>'收入支出明细表（基础数据表）'!M102</f>
        <v>0</v>
      </c>
      <c r="N102" s="103">
        <f>'收入支出明细表（基础数据表）'!N102</f>
        <v>0</v>
      </c>
      <c r="O102" s="103">
        <f>'收入支出明细表（基础数据表）'!O102</f>
        <v>0</v>
      </c>
      <c r="P102" s="103">
        <f>'收入支出明细表（基础数据表）'!P102</f>
        <v>0</v>
      </c>
      <c r="Q102" s="103">
        <f>'收入支出明细表（基础数据表）'!Q102</f>
        <v>0</v>
      </c>
      <c r="R102" s="103">
        <f>'收入支出明细表（基础数据表）'!R102</f>
        <v>0</v>
      </c>
      <c r="S102" s="103">
        <f>'收入支出明细表（基础数据表）'!S102</f>
        <v>0</v>
      </c>
    </row>
    <row r="103" spans="1:19" ht="22.05" customHeight="1" x14ac:dyDescent="0.25">
      <c r="A103" s="206"/>
      <c r="B103" s="210"/>
      <c r="C103" s="230"/>
      <c r="D103" s="79" t="s">
        <v>150</v>
      </c>
      <c r="E103" s="104">
        <f>'收入支出明细表（基础数据表）'!E103</f>
        <v>0</v>
      </c>
      <c r="F103" s="102">
        <f>'收入支出明细表（基础数据表）'!F103</f>
        <v>0</v>
      </c>
      <c r="G103" s="99">
        <f>'收入支出明细表（基础数据表）'!G103</f>
        <v>0</v>
      </c>
      <c r="H103" s="99">
        <f>'收入支出明细表（基础数据表）'!H103</f>
        <v>0</v>
      </c>
      <c r="I103" s="99">
        <f>'收入支出明细表（基础数据表）'!I103</f>
        <v>0</v>
      </c>
      <c r="J103" s="99">
        <f>'收入支出明细表（基础数据表）'!J103</f>
        <v>0</v>
      </c>
      <c r="K103" s="99">
        <f>'收入支出明细表（基础数据表）'!K103</f>
        <v>0</v>
      </c>
      <c r="L103" s="99">
        <f>'收入支出明细表（基础数据表）'!L103</f>
        <v>0</v>
      </c>
      <c r="M103" s="99">
        <f>'收入支出明细表（基础数据表）'!M103</f>
        <v>0</v>
      </c>
      <c r="N103" s="99">
        <f>'收入支出明细表（基础数据表）'!N103</f>
        <v>0</v>
      </c>
      <c r="O103" s="99">
        <f>'收入支出明细表（基础数据表）'!O103</f>
        <v>0</v>
      </c>
      <c r="P103" s="99">
        <f>'收入支出明细表（基础数据表）'!P103</f>
        <v>0</v>
      </c>
      <c r="Q103" s="99">
        <f>'收入支出明细表（基础数据表）'!Q103</f>
        <v>0</v>
      </c>
      <c r="R103" s="99">
        <f>'收入支出明细表（基础数据表）'!R103</f>
        <v>0</v>
      </c>
      <c r="S103" s="99">
        <f>'收入支出明细表（基础数据表）'!S103</f>
        <v>0</v>
      </c>
    </row>
    <row r="104" spans="1:19" ht="22.05" customHeight="1" x14ac:dyDescent="0.25">
      <c r="A104" s="206"/>
      <c r="B104" s="210"/>
      <c r="C104" s="231"/>
      <c r="D104" s="79" t="s">
        <v>151</v>
      </c>
      <c r="E104" s="104">
        <f>'收入支出明细表（基础数据表）'!E104</f>
        <v>0</v>
      </c>
      <c r="F104" s="102">
        <f>'收入支出明细表（基础数据表）'!F104</f>
        <v>0</v>
      </c>
      <c r="G104" s="99">
        <f>'收入支出明细表（基础数据表）'!G104</f>
        <v>0</v>
      </c>
      <c r="H104" s="101" t="e">
        <f>'收入支出明细表（基础数据表）'!H104</f>
        <v>#DIV/0!</v>
      </c>
      <c r="I104" s="101" t="e">
        <f>'收入支出明细表（基础数据表）'!I104</f>
        <v>#DIV/0!</v>
      </c>
      <c r="J104" s="101" t="e">
        <f>'收入支出明细表（基础数据表）'!J104</f>
        <v>#DIV/0!</v>
      </c>
      <c r="K104" s="101" t="e">
        <f>'收入支出明细表（基础数据表）'!K104</f>
        <v>#DIV/0!</v>
      </c>
      <c r="L104" s="101" t="e">
        <f>'收入支出明细表（基础数据表）'!L104</f>
        <v>#DIV/0!</v>
      </c>
      <c r="M104" s="101" t="e">
        <f>'收入支出明细表（基础数据表）'!M104</f>
        <v>#DIV/0!</v>
      </c>
      <c r="N104" s="101" t="e">
        <f>'收入支出明细表（基础数据表）'!N104</f>
        <v>#DIV/0!</v>
      </c>
      <c r="O104" s="101" t="e">
        <f>'收入支出明细表（基础数据表）'!O104</f>
        <v>#DIV/0!</v>
      </c>
      <c r="P104" s="101" t="e">
        <f>'收入支出明细表（基础数据表）'!P104</f>
        <v>#DIV/0!</v>
      </c>
      <c r="Q104" s="101" t="e">
        <f>'收入支出明细表（基础数据表）'!Q104</f>
        <v>#DIV/0!</v>
      </c>
      <c r="R104" s="101" t="e">
        <f>'收入支出明细表（基础数据表）'!R104</f>
        <v>#DIV/0!</v>
      </c>
      <c r="S104" s="101" t="e">
        <f>'收入支出明细表（基础数据表）'!S104</f>
        <v>#DIV/0!</v>
      </c>
    </row>
    <row r="105" spans="1:19" ht="22.05" customHeight="1" x14ac:dyDescent="0.25">
      <c r="A105" s="206"/>
      <c r="B105" s="210"/>
      <c r="C105" s="241" t="s">
        <v>156</v>
      </c>
      <c r="D105" s="79" t="s">
        <v>149</v>
      </c>
      <c r="E105" s="104">
        <f>'收入支出明细表（基础数据表）'!E105</f>
        <v>0</v>
      </c>
      <c r="F105" s="84">
        <f>'收入支出明细表（基础数据表）'!F105</f>
        <v>0.06</v>
      </c>
      <c r="G105" s="99">
        <f>'收入支出明细表（基础数据表）'!G105</f>
        <v>0</v>
      </c>
      <c r="H105" s="103">
        <f>'收入支出明细表（基础数据表）'!H105</f>
        <v>0</v>
      </c>
      <c r="I105" s="103">
        <f>'收入支出明细表（基础数据表）'!I105</f>
        <v>0</v>
      </c>
      <c r="J105" s="103">
        <f>'收入支出明细表（基础数据表）'!J105</f>
        <v>0</v>
      </c>
      <c r="K105" s="103">
        <f>'收入支出明细表（基础数据表）'!K105</f>
        <v>0</v>
      </c>
      <c r="L105" s="103">
        <f>'收入支出明细表（基础数据表）'!L105</f>
        <v>0</v>
      </c>
      <c r="M105" s="103">
        <f>'收入支出明细表（基础数据表）'!M105</f>
        <v>0</v>
      </c>
      <c r="N105" s="103">
        <f>'收入支出明细表（基础数据表）'!N105</f>
        <v>0</v>
      </c>
      <c r="O105" s="103">
        <f>'收入支出明细表（基础数据表）'!O105</f>
        <v>0</v>
      </c>
      <c r="P105" s="103">
        <f>'收入支出明细表（基础数据表）'!P105</f>
        <v>0</v>
      </c>
      <c r="Q105" s="103">
        <f>'收入支出明细表（基础数据表）'!Q105</f>
        <v>0</v>
      </c>
      <c r="R105" s="103">
        <f>'收入支出明细表（基础数据表）'!R105</f>
        <v>0</v>
      </c>
      <c r="S105" s="103">
        <f>'收入支出明细表（基础数据表）'!S105</f>
        <v>0</v>
      </c>
    </row>
    <row r="106" spans="1:19" ht="22.05" customHeight="1" x14ac:dyDescent="0.25">
      <c r="A106" s="206"/>
      <c r="B106" s="210"/>
      <c r="C106" s="242"/>
      <c r="D106" s="79" t="s">
        <v>150</v>
      </c>
      <c r="E106" s="104">
        <f>'收入支出明细表（基础数据表）'!E106</f>
        <v>0</v>
      </c>
      <c r="F106" s="102">
        <f>'收入支出明细表（基础数据表）'!F106</f>
        <v>0</v>
      </c>
      <c r="G106" s="99">
        <f>'收入支出明细表（基础数据表）'!G106</f>
        <v>0</v>
      </c>
      <c r="H106" s="99">
        <f>'收入支出明细表（基础数据表）'!H106</f>
        <v>0</v>
      </c>
      <c r="I106" s="99">
        <f>'收入支出明细表（基础数据表）'!I106</f>
        <v>0</v>
      </c>
      <c r="J106" s="99">
        <f>'收入支出明细表（基础数据表）'!J106</f>
        <v>0</v>
      </c>
      <c r="K106" s="99">
        <f>'收入支出明细表（基础数据表）'!K106</f>
        <v>0</v>
      </c>
      <c r="L106" s="99">
        <f>'收入支出明细表（基础数据表）'!L106</f>
        <v>0</v>
      </c>
      <c r="M106" s="99">
        <f>'收入支出明细表（基础数据表）'!M106</f>
        <v>0</v>
      </c>
      <c r="N106" s="99">
        <f>'收入支出明细表（基础数据表）'!N106</f>
        <v>0</v>
      </c>
      <c r="O106" s="99">
        <f>'收入支出明细表（基础数据表）'!O106</f>
        <v>0</v>
      </c>
      <c r="P106" s="99">
        <f>'收入支出明细表（基础数据表）'!P106</f>
        <v>0</v>
      </c>
      <c r="Q106" s="99">
        <f>'收入支出明细表（基础数据表）'!Q106</f>
        <v>0</v>
      </c>
      <c r="R106" s="99">
        <f>'收入支出明细表（基础数据表）'!R106</f>
        <v>0</v>
      </c>
      <c r="S106" s="99">
        <f>'收入支出明细表（基础数据表）'!S106</f>
        <v>0</v>
      </c>
    </row>
    <row r="107" spans="1:19" ht="22.05" customHeight="1" x14ac:dyDescent="0.25">
      <c r="A107" s="206"/>
      <c r="B107" s="210"/>
      <c r="C107" s="243"/>
      <c r="D107" s="79" t="s">
        <v>151</v>
      </c>
      <c r="E107" s="104">
        <f>'收入支出明细表（基础数据表）'!E107</f>
        <v>0</v>
      </c>
      <c r="F107" s="102">
        <f>'收入支出明细表（基础数据表）'!F107</f>
        <v>0</v>
      </c>
      <c r="G107" s="99">
        <f>'收入支出明细表（基础数据表）'!G107</f>
        <v>0</v>
      </c>
      <c r="H107" s="101" t="e">
        <f>'收入支出明细表（基础数据表）'!H107</f>
        <v>#DIV/0!</v>
      </c>
      <c r="I107" s="101" t="e">
        <f>'收入支出明细表（基础数据表）'!I107</f>
        <v>#DIV/0!</v>
      </c>
      <c r="J107" s="101" t="e">
        <f>'收入支出明细表（基础数据表）'!J107</f>
        <v>#DIV/0!</v>
      </c>
      <c r="K107" s="101" t="e">
        <f>'收入支出明细表（基础数据表）'!K107</f>
        <v>#DIV/0!</v>
      </c>
      <c r="L107" s="101" t="e">
        <f>'收入支出明细表（基础数据表）'!L107</f>
        <v>#DIV/0!</v>
      </c>
      <c r="M107" s="101" t="e">
        <f>'收入支出明细表（基础数据表）'!M107</f>
        <v>#DIV/0!</v>
      </c>
      <c r="N107" s="101" t="e">
        <f>'收入支出明细表（基础数据表）'!N107</f>
        <v>#DIV/0!</v>
      </c>
      <c r="O107" s="101" t="e">
        <f>'收入支出明细表（基础数据表）'!O107</f>
        <v>#DIV/0!</v>
      </c>
      <c r="P107" s="101" t="e">
        <f>'收入支出明细表（基础数据表）'!P107</f>
        <v>#DIV/0!</v>
      </c>
      <c r="Q107" s="101" t="e">
        <f>'收入支出明细表（基础数据表）'!Q107</f>
        <v>#DIV/0!</v>
      </c>
      <c r="R107" s="101" t="e">
        <f>'收入支出明细表（基础数据表）'!R107</f>
        <v>#DIV/0!</v>
      </c>
      <c r="S107" s="101" t="e">
        <f>'收入支出明细表（基础数据表）'!S107</f>
        <v>#DIV/0!</v>
      </c>
    </row>
    <row r="108" spans="1:19" ht="22.05" customHeight="1" x14ac:dyDescent="0.25">
      <c r="A108" s="206"/>
      <c r="B108" s="210"/>
      <c r="C108" s="241" t="s">
        <v>158</v>
      </c>
      <c r="D108" s="79" t="s">
        <v>149</v>
      </c>
      <c r="E108" s="104">
        <f>'收入支出明细表（基础数据表）'!E108</f>
        <v>0</v>
      </c>
      <c r="F108" s="84">
        <f>'收入支出明细表（基础数据表）'!F108</f>
        <v>0.06</v>
      </c>
      <c r="G108" s="99">
        <f>'收入支出明细表（基础数据表）'!G108</f>
        <v>0</v>
      </c>
      <c r="H108" s="103">
        <f>'收入支出明细表（基础数据表）'!H108</f>
        <v>0</v>
      </c>
      <c r="I108" s="103">
        <f>'收入支出明细表（基础数据表）'!I108</f>
        <v>0</v>
      </c>
      <c r="J108" s="103">
        <f>'收入支出明细表（基础数据表）'!J108</f>
        <v>0</v>
      </c>
      <c r="K108" s="103">
        <f>'收入支出明细表（基础数据表）'!K108</f>
        <v>0</v>
      </c>
      <c r="L108" s="103">
        <f>'收入支出明细表（基础数据表）'!L108</f>
        <v>0</v>
      </c>
      <c r="M108" s="103">
        <f>'收入支出明细表（基础数据表）'!M108</f>
        <v>0</v>
      </c>
      <c r="N108" s="103">
        <f>'收入支出明细表（基础数据表）'!N108</f>
        <v>0</v>
      </c>
      <c r="O108" s="103">
        <f>'收入支出明细表（基础数据表）'!O108</f>
        <v>0</v>
      </c>
      <c r="P108" s="103">
        <f>'收入支出明细表（基础数据表）'!P108</f>
        <v>0</v>
      </c>
      <c r="Q108" s="103">
        <f>'收入支出明细表（基础数据表）'!Q108</f>
        <v>0</v>
      </c>
      <c r="R108" s="103">
        <f>'收入支出明细表（基础数据表）'!R108</f>
        <v>0</v>
      </c>
      <c r="S108" s="103">
        <f>'收入支出明细表（基础数据表）'!S108</f>
        <v>0</v>
      </c>
    </row>
    <row r="109" spans="1:19" ht="22.05" customHeight="1" x14ac:dyDescent="0.25">
      <c r="A109" s="206"/>
      <c r="B109" s="210"/>
      <c r="C109" s="242"/>
      <c r="D109" s="79" t="s">
        <v>150</v>
      </c>
      <c r="E109" s="104">
        <f>'收入支出明细表（基础数据表）'!E109</f>
        <v>0</v>
      </c>
      <c r="F109" s="102">
        <f>'收入支出明细表（基础数据表）'!F109</f>
        <v>0</v>
      </c>
      <c r="G109" s="99">
        <f>'收入支出明细表（基础数据表）'!G109</f>
        <v>0</v>
      </c>
      <c r="H109" s="99">
        <f>'收入支出明细表（基础数据表）'!H109</f>
        <v>0</v>
      </c>
      <c r="I109" s="99">
        <f>'收入支出明细表（基础数据表）'!I109</f>
        <v>0</v>
      </c>
      <c r="J109" s="99">
        <f>'收入支出明细表（基础数据表）'!J109</f>
        <v>0</v>
      </c>
      <c r="K109" s="99">
        <f>'收入支出明细表（基础数据表）'!K109</f>
        <v>0</v>
      </c>
      <c r="L109" s="99">
        <f>'收入支出明细表（基础数据表）'!L109</f>
        <v>0</v>
      </c>
      <c r="M109" s="99">
        <f>'收入支出明细表（基础数据表）'!M109</f>
        <v>0</v>
      </c>
      <c r="N109" s="99">
        <f>'收入支出明细表（基础数据表）'!N109</f>
        <v>0</v>
      </c>
      <c r="O109" s="99">
        <f>'收入支出明细表（基础数据表）'!O109</f>
        <v>0</v>
      </c>
      <c r="P109" s="99">
        <f>'收入支出明细表（基础数据表）'!P109</f>
        <v>0</v>
      </c>
      <c r="Q109" s="99">
        <f>'收入支出明细表（基础数据表）'!Q109</f>
        <v>0</v>
      </c>
      <c r="R109" s="99">
        <f>'收入支出明细表（基础数据表）'!R109</f>
        <v>0</v>
      </c>
      <c r="S109" s="99">
        <f>'收入支出明细表（基础数据表）'!S109</f>
        <v>0</v>
      </c>
    </row>
    <row r="110" spans="1:19" ht="22.05" customHeight="1" x14ac:dyDescent="0.25">
      <c r="A110" s="206"/>
      <c r="B110" s="210"/>
      <c r="C110" s="243"/>
      <c r="D110" s="79" t="s">
        <v>151</v>
      </c>
      <c r="E110" s="104">
        <f>'收入支出明细表（基础数据表）'!E110</f>
        <v>0</v>
      </c>
      <c r="F110" s="102">
        <f>'收入支出明细表（基础数据表）'!F110</f>
        <v>0</v>
      </c>
      <c r="G110" s="99">
        <f>'收入支出明细表（基础数据表）'!G110</f>
        <v>0</v>
      </c>
      <c r="H110" s="101" t="e">
        <f>'收入支出明细表（基础数据表）'!H110</f>
        <v>#DIV/0!</v>
      </c>
      <c r="I110" s="101" t="e">
        <f>'收入支出明细表（基础数据表）'!I110</f>
        <v>#DIV/0!</v>
      </c>
      <c r="J110" s="101" t="e">
        <f>'收入支出明细表（基础数据表）'!J110</f>
        <v>#DIV/0!</v>
      </c>
      <c r="K110" s="101" t="e">
        <f>'收入支出明细表（基础数据表）'!K110</f>
        <v>#DIV/0!</v>
      </c>
      <c r="L110" s="101" t="e">
        <f>'收入支出明细表（基础数据表）'!L110</f>
        <v>#DIV/0!</v>
      </c>
      <c r="M110" s="101" t="e">
        <f>'收入支出明细表（基础数据表）'!M110</f>
        <v>#DIV/0!</v>
      </c>
      <c r="N110" s="101" t="e">
        <f>'收入支出明细表（基础数据表）'!N110</f>
        <v>#DIV/0!</v>
      </c>
      <c r="O110" s="101" t="e">
        <f>'收入支出明细表（基础数据表）'!O110</f>
        <v>#DIV/0!</v>
      </c>
      <c r="P110" s="101" t="e">
        <f>'收入支出明细表（基础数据表）'!P110</f>
        <v>#DIV/0!</v>
      </c>
      <c r="Q110" s="101" t="e">
        <f>'收入支出明细表（基础数据表）'!Q110</f>
        <v>#DIV/0!</v>
      </c>
      <c r="R110" s="101" t="e">
        <f>'收入支出明细表（基础数据表）'!R110</f>
        <v>#DIV/0!</v>
      </c>
      <c r="S110" s="101" t="e">
        <f>'收入支出明细表（基础数据表）'!S110</f>
        <v>#DIV/0!</v>
      </c>
    </row>
    <row r="111" spans="1:19" ht="22.05" customHeight="1" x14ac:dyDescent="0.25">
      <c r="A111" s="206"/>
      <c r="B111" s="210"/>
      <c r="C111" s="241" t="s">
        <v>160</v>
      </c>
      <c r="D111" s="79" t="s">
        <v>149</v>
      </c>
      <c r="E111" s="104">
        <f>'收入支出明细表（基础数据表）'!E111</f>
        <v>0</v>
      </c>
      <c r="F111" s="84">
        <f>'收入支出明细表（基础数据表）'!F111</f>
        <v>0.09</v>
      </c>
      <c r="G111" s="99">
        <f>'收入支出明细表（基础数据表）'!G111</f>
        <v>0</v>
      </c>
      <c r="H111" s="103">
        <f>'收入支出明细表（基础数据表）'!H111</f>
        <v>0</v>
      </c>
      <c r="I111" s="103">
        <f>'收入支出明细表（基础数据表）'!I111</f>
        <v>0</v>
      </c>
      <c r="J111" s="103">
        <f>'收入支出明细表（基础数据表）'!J111</f>
        <v>0</v>
      </c>
      <c r="K111" s="103">
        <f>'收入支出明细表（基础数据表）'!K111</f>
        <v>0</v>
      </c>
      <c r="L111" s="103">
        <f>'收入支出明细表（基础数据表）'!L111</f>
        <v>0</v>
      </c>
      <c r="M111" s="103">
        <f>'收入支出明细表（基础数据表）'!M111</f>
        <v>0</v>
      </c>
      <c r="N111" s="103">
        <f>'收入支出明细表（基础数据表）'!N111</f>
        <v>0</v>
      </c>
      <c r="O111" s="103">
        <f>'收入支出明细表（基础数据表）'!O111</f>
        <v>0</v>
      </c>
      <c r="P111" s="103">
        <f>'收入支出明细表（基础数据表）'!P111</f>
        <v>0</v>
      </c>
      <c r="Q111" s="103">
        <f>'收入支出明细表（基础数据表）'!Q111</f>
        <v>0</v>
      </c>
      <c r="R111" s="103">
        <f>'收入支出明细表（基础数据表）'!R111</f>
        <v>0</v>
      </c>
      <c r="S111" s="103">
        <f>'收入支出明细表（基础数据表）'!S111</f>
        <v>0</v>
      </c>
    </row>
    <row r="112" spans="1:19" ht="22.05" customHeight="1" x14ac:dyDescent="0.25">
      <c r="A112" s="206"/>
      <c r="B112" s="210"/>
      <c r="C112" s="242"/>
      <c r="D112" s="79" t="s">
        <v>150</v>
      </c>
      <c r="E112" s="104">
        <f>'收入支出明细表（基础数据表）'!E112</f>
        <v>0</v>
      </c>
      <c r="F112" s="102">
        <f>'收入支出明细表（基础数据表）'!F112</f>
        <v>0</v>
      </c>
      <c r="G112" s="99">
        <f>'收入支出明细表（基础数据表）'!G112</f>
        <v>0</v>
      </c>
      <c r="H112" s="99">
        <f>'收入支出明细表（基础数据表）'!H112</f>
        <v>0</v>
      </c>
      <c r="I112" s="99">
        <f>'收入支出明细表（基础数据表）'!I112</f>
        <v>0</v>
      </c>
      <c r="J112" s="99">
        <f>'收入支出明细表（基础数据表）'!J112</f>
        <v>0</v>
      </c>
      <c r="K112" s="99">
        <f>'收入支出明细表（基础数据表）'!K112</f>
        <v>0</v>
      </c>
      <c r="L112" s="99">
        <f>'收入支出明细表（基础数据表）'!L112</f>
        <v>0</v>
      </c>
      <c r="M112" s="99">
        <f>'收入支出明细表（基础数据表）'!M112</f>
        <v>0</v>
      </c>
      <c r="N112" s="99">
        <f>'收入支出明细表（基础数据表）'!N112</f>
        <v>0</v>
      </c>
      <c r="O112" s="99">
        <f>'收入支出明细表（基础数据表）'!O112</f>
        <v>0</v>
      </c>
      <c r="P112" s="99">
        <f>'收入支出明细表（基础数据表）'!P112</f>
        <v>0</v>
      </c>
      <c r="Q112" s="99">
        <f>'收入支出明细表（基础数据表）'!Q112</f>
        <v>0</v>
      </c>
      <c r="R112" s="99">
        <f>'收入支出明细表（基础数据表）'!R112</f>
        <v>0</v>
      </c>
      <c r="S112" s="99">
        <f>'收入支出明细表（基础数据表）'!S112</f>
        <v>0</v>
      </c>
    </row>
    <row r="113" spans="1:19" ht="22.05" customHeight="1" x14ac:dyDescent="0.25">
      <c r="A113" s="206"/>
      <c r="B113" s="210"/>
      <c r="C113" s="243"/>
      <c r="D113" s="79" t="s">
        <v>151</v>
      </c>
      <c r="E113" s="104">
        <f>'收入支出明细表（基础数据表）'!E113</f>
        <v>0</v>
      </c>
      <c r="F113" s="102">
        <f>'收入支出明细表（基础数据表）'!F113</f>
        <v>0</v>
      </c>
      <c r="G113" s="99">
        <f>'收入支出明细表（基础数据表）'!G113</f>
        <v>0</v>
      </c>
      <c r="H113" s="101" t="e">
        <f>'收入支出明细表（基础数据表）'!H113</f>
        <v>#DIV/0!</v>
      </c>
      <c r="I113" s="101" t="e">
        <f>'收入支出明细表（基础数据表）'!I113</f>
        <v>#DIV/0!</v>
      </c>
      <c r="J113" s="101" t="e">
        <f>'收入支出明细表（基础数据表）'!J113</f>
        <v>#DIV/0!</v>
      </c>
      <c r="K113" s="101" t="e">
        <f>'收入支出明细表（基础数据表）'!K113</f>
        <v>#DIV/0!</v>
      </c>
      <c r="L113" s="101" t="e">
        <f>'收入支出明细表（基础数据表）'!L113</f>
        <v>#DIV/0!</v>
      </c>
      <c r="M113" s="101" t="e">
        <f>'收入支出明细表（基础数据表）'!M113</f>
        <v>#DIV/0!</v>
      </c>
      <c r="N113" s="101" t="e">
        <f>'收入支出明细表（基础数据表）'!N113</f>
        <v>#DIV/0!</v>
      </c>
      <c r="O113" s="101" t="e">
        <f>'收入支出明细表（基础数据表）'!O113</f>
        <v>#DIV/0!</v>
      </c>
      <c r="P113" s="101" t="e">
        <f>'收入支出明细表（基础数据表）'!P113</f>
        <v>#DIV/0!</v>
      </c>
      <c r="Q113" s="101" t="e">
        <f>'收入支出明细表（基础数据表）'!Q113</f>
        <v>#DIV/0!</v>
      </c>
      <c r="R113" s="101" t="e">
        <f>'收入支出明细表（基础数据表）'!R113</f>
        <v>#DIV/0!</v>
      </c>
      <c r="S113" s="101" t="e">
        <f>'收入支出明细表（基础数据表）'!S113</f>
        <v>#DIV/0!</v>
      </c>
    </row>
    <row r="114" spans="1:19" ht="22.05" customHeight="1" x14ac:dyDescent="0.25">
      <c r="A114" s="206"/>
      <c r="B114" s="210"/>
      <c r="C114" s="241" t="s">
        <v>161</v>
      </c>
      <c r="D114" s="79" t="s">
        <v>149</v>
      </c>
      <c r="E114" s="104">
        <f>'收入支出明细表（基础数据表）'!E114</f>
        <v>0</v>
      </c>
      <c r="F114" s="84">
        <f>'收入支出明细表（基础数据表）'!F114</f>
        <v>0.09</v>
      </c>
      <c r="G114" s="99">
        <f>'收入支出明细表（基础数据表）'!G114</f>
        <v>0</v>
      </c>
      <c r="H114" s="103">
        <f>'收入支出明细表（基础数据表）'!H114</f>
        <v>0</v>
      </c>
      <c r="I114" s="103">
        <f>'收入支出明细表（基础数据表）'!I114</f>
        <v>0</v>
      </c>
      <c r="J114" s="103">
        <f>'收入支出明细表（基础数据表）'!J114</f>
        <v>0</v>
      </c>
      <c r="K114" s="103">
        <f>'收入支出明细表（基础数据表）'!K114</f>
        <v>0</v>
      </c>
      <c r="L114" s="103">
        <f>'收入支出明细表（基础数据表）'!L114</f>
        <v>0</v>
      </c>
      <c r="M114" s="103">
        <f>'收入支出明细表（基础数据表）'!M114</f>
        <v>0</v>
      </c>
      <c r="N114" s="103">
        <f>'收入支出明细表（基础数据表）'!N114</f>
        <v>0</v>
      </c>
      <c r="O114" s="103">
        <f>'收入支出明细表（基础数据表）'!O114</f>
        <v>0</v>
      </c>
      <c r="P114" s="103">
        <f>'收入支出明细表（基础数据表）'!P114</f>
        <v>0</v>
      </c>
      <c r="Q114" s="103">
        <f>'收入支出明细表（基础数据表）'!Q114</f>
        <v>0</v>
      </c>
      <c r="R114" s="103">
        <f>'收入支出明细表（基础数据表）'!R114</f>
        <v>0</v>
      </c>
      <c r="S114" s="103">
        <f>'收入支出明细表（基础数据表）'!S114</f>
        <v>0</v>
      </c>
    </row>
    <row r="115" spans="1:19" ht="22.05" customHeight="1" x14ac:dyDescent="0.25">
      <c r="A115" s="206"/>
      <c r="B115" s="210"/>
      <c r="C115" s="242"/>
      <c r="D115" s="79" t="s">
        <v>150</v>
      </c>
      <c r="E115" s="104">
        <f>'收入支出明细表（基础数据表）'!E115</f>
        <v>0</v>
      </c>
      <c r="F115" s="102">
        <f>'收入支出明细表（基础数据表）'!F115</f>
        <v>0</v>
      </c>
      <c r="G115" s="99">
        <f>'收入支出明细表（基础数据表）'!G115</f>
        <v>0</v>
      </c>
      <c r="H115" s="99">
        <f>'收入支出明细表（基础数据表）'!H115</f>
        <v>0</v>
      </c>
      <c r="I115" s="99">
        <f>'收入支出明细表（基础数据表）'!I115</f>
        <v>0</v>
      </c>
      <c r="J115" s="99">
        <f>'收入支出明细表（基础数据表）'!J115</f>
        <v>0</v>
      </c>
      <c r="K115" s="99">
        <f>'收入支出明细表（基础数据表）'!K115</f>
        <v>0</v>
      </c>
      <c r="L115" s="99">
        <f>'收入支出明细表（基础数据表）'!L115</f>
        <v>0</v>
      </c>
      <c r="M115" s="99">
        <f>'收入支出明细表（基础数据表）'!M115</f>
        <v>0</v>
      </c>
      <c r="N115" s="99">
        <f>'收入支出明细表（基础数据表）'!N115</f>
        <v>0</v>
      </c>
      <c r="O115" s="99">
        <f>'收入支出明细表（基础数据表）'!O115</f>
        <v>0</v>
      </c>
      <c r="P115" s="99">
        <f>'收入支出明细表（基础数据表）'!P115</f>
        <v>0</v>
      </c>
      <c r="Q115" s="99">
        <f>'收入支出明细表（基础数据表）'!Q115</f>
        <v>0</v>
      </c>
      <c r="R115" s="99">
        <f>'收入支出明细表（基础数据表）'!R115</f>
        <v>0</v>
      </c>
      <c r="S115" s="99">
        <f>'收入支出明细表（基础数据表）'!S115</f>
        <v>0</v>
      </c>
    </row>
    <row r="116" spans="1:19" ht="22.05" customHeight="1" x14ac:dyDescent="0.25">
      <c r="A116" s="206"/>
      <c r="B116" s="210"/>
      <c r="C116" s="243"/>
      <c r="D116" s="79" t="s">
        <v>151</v>
      </c>
      <c r="E116" s="104">
        <f>'收入支出明细表（基础数据表）'!E116</f>
        <v>0</v>
      </c>
      <c r="F116" s="102">
        <f>'收入支出明细表（基础数据表）'!F116</f>
        <v>0</v>
      </c>
      <c r="G116" s="99">
        <f>'收入支出明细表（基础数据表）'!G116</f>
        <v>0</v>
      </c>
      <c r="H116" s="101" t="e">
        <f>'收入支出明细表（基础数据表）'!H116</f>
        <v>#DIV/0!</v>
      </c>
      <c r="I116" s="101" t="e">
        <f>'收入支出明细表（基础数据表）'!I116</f>
        <v>#DIV/0!</v>
      </c>
      <c r="J116" s="101" t="e">
        <f>'收入支出明细表（基础数据表）'!J116</f>
        <v>#DIV/0!</v>
      </c>
      <c r="K116" s="101" t="e">
        <f>'收入支出明细表（基础数据表）'!K116</f>
        <v>#DIV/0!</v>
      </c>
      <c r="L116" s="101" t="e">
        <f>'收入支出明细表（基础数据表）'!L116</f>
        <v>#DIV/0!</v>
      </c>
      <c r="M116" s="101" t="e">
        <f>'收入支出明细表（基础数据表）'!M116</f>
        <v>#DIV/0!</v>
      </c>
      <c r="N116" s="101" t="e">
        <f>'收入支出明细表（基础数据表）'!N116</f>
        <v>#DIV/0!</v>
      </c>
      <c r="O116" s="101" t="e">
        <f>'收入支出明细表（基础数据表）'!O116</f>
        <v>#DIV/0!</v>
      </c>
      <c r="P116" s="101" t="e">
        <f>'收入支出明细表（基础数据表）'!P116</f>
        <v>#DIV/0!</v>
      </c>
      <c r="Q116" s="101" t="e">
        <f>'收入支出明细表（基础数据表）'!Q116</f>
        <v>#DIV/0!</v>
      </c>
      <c r="R116" s="101" t="e">
        <f>'收入支出明细表（基础数据表）'!R116</f>
        <v>#DIV/0!</v>
      </c>
      <c r="S116" s="101" t="e">
        <f>'收入支出明细表（基础数据表）'!S116</f>
        <v>#DIV/0!</v>
      </c>
    </row>
    <row r="117" spans="1:19" ht="22.05" customHeight="1" x14ac:dyDescent="0.25">
      <c r="A117" s="206"/>
      <c r="B117" s="210"/>
      <c r="C117" s="241" t="s">
        <v>163</v>
      </c>
      <c r="D117" s="79" t="s">
        <v>149</v>
      </c>
      <c r="E117" s="104">
        <f>'收入支出明细表（基础数据表）'!E117</f>
        <v>0</v>
      </c>
      <c r="F117" s="84">
        <f>'收入支出明细表（基础数据表）'!F117</f>
        <v>0.09</v>
      </c>
      <c r="G117" s="99">
        <f>'收入支出明细表（基础数据表）'!G117</f>
        <v>0</v>
      </c>
      <c r="H117" s="103">
        <f>'收入支出明细表（基础数据表）'!H117</f>
        <v>0</v>
      </c>
      <c r="I117" s="103">
        <f>'收入支出明细表（基础数据表）'!I117</f>
        <v>0</v>
      </c>
      <c r="J117" s="103">
        <f>'收入支出明细表（基础数据表）'!J117</f>
        <v>0</v>
      </c>
      <c r="K117" s="103">
        <f>'收入支出明细表（基础数据表）'!K117</f>
        <v>0</v>
      </c>
      <c r="L117" s="103">
        <f>'收入支出明细表（基础数据表）'!L117</f>
        <v>0</v>
      </c>
      <c r="M117" s="103">
        <f>'收入支出明细表（基础数据表）'!M117</f>
        <v>0</v>
      </c>
      <c r="N117" s="103">
        <f>'收入支出明细表（基础数据表）'!N117</f>
        <v>0</v>
      </c>
      <c r="O117" s="103">
        <f>'收入支出明细表（基础数据表）'!O117</f>
        <v>0</v>
      </c>
      <c r="P117" s="103">
        <f>'收入支出明细表（基础数据表）'!P117</f>
        <v>0</v>
      </c>
      <c r="Q117" s="103">
        <f>'收入支出明细表（基础数据表）'!Q117</f>
        <v>0</v>
      </c>
      <c r="R117" s="103">
        <f>'收入支出明细表（基础数据表）'!R117</f>
        <v>0</v>
      </c>
      <c r="S117" s="103">
        <f>'收入支出明细表（基础数据表）'!S117</f>
        <v>0</v>
      </c>
    </row>
    <row r="118" spans="1:19" ht="22.05" customHeight="1" x14ac:dyDescent="0.25">
      <c r="A118" s="206"/>
      <c r="B118" s="210"/>
      <c r="C118" s="242"/>
      <c r="D118" s="79" t="s">
        <v>150</v>
      </c>
      <c r="E118" s="104">
        <f>'收入支出明细表（基础数据表）'!E118</f>
        <v>0</v>
      </c>
      <c r="F118" s="102">
        <f>'收入支出明细表（基础数据表）'!F118</f>
        <v>0</v>
      </c>
      <c r="G118" s="99">
        <f>'收入支出明细表（基础数据表）'!G118</f>
        <v>0</v>
      </c>
      <c r="H118" s="99">
        <f>'收入支出明细表（基础数据表）'!H118</f>
        <v>0</v>
      </c>
      <c r="I118" s="99">
        <f>'收入支出明细表（基础数据表）'!I118</f>
        <v>0</v>
      </c>
      <c r="J118" s="99">
        <f>'收入支出明细表（基础数据表）'!J118</f>
        <v>0</v>
      </c>
      <c r="K118" s="99">
        <f>'收入支出明细表（基础数据表）'!K118</f>
        <v>0</v>
      </c>
      <c r="L118" s="99">
        <f>'收入支出明细表（基础数据表）'!L118</f>
        <v>0</v>
      </c>
      <c r="M118" s="99">
        <f>'收入支出明细表（基础数据表）'!M118</f>
        <v>0</v>
      </c>
      <c r="N118" s="99">
        <f>'收入支出明细表（基础数据表）'!N118</f>
        <v>0</v>
      </c>
      <c r="O118" s="99">
        <f>'收入支出明细表（基础数据表）'!O118</f>
        <v>0</v>
      </c>
      <c r="P118" s="99">
        <f>'收入支出明细表（基础数据表）'!P118</f>
        <v>0</v>
      </c>
      <c r="Q118" s="99">
        <f>'收入支出明细表（基础数据表）'!Q118</f>
        <v>0</v>
      </c>
      <c r="R118" s="99">
        <f>'收入支出明细表（基础数据表）'!R118</f>
        <v>0</v>
      </c>
      <c r="S118" s="99">
        <f>'收入支出明细表（基础数据表）'!S118</f>
        <v>0</v>
      </c>
    </row>
    <row r="119" spans="1:19" ht="22.05" customHeight="1" x14ac:dyDescent="0.25">
      <c r="A119" s="206"/>
      <c r="B119" s="210"/>
      <c r="C119" s="243"/>
      <c r="D119" s="79" t="s">
        <v>151</v>
      </c>
      <c r="E119" s="104">
        <f>'收入支出明细表（基础数据表）'!E119</f>
        <v>0</v>
      </c>
      <c r="F119" s="102">
        <f>'收入支出明细表（基础数据表）'!F119</f>
        <v>0</v>
      </c>
      <c r="G119" s="99">
        <f>'收入支出明细表（基础数据表）'!G119</f>
        <v>0</v>
      </c>
      <c r="H119" s="101" t="e">
        <f>'收入支出明细表（基础数据表）'!H119</f>
        <v>#DIV/0!</v>
      </c>
      <c r="I119" s="101" t="e">
        <f>'收入支出明细表（基础数据表）'!I119</f>
        <v>#DIV/0!</v>
      </c>
      <c r="J119" s="101" t="e">
        <f>'收入支出明细表（基础数据表）'!J119</f>
        <v>#DIV/0!</v>
      </c>
      <c r="K119" s="101" t="e">
        <f>'收入支出明细表（基础数据表）'!K119</f>
        <v>#DIV/0!</v>
      </c>
      <c r="L119" s="101" t="e">
        <f>'收入支出明细表（基础数据表）'!L119</f>
        <v>#DIV/0!</v>
      </c>
      <c r="M119" s="101" t="e">
        <f>'收入支出明细表（基础数据表）'!M119</f>
        <v>#DIV/0!</v>
      </c>
      <c r="N119" s="101" t="e">
        <f>'收入支出明细表（基础数据表）'!N119</f>
        <v>#DIV/0!</v>
      </c>
      <c r="O119" s="101" t="e">
        <f>'收入支出明细表（基础数据表）'!O119</f>
        <v>#DIV/0!</v>
      </c>
      <c r="P119" s="101" t="e">
        <f>'收入支出明细表（基础数据表）'!P119</f>
        <v>#DIV/0!</v>
      </c>
      <c r="Q119" s="101" t="e">
        <f>'收入支出明细表（基础数据表）'!Q119</f>
        <v>#DIV/0!</v>
      </c>
      <c r="R119" s="101" t="e">
        <f>'收入支出明细表（基础数据表）'!R119</f>
        <v>#DIV/0!</v>
      </c>
      <c r="S119" s="101" t="e">
        <f>'收入支出明细表（基础数据表）'!S119</f>
        <v>#DIV/0!</v>
      </c>
    </row>
    <row r="120" spans="1:19" ht="22.05" customHeight="1" x14ac:dyDescent="0.25">
      <c r="A120" s="206"/>
      <c r="B120" s="210"/>
      <c r="C120" s="86" t="s">
        <v>125</v>
      </c>
      <c r="D120" s="86"/>
      <c r="E120" s="104">
        <f>'收入支出明细表（基础数据表）'!E120</f>
        <v>0</v>
      </c>
      <c r="F120" s="102">
        <f>'收入支出明细表（基础数据表）'!F120</f>
        <v>0</v>
      </c>
      <c r="G120" s="99">
        <f>'收入支出明细表（基础数据表）'!G120</f>
        <v>0</v>
      </c>
      <c r="H120" s="103">
        <f>'收入支出明细表（基础数据表）'!H120</f>
        <v>0</v>
      </c>
      <c r="I120" s="103">
        <f>'收入支出明细表（基础数据表）'!I120</f>
        <v>0</v>
      </c>
      <c r="J120" s="103">
        <f>'收入支出明细表（基础数据表）'!J120</f>
        <v>0</v>
      </c>
      <c r="K120" s="103">
        <f>'收入支出明细表（基础数据表）'!K120</f>
        <v>0</v>
      </c>
      <c r="L120" s="103">
        <f>'收入支出明细表（基础数据表）'!L120</f>
        <v>0</v>
      </c>
      <c r="M120" s="103">
        <f>'收入支出明细表（基础数据表）'!M120</f>
        <v>0</v>
      </c>
      <c r="N120" s="103">
        <f>'收入支出明细表（基础数据表）'!N120</f>
        <v>0</v>
      </c>
      <c r="O120" s="103">
        <f>'收入支出明细表（基础数据表）'!O120</f>
        <v>0</v>
      </c>
      <c r="P120" s="103">
        <f>'收入支出明细表（基础数据表）'!P120</f>
        <v>0</v>
      </c>
      <c r="Q120" s="103">
        <f>'收入支出明细表（基础数据表）'!Q120</f>
        <v>0</v>
      </c>
      <c r="R120" s="103">
        <f>'收入支出明细表（基础数据表）'!R120</f>
        <v>0</v>
      </c>
      <c r="S120" s="103">
        <f>'收入支出明细表（基础数据表）'!S120</f>
        <v>0</v>
      </c>
    </row>
    <row r="121" spans="1:19" ht="22.05" customHeight="1" x14ac:dyDescent="0.25">
      <c r="A121" s="206"/>
      <c r="B121" s="211" t="s">
        <v>166</v>
      </c>
      <c r="C121" s="246" t="s">
        <v>167</v>
      </c>
      <c r="D121" s="79" t="s">
        <v>149</v>
      </c>
      <c r="E121" s="109">
        <f>'收入支出明细表（基础数据表）'!E121</f>
        <v>0</v>
      </c>
      <c r="F121" s="102">
        <f>'收入支出明细表（基础数据表）'!F121</f>
        <v>0</v>
      </c>
      <c r="G121" s="99">
        <f>'收入支出明细表（基础数据表）'!G121</f>
        <v>0</v>
      </c>
      <c r="H121" s="103">
        <f>'收入支出明细表（基础数据表）'!H121</f>
        <v>0</v>
      </c>
      <c r="I121" s="103">
        <f>'收入支出明细表（基础数据表）'!I121</f>
        <v>0</v>
      </c>
      <c r="J121" s="103">
        <f>'收入支出明细表（基础数据表）'!J121</f>
        <v>0</v>
      </c>
      <c r="K121" s="103">
        <f>'收入支出明细表（基础数据表）'!K121</f>
        <v>0</v>
      </c>
      <c r="L121" s="103">
        <f>'收入支出明细表（基础数据表）'!L121</f>
        <v>0</v>
      </c>
      <c r="M121" s="103">
        <f>'收入支出明细表（基础数据表）'!M121</f>
        <v>0</v>
      </c>
      <c r="N121" s="103">
        <f>'收入支出明细表（基础数据表）'!N121</f>
        <v>0</v>
      </c>
      <c r="O121" s="103">
        <f>'收入支出明细表（基础数据表）'!O121</f>
        <v>0</v>
      </c>
      <c r="P121" s="103">
        <f>'收入支出明细表（基础数据表）'!P121</f>
        <v>0</v>
      </c>
      <c r="Q121" s="103">
        <f>'收入支出明细表（基础数据表）'!Q121</f>
        <v>0</v>
      </c>
      <c r="R121" s="103">
        <f>'收入支出明细表（基础数据表）'!R121</f>
        <v>0</v>
      </c>
      <c r="S121" s="103">
        <f>'收入支出明细表（基础数据表）'!S121</f>
        <v>0</v>
      </c>
    </row>
    <row r="122" spans="1:19" ht="22.05" customHeight="1" x14ac:dyDescent="0.25">
      <c r="A122" s="206"/>
      <c r="B122" s="212"/>
      <c r="C122" s="247"/>
      <c r="D122" s="79" t="s">
        <v>150</v>
      </c>
      <c r="E122" s="109">
        <f>'收入支出明细表（基础数据表）'!E122</f>
        <v>0</v>
      </c>
      <c r="F122" s="102">
        <f>'收入支出明细表（基础数据表）'!F122</f>
        <v>0</v>
      </c>
      <c r="G122" s="99">
        <f>'收入支出明细表（基础数据表）'!G122</f>
        <v>0</v>
      </c>
      <c r="H122" s="103">
        <f>'收入支出明细表（基础数据表）'!H122</f>
        <v>0</v>
      </c>
      <c r="I122" s="103">
        <f>'收入支出明细表（基础数据表）'!I122</f>
        <v>0</v>
      </c>
      <c r="J122" s="103">
        <f>'收入支出明细表（基础数据表）'!J122</f>
        <v>0</v>
      </c>
      <c r="K122" s="103">
        <f>'收入支出明细表（基础数据表）'!K122</f>
        <v>0</v>
      </c>
      <c r="L122" s="103">
        <f>'收入支出明细表（基础数据表）'!L122</f>
        <v>0</v>
      </c>
      <c r="M122" s="103">
        <f>'收入支出明细表（基础数据表）'!M122</f>
        <v>0</v>
      </c>
      <c r="N122" s="103">
        <f>'收入支出明细表（基础数据表）'!N122</f>
        <v>0</v>
      </c>
      <c r="O122" s="103">
        <f>'收入支出明细表（基础数据表）'!O122</f>
        <v>0</v>
      </c>
      <c r="P122" s="103">
        <f>'收入支出明细表（基础数据表）'!P122</f>
        <v>0</v>
      </c>
      <c r="Q122" s="103">
        <f>'收入支出明细表（基础数据表）'!Q122</f>
        <v>0</v>
      </c>
      <c r="R122" s="103">
        <f>'收入支出明细表（基础数据表）'!R122</f>
        <v>0</v>
      </c>
      <c r="S122" s="103">
        <f>'收入支出明细表（基础数据表）'!S122</f>
        <v>0</v>
      </c>
    </row>
    <row r="123" spans="1:19" ht="22.05" customHeight="1" x14ac:dyDescent="0.25">
      <c r="A123" s="206"/>
      <c r="B123" s="212"/>
      <c r="C123" s="247"/>
      <c r="D123" s="79" t="s">
        <v>151</v>
      </c>
      <c r="E123" s="109">
        <f>'收入支出明细表（基础数据表）'!E123</f>
        <v>0</v>
      </c>
      <c r="F123" s="102">
        <f>'收入支出明细表（基础数据表）'!F123</f>
        <v>0</v>
      </c>
      <c r="G123" s="99">
        <f>'收入支出明细表（基础数据表）'!G123</f>
        <v>0</v>
      </c>
      <c r="H123" s="101" t="e">
        <f>'收入支出明细表（基础数据表）'!H123</f>
        <v>#DIV/0!</v>
      </c>
      <c r="I123" s="101" t="e">
        <f>'收入支出明细表（基础数据表）'!I123</f>
        <v>#DIV/0!</v>
      </c>
      <c r="J123" s="101" t="e">
        <f>'收入支出明细表（基础数据表）'!J123</f>
        <v>#DIV/0!</v>
      </c>
      <c r="K123" s="101" t="e">
        <f>'收入支出明细表（基础数据表）'!K123</f>
        <v>#DIV/0!</v>
      </c>
      <c r="L123" s="101" t="e">
        <f>'收入支出明细表（基础数据表）'!L123</f>
        <v>#DIV/0!</v>
      </c>
      <c r="M123" s="101" t="e">
        <f>'收入支出明细表（基础数据表）'!M123</f>
        <v>#DIV/0!</v>
      </c>
      <c r="N123" s="101" t="e">
        <f>'收入支出明细表（基础数据表）'!N123</f>
        <v>#DIV/0!</v>
      </c>
      <c r="O123" s="101" t="e">
        <f>'收入支出明细表（基础数据表）'!O123</f>
        <v>#DIV/0!</v>
      </c>
      <c r="P123" s="101" t="e">
        <f>'收入支出明细表（基础数据表）'!P123</f>
        <v>#DIV/0!</v>
      </c>
      <c r="Q123" s="101" t="e">
        <f>'收入支出明细表（基础数据表）'!Q123</f>
        <v>#DIV/0!</v>
      </c>
      <c r="R123" s="101" t="e">
        <f>'收入支出明细表（基础数据表）'!R123</f>
        <v>#DIV/0!</v>
      </c>
      <c r="S123" s="101" t="e">
        <f>'收入支出明细表（基础数据表）'!S123</f>
        <v>#DIV/0!</v>
      </c>
    </row>
    <row r="124" spans="1:19" ht="22.05" customHeight="1" x14ac:dyDescent="0.25">
      <c r="A124" s="206"/>
      <c r="B124" s="212"/>
      <c r="C124" s="220" t="s">
        <v>154</v>
      </c>
      <c r="D124" s="79" t="s">
        <v>149</v>
      </c>
      <c r="E124" s="109">
        <f>'收入支出明细表（基础数据表）'!E124</f>
        <v>0</v>
      </c>
      <c r="F124" s="84">
        <f>'收入支出明细表（基础数据表）'!F124</f>
        <v>0.13</v>
      </c>
      <c r="G124" s="99">
        <f>'收入支出明细表（基础数据表）'!G124</f>
        <v>0</v>
      </c>
      <c r="H124" s="103">
        <f>'收入支出明细表（基础数据表）'!H124</f>
        <v>0</v>
      </c>
      <c r="I124" s="103">
        <f>'收入支出明细表（基础数据表）'!I124</f>
        <v>0</v>
      </c>
      <c r="J124" s="103">
        <f>'收入支出明细表（基础数据表）'!J124</f>
        <v>0</v>
      </c>
      <c r="K124" s="103">
        <f>'收入支出明细表（基础数据表）'!K124</f>
        <v>0</v>
      </c>
      <c r="L124" s="103">
        <f>'收入支出明细表（基础数据表）'!L124</f>
        <v>0</v>
      </c>
      <c r="M124" s="103">
        <f>'收入支出明细表（基础数据表）'!M124</f>
        <v>0</v>
      </c>
      <c r="N124" s="103">
        <f>'收入支出明细表（基础数据表）'!N124</f>
        <v>0</v>
      </c>
      <c r="O124" s="103">
        <f>'收入支出明细表（基础数据表）'!O124</f>
        <v>0</v>
      </c>
      <c r="P124" s="103">
        <f>'收入支出明细表（基础数据表）'!P124</f>
        <v>0</v>
      </c>
      <c r="Q124" s="103">
        <f>'收入支出明细表（基础数据表）'!Q124</f>
        <v>0</v>
      </c>
      <c r="R124" s="103">
        <f>'收入支出明细表（基础数据表）'!R124</f>
        <v>0</v>
      </c>
      <c r="S124" s="103">
        <f>'收入支出明细表（基础数据表）'!S124</f>
        <v>0</v>
      </c>
    </row>
    <row r="125" spans="1:19" ht="22.05" customHeight="1" x14ac:dyDescent="0.25">
      <c r="A125" s="206"/>
      <c r="B125" s="212"/>
      <c r="C125" s="221"/>
      <c r="D125" s="79" t="s">
        <v>150</v>
      </c>
      <c r="E125" s="109">
        <f>'收入支出明细表（基础数据表）'!E125</f>
        <v>0</v>
      </c>
      <c r="F125" s="102">
        <f>'收入支出明细表（基础数据表）'!F125</f>
        <v>0</v>
      </c>
      <c r="G125" s="99">
        <f>'收入支出明细表（基础数据表）'!G125</f>
        <v>0</v>
      </c>
      <c r="H125" s="99">
        <f>'收入支出明细表（基础数据表）'!H125</f>
        <v>0</v>
      </c>
      <c r="I125" s="99">
        <f>'收入支出明细表（基础数据表）'!I125</f>
        <v>0</v>
      </c>
      <c r="J125" s="99">
        <f>'收入支出明细表（基础数据表）'!J125</f>
        <v>0</v>
      </c>
      <c r="K125" s="99">
        <f>'收入支出明细表（基础数据表）'!K125</f>
        <v>0</v>
      </c>
      <c r="L125" s="99">
        <f>'收入支出明细表（基础数据表）'!L125</f>
        <v>0</v>
      </c>
      <c r="M125" s="99">
        <f>'收入支出明细表（基础数据表）'!M125</f>
        <v>0</v>
      </c>
      <c r="N125" s="99">
        <f>'收入支出明细表（基础数据表）'!N125</f>
        <v>0</v>
      </c>
      <c r="O125" s="99">
        <f>'收入支出明细表（基础数据表）'!O125</f>
        <v>0</v>
      </c>
      <c r="P125" s="99">
        <f>'收入支出明细表（基础数据表）'!P125</f>
        <v>0</v>
      </c>
      <c r="Q125" s="99">
        <f>'收入支出明细表（基础数据表）'!Q125</f>
        <v>0</v>
      </c>
      <c r="R125" s="99">
        <f>'收入支出明细表（基础数据表）'!R125</f>
        <v>0</v>
      </c>
      <c r="S125" s="99">
        <f>'收入支出明细表（基础数据表）'!S125</f>
        <v>0</v>
      </c>
    </row>
    <row r="126" spans="1:19" ht="22.05" customHeight="1" x14ac:dyDescent="0.25">
      <c r="A126" s="206"/>
      <c r="B126" s="212"/>
      <c r="C126" s="222"/>
      <c r="D126" s="79" t="s">
        <v>151</v>
      </c>
      <c r="E126" s="109">
        <f>'收入支出明细表（基础数据表）'!E126</f>
        <v>0</v>
      </c>
      <c r="F126" s="102">
        <f>'收入支出明细表（基础数据表）'!F126</f>
        <v>0</v>
      </c>
      <c r="G126" s="99">
        <f>'收入支出明细表（基础数据表）'!G126</f>
        <v>0</v>
      </c>
      <c r="H126" s="101" t="e">
        <f>'收入支出明细表（基础数据表）'!H126</f>
        <v>#DIV/0!</v>
      </c>
      <c r="I126" s="101" t="e">
        <f>'收入支出明细表（基础数据表）'!I126</f>
        <v>#DIV/0!</v>
      </c>
      <c r="J126" s="101" t="e">
        <f>'收入支出明细表（基础数据表）'!J126</f>
        <v>#DIV/0!</v>
      </c>
      <c r="K126" s="101" t="e">
        <f>'收入支出明细表（基础数据表）'!K126</f>
        <v>#DIV/0!</v>
      </c>
      <c r="L126" s="101" t="e">
        <f>'收入支出明细表（基础数据表）'!L126</f>
        <v>#DIV/0!</v>
      </c>
      <c r="M126" s="101" t="e">
        <f>'收入支出明细表（基础数据表）'!M126</f>
        <v>#DIV/0!</v>
      </c>
      <c r="N126" s="101" t="e">
        <f>'收入支出明细表（基础数据表）'!N126</f>
        <v>#DIV/0!</v>
      </c>
      <c r="O126" s="101" t="e">
        <f>'收入支出明细表（基础数据表）'!O126</f>
        <v>#DIV/0!</v>
      </c>
      <c r="P126" s="101" t="e">
        <f>'收入支出明细表（基础数据表）'!P126</f>
        <v>#DIV/0!</v>
      </c>
      <c r="Q126" s="101" t="e">
        <f>'收入支出明细表（基础数据表）'!Q126</f>
        <v>#DIV/0!</v>
      </c>
      <c r="R126" s="101" t="e">
        <f>'收入支出明细表（基础数据表）'!R126</f>
        <v>#DIV/0!</v>
      </c>
      <c r="S126" s="101" t="e">
        <f>'收入支出明细表（基础数据表）'!S126</f>
        <v>#DIV/0!</v>
      </c>
    </row>
    <row r="127" spans="1:19" ht="22.05" customHeight="1" x14ac:dyDescent="0.25">
      <c r="A127" s="206"/>
      <c r="B127" s="212"/>
      <c r="C127" s="220" t="s">
        <v>156</v>
      </c>
      <c r="D127" s="79" t="s">
        <v>149</v>
      </c>
      <c r="E127" s="109">
        <f>'收入支出明细表（基础数据表）'!E127</f>
        <v>0</v>
      </c>
      <c r="F127" s="84">
        <f>'收入支出明细表（基础数据表）'!F127</f>
        <v>0.06</v>
      </c>
      <c r="G127" s="99">
        <f>'收入支出明细表（基础数据表）'!G127</f>
        <v>0</v>
      </c>
      <c r="H127" s="103">
        <f>'收入支出明细表（基础数据表）'!H127</f>
        <v>0</v>
      </c>
      <c r="I127" s="103">
        <f>'收入支出明细表（基础数据表）'!I127</f>
        <v>0</v>
      </c>
      <c r="J127" s="103">
        <f>'收入支出明细表（基础数据表）'!J127</f>
        <v>0</v>
      </c>
      <c r="K127" s="103">
        <f>'收入支出明细表（基础数据表）'!K127</f>
        <v>0</v>
      </c>
      <c r="L127" s="103">
        <f>'收入支出明细表（基础数据表）'!L127</f>
        <v>0</v>
      </c>
      <c r="M127" s="103">
        <f>'收入支出明细表（基础数据表）'!M127</f>
        <v>0</v>
      </c>
      <c r="N127" s="103">
        <f>'收入支出明细表（基础数据表）'!N127</f>
        <v>0</v>
      </c>
      <c r="O127" s="103">
        <f>'收入支出明细表（基础数据表）'!O127</f>
        <v>0</v>
      </c>
      <c r="P127" s="103">
        <f>'收入支出明细表（基础数据表）'!P127</f>
        <v>0</v>
      </c>
      <c r="Q127" s="103">
        <f>'收入支出明细表（基础数据表）'!Q127</f>
        <v>0</v>
      </c>
      <c r="R127" s="103">
        <f>'收入支出明细表（基础数据表）'!R127</f>
        <v>0</v>
      </c>
      <c r="S127" s="103">
        <f>'收入支出明细表（基础数据表）'!S127</f>
        <v>0</v>
      </c>
    </row>
    <row r="128" spans="1:19" ht="22.05" customHeight="1" x14ac:dyDescent="0.25">
      <c r="A128" s="206"/>
      <c r="B128" s="212"/>
      <c r="C128" s="221"/>
      <c r="D128" s="79" t="s">
        <v>150</v>
      </c>
      <c r="E128" s="109">
        <f>'收入支出明细表（基础数据表）'!E128</f>
        <v>0</v>
      </c>
      <c r="F128" s="102">
        <f>'收入支出明细表（基础数据表）'!F128</f>
        <v>0</v>
      </c>
      <c r="G128" s="99">
        <f>'收入支出明细表（基础数据表）'!G128</f>
        <v>0</v>
      </c>
      <c r="H128" s="99">
        <f>'收入支出明细表（基础数据表）'!H128</f>
        <v>0</v>
      </c>
      <c r="I128" s="99">
        <f>'收入支出明细表（基础数据表）'!I128</f>
        <v>0</v>
      </c>
      <c r="J128" s="99">
        <f>'收入支出明细表（基础数据表）'!J128</f>
        <v>0</v>
      </c>
      <c r="K128" s="99">
        <f>'收入支出明细表（基础数据表）'!K128</f>
        <v>0</v>
      </c>
      <c r="L128" s="99">
        <f>'收入支出明细表（基础数据表）'!L128</f>
        <v>0</v>
      </c>
      <c r="M128" s="99">
        <f>'收入支出明细表（基础数据表）'!M128</f>
        <v>0</v>
      </c>
      <c r="N128" s="99">
        <f>'收入支出明细表（基础数据表）'!N128</f>
        <v>0</v>
      </c>
      <c r="O128" s="99">
        <f>'收入支出明细表（基础数据表）'!O128</f>
        <v>0</v>
      </c>
      <c r="P128" s="99">
        <f>'收入支出明细表（基础数据表）'!P128</f>
        <v>0</v>
      </c>
      <c r="Q128" s="99">
        <f>'收入支出明细表（基础数据表）'!Q128</f>
        <v>0</v>
      </c>
      <c r="R128" s="99">
        <f>'收入支出明细表（基础数据表）'!R128</f>
        <v>0</v>
      </c>
      <c r="S128" s="99">
        <f>'收入支出明细表（基础数据表）'!S128</f>
        <v>0</v>
      </c>
    </row>
    <row r="129" spans="1:19" ht="22.05" customHeight="1" x14ac:dyDescent="0.25">
      <c r="A129" s="206"/>
      <c r="B129" s="212"/>
      <c r="C129" s="222"/>
      <c r="D129" s="79" t="s">
        <v>151</v>
      </c>
      <c r="E129" s="109">
        <f>'收入支出明细表（基础数据表）'!E129</f>
        <v>0</v>
      </c>
      <c r="F129" s="102">
        <f>'收入支出明细表（基础数据表）'!F129</f>
        <v>0</v>
      </c>
      <c r="G129" s="99">
        <f>'收入支出明细表（基础数据表）'!G129</f>
        <v>0</v>
      </c>
      <c r="H129" s="101" t="e">
        <f>'收入支出明细表（基础数据表）'!H129</f>
        <v>#DIV/0!</v>
      </c>
      <c r="I129" s="101" t="e">
        <f>'收入支出明细表（基础数据表）'!I129</f>
        <v>#DIV/0!</v>
      </c>
      <c r="J129" s="101" t="e">
        <f>'收入支出明细表（基础数据表）'!J129</f>
        <v>#DIV/0!</v>
      </c>
      <c r="K129" s="101" t="e">
        <f>'收入支出明细表（基础数据表）'!K129</f>
        <v>#DIV/0!</v>
      </c>
      <c r="L129" s="101" t="e">
        <f>'收入支出明细表（基础数据表）'!L129</f>
        <v>#DIV/0!</v>
      </c>
      <c r="M129" s="101" t="e">
        <f>'收入支出明细表（基础数据表）'!M129</f>
        <v>#DIV/0!</v>
      </c>
      <c r="N129" s="101" t="e">
        <f>'收入支出明细表（基础数据表）'!N129</f>
        <v>#DIV/0!</v>
      </c>
      <c r="O129" s="101" t="e">
        <f>'收入支出明细表（基础数据表）'!O129</f>
        <v>#DIV/0!</v>
      </c>
      <c r="P129" s="101" t="e">
        <f>'收入支出明细表（基础数据表）'!P129</f>
        <v>#DIV/0!</v>
      </c>
      <c r="Q129" s="101" t="e">
        <f>'收入支出明细表（基础数据表）'!Q129</f>
        <v>#DIV/0!</v>
      </c>
      <c r="R129" s="101" t="e">
        <f>'收入支出明细表（基础数据表）'!R129</f>
        <v>#DIV/0!</v>
      </c>
      <c r="S129" s="101" t="e">
        <f>'收入支出明细表（基础数据表）'!S129</f>
        <v>#DIV/0!</v>
      </c>
    </row>
    <row r="130" spans="1:19" ht="22.05" customHeight="1" x14ac:dyDescent="0.25">
      <c r="A130" s="206"/>
      <c r="B130" s="212"/>
      <c r="C130" s="220" t="s">
        <v>169</v>
      </c>
      <c r="D130" s="79" t="s">
        <v>149</v>
      </c>
      <c r="E130" s="108">
        <f>'收入支出明细表（基础数据表）'!E130</f>
        <v>0</v>
      </c>
      <c r="F130" s="84">
        <f>'收入支出明细表（基础数据表）'!F130</f>
        <v>0.09</v>
      </c>
      <c r="G130" s="99">
        <f>'收入支出明细表（基础数据表）'!G130</f>
        <v>0</v>
      </c>
      <c r="H130" s="103">
        <f>'收入支出明细表（基础数据表）'!H130</f>
        <v>0</v>
      </c>
      <c r="I130" s="103">
        <f>'收入支出明细表（基础数据表）'!I130</f>
        <v>0</v>
      </c>
      <c r="J130" s="103">
        <f>'收入支出明细表（基础数据表）'!J130</f>
        <v>0</v>
      </c>
      <c r="K130" s="103">
        <f>'收入支出明细表（基础数据表）'!K130</f>
        <v>0</v>
      </c>
      <c r="L130" s="103">
        <f>'收入支出明细表（基础数据表）'!L130</f>
        <v>0</v>
      </c>
      <c r="M130" s="103">
        <f>'收入支出明细表（基础数据表）'!M130</f>
        <v>0</v>
      </c>
      <c r="N130" s="103">
        <f>'收入支出明细表（基础数据表）'!N130</f>
        <v>0</v>
      </c>
      <c r="O130" s="103">
        <f>'收入支出明细表（基础数据表）'!O130</f>
        <v>0</v>
      </c>
      <c r="P130" s="103">
        <f>'收入支出明细表（基础数据表）'!P130</f>
        <v>0</v>
      </c>
      <c r="Q130" s="103">
        <f>'收入支出明细表（基础数据表）'!Q130</f>
        <v>0</v>
      </c>
      <c r="R130" s="103">
        <f>'收入支出明细表（基础数据表）'!R130</f>
        <v>0</v>
      </c>
      <c r="S130" s="103">
        <f>'收入支出明细表（基础数据表）'!S130</f>
        <v>0</v>
      </c>
    </row>
    <row r="131" spans="1:19" ht="22.05" customHeight="1" x14ac:dyDescent="0.25">
      <c r="A131" s="206"/>
      <c r="B131" s="212"/>
      <c r="C131" s="221"/>
      <c r="D131" s="79" t="s">
        <v>150</v>
      </c>
      <c r="E131" s="108">
        <f>'收入支出明细表（基础数据表）'!E131</f>
        <v>0</v>
      </c>
      <c r="F131" s="102">
        <f>'收入支出明细表（基础数据表）'!F131</f>
        <v>0</v>
      </c>
      <c r="G131" s="99">
        <f>'收入支出明细表（基础数据表）'!G131</f>
        <v>0</v>
      </c>
      <c r="H131" s="99">
        <f>'收入支出明细表（基础数据表）'!H131</f>
        <v>0</v>
      </c>
      <c r="I131" s="99">
        <f>'收入支出明细表（基础数据表）'!I131</f>
        <v>0</v>
      </c>
      <c r="J131" s="99">
        <f>'收入支出明细表（基础数据表）'!J131</f>
        <v>0</v>
      </c>
      <c r="K131" s="99">
        <f>'收入支出明细表（基础数据表）'!K131</f>
        <v>0</v>
      </c>
      <c r="L131" s="99">
        <f>'收入支出明细表（基础数据表）'!L131</f>
        <v>0</v>
      </c>
      <c r="M131" s="99">
        <f>'收入支出明细表（基础数据表）'!M131</f>
        <v>0</v>
      </c>
      <c r="N131" s="99">
        <f>'收入支出明细表（基础数据表）'!N131</f>
        <v>0</v>
      </c>
      <c r="O131" s="99">
        <f>'收入支出明细表（基础数据表）'!O131</f>
        <v>0</v>
      </c>
      <c r="P131" s="99">
        <f>'收入支出明细表（基础数据表）'!P131</f>
        <v>0</v>
      </c>
      <c r="Q131" s="99">
        <f>'收入支出明细表（基础数据表）'!Q131</f>
        <v>0</v>
      </c>
      <c r="R131" s="99">
        <f>'收入支出明细表（基础数据表）'!R131</f>
        <v>0</v>
      </c>
      <c r="S131" s="99">
        <f>'收入支出明细表（基础数据表）'!S131</f>
        <v>0</v>
      </c>
    </row>
    <row r="132" spans="1:19" ht="22.05" customHeight="1" x14ac:dyDescent="0.25">
      <c r="A132" s="206"/>
      <c r="B132" s="212"/>
      <c r="C132" s="222"/>
      <c r="D132" s="79" t="s">
        <v>151</v>
      </c>
      <c r="E132" s="108">
        <f>'收入支出明细表（基础数据表）'!E132</f>
        <v>0</v>
      </c>
      <c r="F132" s="102">
        <f>'收入支出明细表（基础数据表）'!F132</f>
        <v>0</v>
      </c>
      <c r="G132" s="99">
        <f>'收入支出明细表（基础数据表）'!G132</f>
        <v>0</v>
      </c>
      <c r="H132" s="101" t="e">
        <f>'收入支出明细表（基础数据表）'!H132</f>
        <v>#DIV/0!</v>
      </c>
      <c r="I132" s="101" t="e">
        <f>'收入支出明细表（基础数据表）'!I132</f>
        <v>#DIV/0!</v>
      </c>
      <c r="J132" s="101" t="e">
        <f>'收入支出明细表（基础数据表）'!J132</f>
        <v>#DIV/0!</v>
      </c>
      <c r="K132" s="101" t="e">
        <f>'收入支出明细表（基础数据表）'!K132</f>
        <v>#DIV/0!</v>
      </c>
      <c r="L132" s="101" t="e">
        <f>'收入支出明细表（基础数据表）'!L132</f>
        <v>#DIV/0!</v>
      </c>
      <c r="M132" s="101" t="e">
        <f>'收入支出明细表（基础数据表）'!M132</f>
        <v>#DIV/0!</v>
      </c>
      <c r="N132" s="101" t="e">
        <f>'收入支出明细表（基础数据表）'!N132</f>
        <v>#DIV/0!</v>
      </c>
      <c r="O132" s="101" t="e">
        <f>'收入支出明细表（基础数据表）'!O132</f>
        <v>#DIV/0!</v>
      </c>
      <c r="P132" s="101" t="e">
        <f>'收入支出明细表（基础数据表）'!P132</f>
        <v>#DIV/0!</v>
      </c>
      <c r="Q132" s="101" t="e">
        <f>'收入支出明细表（基础数据表）'!Q132</f>
        <v>#DIV/0!</v>
      </c>
      <c r="R132" s="101" t="e">
        <f>'收入支出明细表（基础数据表）'!R132</f>
        <v>#DIV/0!</v>
      </c>
      <c r="S132" s="101" t="e">
        <f>'收入支出明细表（基础数据表）'!S132</f>
        <v>#DIV/0!</v>
      </c>
    </row>
    <row r="133" spans="1:19" ht="22.05" customHeight="1" x14ac:dyDescent="0.25">
      <c r="A133" s="206"/>
      <c r="B133" s="212"/>
      <c r="C133" s="220" t="s">
        <v>170</v>
      </c>
      <c r="D133" s="79" t="s">
        <v>149</v>
      </c>
      <c r="E133" s="108">
        <f>'收入支出明细表（基础数据表）'!E133</f>
        <v>0</v>
      </c>
      <c r="F133" s="84">
        <f>'收入支出明细表（基础数据表）'!F133</f>
        <v>0.06</v>
      </c>
      <c r="G133" s="99">
        <f>'收入支出明细表（基础数据表）'!G133</f>
        <v>0</v>
      </c>
      <c r="H133" s="103">
        <f>'收入支出明细表（基础数据表）'!H133</f>
        <v>0</v>
      </c>
      <c r="I133" s="103">
        <f>'收入支出明细表（基础数据表）'!I133</f>
        <v>0</v>
      </c>
      <c r="J133" s="103">
        <f>'收入支出明细表（基础数据表）'!J133</f>
        <v>0</v>
      </c>
      <c r="K133" s="103">
        <f>'收入支出明细表（基础数据表）'!K133</f>
        <v>0</v>
      </c>
      <c r="L133" s="103">
        <f>'收入支出明细表（基础数据表）'!L133</f>
        <v>0</v>
      </c>
      <c r="M133" s="103">
        <f>'收入支出明细表（基础数据表）'!M133</f>
        <v>0</v>
      </c>
      <c r="N133" s="103">
        <f>'收入支出明细表（基础数据表）'!N133</f>
        <v>0</v>
      </c>
      <c r="O133" s="103">
        <f>'收入支出明细表（基础数据表）'!O133</f>
        <v>0</v>
      </c>
      <c r="P133" s="103">
        <f>'收入支出明细表（基础数据表）'!P133</f>
        <v>0</v>
      </c>
      <c r="Q133" s="103">
        <f>'收入支出明细表（基础数据表）'!Q133</f>
        <v>0</v>
      </c>
      <c r="R133" s="103">
        <f>'收入支出明细表（基础数据表）'!R133</f>
        <v>0</v>
      </c>
      <c r="S133" s="103">
        <f>'收入支出明细表（基础数据表）'!S133</f>
        <v>0</v>
      </c>
    </row>
    <row r="134" spans="1:19" ht="22.05" customHeight="1" x14ac:dyDescent="0.25">
      <c r="A134" s="206"/>
      <c r="B134" s="212"/>
      <c r="C134" s="221"/>
      <c r="D134" s="79" t="s">
        <v>150</v>
      </c>
      <c r="E134" s="108">
        <f>'收入支出明细表（基础数据表）'!E134</f>
        <v>0</v>
      </c>
      <c r="F134" s="102">
        <f>'收入支出明细表（基础数据表）'!F134</f>
        <v>0</v>
      </c>
      <c r="G134" s="99">
        <f>'收入支出明细表（基础数据表）'!G134</f>
        <v>0</v>
      </c>
      <c r="H134" s="99">
        <f>'收入支出明细表（基础数据表）'!H134</f>
        <v>0</v>
      </c>
      <c r="I134" s="99">
        <f>'收入支出明细表（基础数据表）'!I134</f>
        <v>0</v>
      </c>
      <c r="J134" s="99">
        <f>'收入支出明细表（基础数据表）'!J134</f>
        <v>0</v>
      </c>
      <c r="K134" s="99">
        <f>'收入支出明细表（基础数据表）'!K134</f>
        <v>0</v>
      </c>
      <c r="L134" s="99">
        <f>'收入支出明细表（基础数据表）'!L134</f>
        <v>0</v>
      </c>
      <c r="M134" s="99">
        <f>'收入支出明细表（基础数据表）'!M134</f>
        <v>0</v>
      </c>
      <c r="N134" s="99">
        <f>'收入支出明细表（基础数据表）'!N134</f>
        <v>0</v>
      </c>
      <c r="O134" s="99">
        <f>'收入支出明细表（基础数据表）'!O134</f>
        <v>0</v>
      </c>
      <c r="P134" s="99">
        <f>'收入支出明细表（基础数据表）'!P134</f>
        <v>0</v>
      </c>
      <c r="Q134" s="99">
        <f>'收入支出明细表（基础数据表）'!Q134</f>
        <v>0</v>
      </c>
      <c r="R134" s="99">
        <f>'收入支出明细表（基础数据表）'!R134</f>
        <v>0</v>
      </c>
      <c r="S134" s="99">
        <f>'收入支出明细表（基础数据表）'!S134</f>
        <v>0</v>
      </c>
    </row>
    <row r="135" spans="1:19" ht="22.05" customHeight="1" x14ac:dyDescent="0.25">
      <c r="A135" s="206"/>
      <c r="B135" s="212"/>
      <c r="C135" s="222"/>
      <c r="D135" s="79" t="s">
        <v>151</v>
      </c>
      <c r="E135" s="108">
        <f>'收入支出明细表（基础数据表）'!E135</f>
        <v>0</v>
      </c>
      <c r="F135" s="102">
        <f>'收入支出明细表（基础数据表）'!F135</f>
        <v>0</v>
      </c>
      <c r="G135" s="99">
        <f>'收入支出明细表（基础数据表）'!G135</f>
        <v>0</v>
      </c>
      <c r="H135" s="101" t="e">
        <f>'收入支出明细表（基础数据表）'!H135</f>
        <v>#DIV/0!</v>
      </c>
      <c r="I135" s="101" t="e">
        <f>'收入支出明细表（基础数据表）'!I135</f>
        <v>#DIV/0!</v>
      </c>
      <c r="J135" s="101" t="e">
        <f>'收入支出明细表（基础数据表）'!J135</f>
        <v>#DIV/0!</v>
      </c>
      <c r="K135" s="101" t="e">
        <f>'收入支出明细表（基础数据表）'!K135</f>
        <v>#DIV/0!</v>
      </c>
      <c r="L135" s="101" t="e">
        <f>'收入支出明细表（基础数据表）'!L135</f>
        <v>#DIV/0!</v>
      </c>
      <c r="M135" s="101" t="e">
        <f>'收入支出明细表（基础数据表）'!M135</f>
        <v>#DIV/0!</v>
      </c>
      <c r="N135" s="101" t="e">
        <f>'收入支出明细表（基础数据表）'!N135</f>
        <v>#DIV/0!</v>
      </c>
      <c r="O135" s="101" t="e">
        <f>'收入支出明细表（基础数据表）'!O135</f>
        <v>#DIV/0!</v>
      </c>
      <c r="P135" s="101" t="e">
        <f>'收入支出明细表（基础数据表）'!P135</f>
        <v>#DIV/0!</v>
      </c>
      <c r="Q135" s="101" t="e">
        <f>'收入支出明细表（基础数据表）'!Q135</f>
        <v>#DIV/0!</v>
      </c>
      <c r="R135" s="101" t="e">
        <f>'收入支出明细表（基础数据表）'!R135</f>
        <v>#DIV/0!</v>
      </c>
      <c r="S135" s="101" t="e">
        <f>'收入支出明细表（基础数据表）'!S135</f>
        <v>#DIV/0!</v>
      </c>
    </row>
    <row r="136" spans="1:19" ht="22.05" customHeight="1" x14ac:dyDescent="0.25">
      <c r="A136" s="206"/>
      <c r="B136" s="212"/>
      <c r="C136" s="220" t="s">
        <v>171</v>
      </c>
      <c r="D136" s="79" t="s">
        <v>149</v>
      </c>
      <c r="E136" s="108">
        <f>'收入支出明细表（基础数据表）'!E136</f>
        <v>0</v>
      </c>
      <c r="F136" s="84">
        <f>'收入支出明细表（基础数据表）'!F136</f>
        <v>0.09</v>
      </c>
      <c r="G136" s="99">
        <f>'收入支出明细表（基础数据表）'!G136</f>
        <v>0</v>
      </c>
      <c r="H136" s="103">
        <f>'收入支出明细表（基础数据表）'!H136</f>
        <v>0</v>
      </c>
      <c r="I136" s="103">
        <f>'收入支出明细表（基础数据表）'!I136</f>
        <v>0</v>
      </c>
      <c r="J136" s="103">
        <f>'收入支出明细表（基础数据表）'!J136</f>
        <v>0</v>
      </c>
      <c r="K136" s="103">
        <f>'收入支出明细表（基础数据表）'!K136</f>
        <v>0</v>
      </c>
      <c r="L136" s="103">
        <f>'收入支出明细表（基础数据表）'!L136</f>
        <v>0</v>
      </c>
      <c r="M136" s="103">
        <f>'收入支出明细表（基础数据表）'!M136</f>
        <v>0</v>
      </c>
      <c r="N136" s="103">
        <f>'收入支出明细表（基础数据表）'!N136</f>
        <v>0</v>
      </c>
      <c r="O136" s="103">
        <f>'收入支出明细表（基础数据表）'!O136</f>
        <v>0</v>
      </c>
      <c r="P136" s="103">
        <f>'收入支出明细表（基础数据表）'!P136</f>
        <v>0</v>
      </c>
      <c r="Q136" s="103">
        <f>'收入支出明细表（基础数据表）'!Q136</f>
        <v>0</v>
      </c>
      <c r="R136" s="103">
        <f>'收入支出明细表（基础数据表）'!R136</f>
        <v>0</v>
      </c>
      <c r="S136" s="103">
        <f>'收入支出明细表（基础数据表）'!S136</f>
        <v>0</v>
      </c>
    </row>
    <row r="137" spans="1:19" ht="22.05" customHeight="1" x14ac:dyDescent="0.25">
      <c r="A137" s="206"/>
      <c r="B137" s="212"/>
      <c r="C137" s="221"/>
      <c r="D137" s="79" t="s">
        <v>150</v>
      </c>
      <c r="E137" s="108">
        <f>'收入支出明细表（基础数据表）'!E137</f>
        <v>0</v>
      </c>
      <c r="F137" s="102">
        <f>'收入支出明细表（基础数据表）'!F137</f>
        <v>0</v>
      </c>
      <c r="G137" s="99">
        <f>'收入支出明细表（基础数据表）'!G137</f>
        <v>0</v>
      </c>
      <c r="H137" s="99">
        <f>'收入支出明细表（基础数据表）'!H137</f>
        <v>0</v>
      </c>
      <c r="I137" s="99">
        <f>'收入支出明细表（基础数据表）'!I137</f>
        <v>0</v>
      </c>
      <c r="J137" s="99">
        <f>'收入支出明细表（基础数据表）'!J137</f>
        <v>0</v>
      </c>
      <c r="K137" s="99">
        <f>'收入支出明细表（基础数据表）'!K137</f>
        <v>0</v>
      </c>
      <c r="L137" s="99">
        <f>'收入支出明细表（基础数据表）'!L137</f>
        <v>0</v>
      </c>
      <c r="M137" s="99">
        <f>'收入支出明细表（基础数据表）'!M137</f>
        <v>0</v>
      </c>
      <c r="N137" s="99">
        <f>'收入支出明细表（基础数据表）'!N137</f>
        <v>0</v>
      </c>
      <c r="O137" s="99">
        <f>'收入支出明细表（基础数据表）'!O137</f>
        <v>0</v>
      </c>
      <c r="P137" s="99">
        <f>'收入支出明细表（基础数据表）'!P137</f>
        <v>0</v>
      </c>
      <c r="Q137" s="99">
        <f>'收入支出明细表（基础数据表）'!Q137</f>
        <v>0</v>
      </c>
      <c r="R137" s="99">
        <f>'收入支出明细表（基础数据表）'!R137</f>
        <v>0</v>
      </c>
      <c r="S137" s="99">
        <f>'收入支出明细表（基础数据表）'!S137</f>
        <v>0</v>
      </c>
    </row>
    <row r="138" spans="1:19" ht="22.05" customHeight="1" x14ac:dyDescent="0.25">
      <c r="A138" s="206"/>
      <c r="B138" s="212"/>
      <c r="C138" s="222"/>
      <c r="D138" s="79" t="s">
        <v>151</v>
      </c>
      <c r="E138" s="108">
        <f>'收入支出明细表（基础数据表）'!E138</f>
        <v>0</v>
      </c>
      <c r="F138" s="102">
        <f>'收入支出明细表（基础数据表）'!F138</f>
        <v>0</v>
      </c>
      <c r="G138" s="99">
        <f>'收入支出明细表（基础数据表）'!G138</f>
        <v>0</v>
      </c>
      <c r="H138" s="101" t="e">
        <f>'收入支出明细表（基础数据表）'!H138</f>
        <v>#DIV/0!</v>
      </c>
      <c r="I138" s="101" t="e">
        <f>'收入支出明细表（基础数据表）'!I138</f>
        <v>#DIV/0!</v>
      </c>
      <c r="J138" s="101" t="e">
        <f>'收入支出明细表（基础数据表）'!J138</f>
        <v>#DIV/0!</v>
      </c>
      <c r="K138" s="101" t="e">
        <f>'收入支出明细表（基础数据表）'!K138</f>
        <v>#DIV/0!</v>
      </c>
      <c r="L138" s="101" t="e">
        <f>'收入支出明细表（基础数据表）'!L138</f>
        <v>#DIV/0!</v>
      </c>
      <c r="M138" s="101" t="e">
        <f>'收入支出明细表（基础数据表）'!M138</f>
        <v>#DIV/0!</v>
      </c>
      <c r="N138" s="101" t="e">
        <f>'收入支出明细表（基础数据表）'!N138</f>
        <v>#DIV/0!</v>
      </c>
      <c r="O138" s="101" t="e">
        <f>'收入支出明细表（基础数据表）'!O138</f>
        <v>#DIV/0!</v>
      </c>
      <c r="P138" s="101" t="e">
        <f>'收入支出明细表（基础数据表）'!P138</f>
        <v>#DIV/0!</v>
      </c>
      <c r="Q138" s="101" t="e">
        <f>'收入支出明细表（基础数据表）'!Q138</f>
        <v>#DIV/0!</v>
      </c>
      <c r="R138" s="101" t="e">
        <f>'收入支出明细表（基础数据表）'!R138</f>
        <v>#DIV/0!</v>
      </c>
      <c r="S138" s="101" t="e">
        <f>'收入支出明细表（基础数据表）'!S138</f>
        <v>#DIV/0!</v>
      </c>
    </row>
    <row r="139" spans="1:19" ht="22.05" customHeight="1" x14ac:dyDescent="0.25">
      <c r="A139" s="206"/>
      <c r="B139" s="213"/>
      <c r="C139" s="79" t="s">
        <v>125</v>
      </c>
      <c r="D139" s="105"/>
      <c r="E139" s="108">
        <f>'收入支出明细表（基础数据表）'!E139</f>
        <v>0</v>
      </c>
      <c r="F139" s="102">
        <f>'收入支出明细表（基础数据表）'!F139</f>
        <v>0</v>
      </c>
      <c r="G139" s="99">
        <f>'收入支出明细表（基础数据表）'!G139</f>
        <v>0</v>
      </c>
      <c r="H139" s="103">
        <f>'收入支出明细表（基础数据表）'!H139</f>
        <v>0</v>
      </c>
      <c r="I139" s="103">
        <f>'收入支出明细表（基础数据表）'!I139</f>
        <v>0</v>
      </c>
      <c r="J139" s="103">
        <f>'收入支出明细表（基础数据表）'!J139</f>
        <v>0</v>
      </c>
      <c r="K139" s="103">
        <f>'收入支出明细表（基础数据表）'!K139</f>
        <v>0</v>
      </c>
      <c r="L139" s="103">
        <f>'收入支出明细表（基础数据表）'!L139</f>
        <v>0</v>
      </c>
      <c r="M139" s="103">
        <f>'收入支出明细表（基础数据表）'!M139</f>
        <v>0</v>
      </c>
      <c r="N139" s="103">
        <f>'收入支出明细表（基础数据表）'!N139</f>
        <v>0</v>
      </c>
      <c r="O139" s="103">
        <f>'收入支出明细表（基础数据表）'!O139</f>
        <v>0</v>
      </c>
      <c r="P139" s="103">
        <f>'收入支出明细表（基础数据表）'!P139</f>
        <v>0</v>
      </c>
      <c r="Q139" s="103">
        <f>'收入支出明细表（基础数据表）'!Q139</f>
        <v>0</v>
      </c>
      <c r="R139" s="103">
        <f>'收入支出明细表（基础数据表）'!R139</f>
        <v>0</v>
      </c>
      <c r="S139" s="103">
        <f>'收入支出明细表（基础数据表）'!S139</f>
        <v>0</v>
      </c>
    </row>
    <row r="140" spans="1:19" ht="22.05" customHeight="1" x14ac:dyDescent="0.25">
      <c r="A140" s="204" t="s">
        <v>172</v>
      </c>
      <c r="B140" s="214" t="s">
        <v>173</v>
      </c>
      <c r="C140" s="246" t="s">
        <v>174</v>
      </c>
      <c r="D140" s="79" t="s">
        <v>149</v>
      </c>
      <c r="E140" s="109">
        <f>'收入支出明细表（基础数据表）'!E140</f>
        <v>0</v>
      </c>
      <c r="F140" s="102">
        <f>'收入支出明细表（基础数据表）'!F140</f>
        <v>0</v>
      </c>
      <c r="G140" s="99">
        <f>'收入支出明细表（基础数据表）'!G140</f>
        <v>0</v>
      </c>
      <c r="H140" s="99">
        <f>'收入支出明细表（基础数据表）'!H140</f>
        <v>0</v>
      </c>
      <c r="I140" s="99">
        <f>'收入支出明细表（基础数据表）'!I140</f>
        <v>0</v>
      </c>
      <c r="J140" s="99">
        <f>'收入支出明细表（基础数据表）'!J140</f>
        <v>0</v>
      </c>
      <c r="K140" s="99">
        <f>'收入支出明细表（基础数据表）'!K140</f>
        <v>0</v>
      </c>
      <c r="L140" s="99">
        <f>'收入支出明细表（基础数据表）'!L140</f>
        <v>0</v>
      </c>
      <c r="M140" s="99">
        <f>'收入支出明细表（基础数据表）'!M140</f>
        <v>0</v>
      </c>
      <c r="N140" s="99">
        <f>'收入支出明细表（基础数据表）'!N140</f>
        <v>0</v>
      </c>
      <c r="O140" s="99">
        <f>'收入支出明细表（基础数据表）'!O140</f>
        <v>0</v>
      </c>
      <c r="P140" s="99">
        <f>'收入支出明细表（基础数据表）'!P140</f>
        <v>0</v>
      </c>
      <c r="Q140" s="99">
        <f>'收入支出明细表（基础数据表）'!Q140</f>
        <v>0</v>
      </c>
      <c r="R140" s="99">
        <f>'收入支出明细表（基础数据表）'!R140</f>
        <v>0</v>
      </c>
      <c r="S140" s="99">
        <f>'收入支出明细表（基础数据表）'!S140</f>
        <v>0</v>
      </c>
    </row>
    <row r="141" spans="1:19" ht="22.05" customHeight="1" x14ac:dyDescent="0.25">
      <c r="A141" s="204"/>
      <c r="B141" s="214"/>
      <c r="C141" s="247"/>
      <c r="D141" s="79" t="s">
        <v>150</v>
      </c>
      <c r="E141" s="109">
        <f>'收入支出明细表（基础数据表）'!E141</f>
        <v>0</v>
      </c>
      <c r="F141" s="102">
        <f>'收入支出明细表（基础数据表）'!F141</f>
        <v>0</v>
      </c>
      <c r="G141" s="99">
        <f>'收入支出明细表（基础数据表）'!G141</f>
        <v>0</v>
      </c>
      <c r="H141" s="99">
        <f>'收入支出明细表（基础数据表）'!H141</f>
        <v>0</v>
      </c>
      <c r="I141" s="99">
        <f>'收入支出明细表（基础数据表）'!I141</f>
        <v>0</v>
      </c>
      <c r="J141" s="99">
        <f>'收入支出明细表（基础数据表）'!J141</f>
        <v>0</v>
      </c>
      <c r="K141" s="99">
        <f>'收入支出明细表（基础数据表）'!K141</f>
        <v>0</v>
      </c>
      <c r="L141" s="99">
        <f>'收入支出明细表（基础数据表）'!L141</f>
        <v>0</v>
      </c>
      <c r="M141" s="99">
        <f>'收入支出明细表（基础数据表）'!M141</f>
        <v>0</v>
      </c>
      <c r="N141" s="99">
        <f>'收入支出明细表（基础数据表）'!N141</f>
        <v>0</v>
      </c>
      <c r="O141" s="99">
        <f>'收入支出明细表（基础数据表）'!O141</f>
        <v>0</v>
      </c>
      <c r="P141" s="99">
        <f>'收入支出明细表（基础数据表）'!P141</f>
        <v>0</v>
      </c>
      <c r="Q141" s="99">
        <f>'收入支出明细表（基础数据表）'!Q141</f>
        <v>0</v>
      </c>
      <c r="R141" s="99">
        <f>'收入支出明细表（基础数据表）'!R141</f>
        <v>0</v>
      </c>
      <c r="S141" s="99">
        <f>'收入支出明细表（基础数据表）'!S141</f>
        <v>0</v>
      </c>
    </row>
    <row r="142" spans="1:19" ht="22.05" customHeight="1" x14ac:dyDescent="0.25">
      <c r="A142" s="204"/>
      <c r="B142" s="214"/>
      <c r="C142" s="248"/>
      <c r="D142" s="79" t="s">
        <v>151</v>
      </c>
      <c r="E142" s="109">
        <f>'收入支出明细表（基础数据表）'!E142</f>
        <v>0</v>
      </c>
      <c r="F142" s="102">
        <f>'收入支出明细表（基础数据表）'!F142</f>
        <v>0</v>
      </c>
      <c r="G142" s="99">
        <f>'收入支出明细表（基础数据表）'!G142</f>
        <v>0</v>
      </c>
      <c r="H142" s="101" t="e">
        <f>'收入支出明细表（基础数据表）'!H142</f>
        <v>#DIV/0!</v>
      </c>
      <c r="I142" s="101" t="e">
        <f>'收入支出明细表（基础数据表）'!I142</f>
        <v>#DIV/0!</v>
      </c>
      <c r="J142" s="101" t="e">
        <f>'收入支出明细表（基础数据表）'!J142</f>
        <v>#DIV/0!</v>
      </c>
      <c r="K142" s="101" t="e">
        <f>'收入支出明细表（基础数据表）'!K142</f>
        <v>#DIV/0!</v>
      </c>
      <c r="L142" s="101" t="e">
        <f>'收入支出明细表（基础数据表）'!L142</f>
        <v>#DIV/0!</v>
      </c>
      <c r="M142" s="101" t="e">
        <f>'收入支出明细表（基础数据表）'!M142</f>
        <v>#DIV/0!</v>
      </c>
      <c r="N142" s="101" t="e">
        <f>'收入支出明细表（基础数据表）'!N142</f>
        <v>#DIV/0!</v>
      </c>
      <c r="O142" s="101" t="e">
        <f>'收入支出明细表（基础数据表）'!O142</f>
        <v>#DIV/0!</v>
      </c>
      <c r="P142" s="101" t="e">
        <f>'收入支出明细表（基础数据表）'!P142</f>
        <v>#DIV/0!</v>
      </c>
      <c r="Q142" s="101" t="e">
        <f>'收入支出明细表（基础数据表）'!Q142</f>
        <v>#DIV/0!</v>
      </c>
      <c r="R142" s="101" t="e">
        <f>'收入支出明细表（基础数据表）'!R142</f>
        <v>#DIV/0!</v>
      </c>
      <c r="S142" s="101" t="e">
        <f>'收入支出明细表（基础数据表）'!S142</f>
        <v>#DIV/0!</v>
      </c>
    </row>
    <row r="143" spans="1:19" ht="22.05" customHeight="1" x14ac:dyDescent="0.25">
      <c r="A143" s="204"/>
      <c r="B143" s="214"/>
      <c r="C143" s="235" t="s">
        <v>175</v>
      </c>
      <c r="D143" s="79" t="s">
        <v>149</v>
      </c>
      <c r="E143" s="108">
        <f>'收入支出明细表（基础数据表）'!E143</f>
        <v>0</v>
      </c>
      <c r="F143" s="102">
        <f>'收入支出明细表（基础数据表）'!F143</f>
        <v>0</v>
      </c>
      <c r="G143" s="99">
        <f>'收入支出明细表（基础数据表）'!G143</f>
        <v>0</v>
      </c>
      <c r="H143" s="99">
        <f>'收入支出明细表（基础数据表）'!H143</f>
        <v>0</v>
      </c>
      <c r="I143" s="99">
        <f>'收入支出明细表（基础数据表）'!I143</f>
        <v>0</v>
      </c>
      <c r="J143" s="99">
        <f>'收入支出明细表（基础数据表）'!J143</f>
        <v>0</v>
      </c>
      <c r="K143" s="99">
        <f>'收入支出明细表（基础数据表）'!K143</f>
        <v>0</v>
      </c>
      <c r="L143" s="99">
        <f>'收入支出明细表（基础数据表）'!L143</f>
        <v>0</v>
      </c>
      <c r="M143" s="99">
        <f>'收入支出明细表（基础数据表）'!M143</f>
        <v>0</v>
      </c>
      <c r="N143" s="99">
        <f>'收入支出明细表（基础数据表）'!N143</f>
        <v>0</v>
      </c>
      <c r="O143" s="99">
        <f>'收入支出明细表（基础数据表）'!O143</f>
        <v>0</v>
      </c>
      <c r="P143" s="99">
        <f>'收入支出明细表（基础数据表）'!P143</f>
        <v>0</v>
      </c>
      <c r="Q143" s="99">
        <f>'收入支出明细表（基础数据表）'!Q143</f>
        <v>0</v>
      </c>
      <c r="R143" s="99">
        <f>'收入支出明细表（基础数据表）'!R143</f>
        <v>0</v>
      </c>
      <c r="S143" s="99">
        <f>'收入支出明细表（基础数据表）'!S143</f>
        <v>0</v>
      </c>
    </row>
    <row r="144" spans="1:19" ht="22.05" customHeight="1" x14ac:dyDescent="0.25">
      <c r="A144" s="204"/>
      <c r="B144" s="214"/>
      <c r="C144" s="236"/>
      <c r="D144" s="79" t="s">
        <v>150</v>
      </c>
      <c r="E144" s="108">
        <f>'收入支出明细表（基础数据表）'!E144</f>
        <v>0</v>
      </c>
      <c r="F144" s="102">
        <f>'收入支出明细表（基础数据表）'!F144</f>
        <v>0</v>
      </c>
      <c r="G144" s="99">
        <f>'收入支出明细表（基础数据表）'!G144</f>
        <v>0</v>
      </c>
      <c r="H144" s="99">
        <f>'收入支出明细表（基础数据表）'!H144</f>
        <v>0</v>
      </c>
      <c r="I144" s="99">
        <f>'收入支出明细表（基础数据表）'!I144</f>
        <v>0</v>
      </c>
      <c r="J144" s="99">
        <f>'收入支出明细表（基础数据表）'!J144</f>
        <v>0</v>
      </c>
      <c r="K144" s="99">
        <f>'收入支出明细表（基础数据表）'!K144</f>
        <v>0</v>
      </c>
      <c r="L144" s="99">
        <f>'收入支出明细表（基础数据表）'!L144</f>
        <v>0</v>
      </c>
      <c r="M144" s="99">
        <f>'收入支出明细表（基础数据表）'!M144</f>
        <v>0</v>
      </c>
      <c r="N144" s="99">
        <f>'收入支出明细表（基础数据表）'!N144</f>
        <v>0</v>
      </c>
      <c r="O144" s="99">
        <f>'收入支出明细表（基础数据表）'!O144</f>
        <v>0</v>
      </c>
      <c r="P144" s="99">
        <f>'收入支出明细表（基础数据表）'!P144</f>
        <v>0</v>
      </c>
      <c r="Q144" s="99">
        <f>'收入支出明细表（基础数据表）'!Q144</f>
        <v>0</v>
      </c>
      <c r="R144" s="99">
        <f>'收入支出明细表（基础数据表）'!R144</f>
        <v>0</v>
      </c>
      <c r="S144" s="99">
        <f>'收入支出明细表（基础数据表）'!S144</f>
        <v>0</v>
      </c>
    </row>
    <row r="145" spans="1:19" ht="22.05" customHeight="1" x14ac:dyDescent="0.25">
      <c r="A145" s="204"/>
      <c r="B145" s="214"/>
      <c r="C145" s="237"/>
      <c r="D145" s="79" t="s">
        <v>151</v>
      </c>
      <c r="E145" s="108">
        <f>'收入支出明细表（基础数据表）'!E145</f>
        <v>0</v>
      </c>
      <c r="F145" s="102">
        <f>'收入支出明细表（基础数据表）'!F145</f>
        <v>0</v>
      </c>
      <c r="G145" s="99">
        <f>'收入支出明细表（基础数据表）'!G145</f>
        <v>0</v>
      </c>
      <c r="H145" s="101" t="e">
        <f>'收入支出明细表（基础数据表）'!H145</f>
        <v>#DIV/0!</v>
      </c>
      <c r="I145" s="101" t="e">
        <f>'收入支出明细表（基础数据表）'!I145</f>
        <v>#DIV/0!</v>
      </c>
      <c r="J145" s="101" t="e">
        <f>'收入支出明细表（基础数据表）'!J145</f>
        <v>#DIV/0!</v>
      </c>
      <c r="K145" s="101" t="e">
        <f>'收入支出明细表（基础数据表）'!K145</f>
        <v>#DIV/0!</v>
      </c>
      <c r="L145" s="101" t="e">
        <f>'收入支出明细表（基础数据表）'!L145</f>
        <v>#DIV/0!</v>
      </c>
      <c r="M145" s="101" t="e">
        <f>'收入支出明细表（基础数据表）'!M145</f>
        <v>#DIV/0!</v>
      </c>
      <c r="N145" s="101" t="e">
        <f>'收入支出明细表（基础数据表）'!N145</f>
        <v>#DIV/0!</v>
      </c>
      <c r="O145" s="101" t="e">
        <f>'收入支出明细表（基础数据表）'!O145</f>
        <v>#DIV/0!</v>
      </c>
      <c r="P145" s="101" t="e">
        <f>'收入支出明细表（基础数据表）'!P145</f>
        <v>#DIV/0!</v>
      </c>
      <c r="Q145" s="101" t="e">
        <f>'收入支出明细表（基础数据表）'!Q145</f>
        <v>#DIV/0!</v>
      </c>
      <c r="R145" s="101" t="e">
        <f>'收入支出明细表（基础数据表）'!R145</f>
        <v>#DIV/0!</v>
      </c>
      <c r="S145" s="101" t="e">
        <f>'收入支出明细表（基础数据表）'!S145</f>
        <v>#DIV/0!</v>
      </c>
    </row>
    <row r="146" spans="1:19" ht="22.05" customHeight="1" x14ac:dyDescent="0.25">
      <c r="A146" s="204"/>
      <c r="B146" s="214"/>
      <c r="C146" s="249" t="s">
        <v>176</v>
      </c>
      <c r="D146" s="79" t="s">
        <v>149</v>
      </c>
      <c r="E146" s="110">
        <f>'收入支出明细表（基础数据表）'!E146</f>
        <v>0</v>
      </c>
      <c r="F146" s="84">
        <f>'收入支出明细表（基础数据表）'!F146</f>
        <v>0.06</v>
      </c>
      <c r="G146" s="99">
        <f>'收入支出明细表（基础数据表）'!G146</f>
        <v>0</v>
      </c>
      <c r="H146" s="47">
        <f>'收入支出明细表（基础数据表）'!H146</f>
        <v>0</v>
      </c>
      <c r="I146" s="47">
        <f>'收入支出明细表（基础数据表）'!I146</f>
        <v>0</v>
      </c>
      <c r="J146" s="47">
        <f>'收入支出明细表（基础数据表）'!J146</f>
        <v>0</v>
      </c>
      <c r="K146" s="47">
        <f>'收入支出明细表（基础数据表）'!K146</f>
        <v>0</v>
      </c>
      <c r="L146" s="47">
        <f>'收入支出明细表（基础数据表）'!L146</f>
        <v>0</v>
      </c>
      <c r="M146" s="99">
        <f>'收入支出明细表（基础数据表）'!M146</f>
        <v>0</v>
      </c>
      <c r="N146" s="99">
        <f>'收入支出明细表（基础数据表）'!N146</f>
        <v>0</v>
      </c>
      <c r="O146" s="99">
        <f>'收入支出明细表（基础数据表）'!O146</f>
        <v>0</v>
      </c>
      <c r="P146" s="99">
        <f>'收入支出明细表（基础数据表）'!P146</f>
        <v>0</v>
      </c>
      <c r="Q146" s="103">
        <f>'收入支出明细表（基础数据表）'!Q146</f>
        <v>0</v>
      </c>
      <c r="R146" s="103">
        <f>'收入支出明细表（基础数据表）'!R146</f>
        <v>0</v>
      </c>
      <c r="S146" s="103">
        <f>'收入支出明细表（基础数据表）'!S146</f>
        <v>0</v>
      </c>
    </row>
    <row r="147" spans="1:19" ht="22.05" customHeight="1" x14ac:dyDescent="0.25">
      <c r="A147" s="204"/>
      <c r="B147" s="214"/>
      <c r="C147" s="250"/>
      <c r="D147" s="79" t="s">
        <v>150</v>
      </c>
      <c r="E147" s="110">
        <f>'收入支出明细表（基础数据表）'!E147</f>
        <v>0</v>
      </c>
      <c r="F147" s="102">
        <f>'收入支出明细表（基础数据表）'!F147</f>
        <v>0</v>
      </c>
      <c r="G147" s="99">
        <f>'收入支出明细表（基础数据表）'!G147</f>
        <v>0</v>
      </c>
      <c r="H147" s="47">
        <f>'收入支出明细表（基础数据表）'!H147</f>
        <v>0</v>
      </c>
      <c r="I147" s="47">
        <f>'收入支出明细表（基础数据表）'!I147</f>
        <v>0</v>
      </c>
      <c r="J147" s="47">
        <f>'收入支出明细表（基础数据表）'!J147</f>
        <v>0</v>
      </c>
      <c r="K147" s="47">
        <f>'收入支出明细表（基础数据表）'!K147</f>
        <v>0</v>
      </c>
      <c r="L147" s="47">
        <f>'收入支出明细表（基础数据表）'!L147</f>
        <v>0</v>
      </c>
      <c r="M147" s="99">
        <f>'收入支出明细表（基础数据表）'!M147</f>
        <v>0</v>
      </c>
      <c r="N147" s="99">
        <f>'收入支出明细表（基础数据表）'!N147</f>
        <v>0</v>
      </c>
      <c r="O147" s="99">
        <f>'收入支出明细表（基础数据表）'!O147</f>
        <v>0</v>
      </c>
      <c r="P147" s="99">
        <f>'收入支出明细表（基础数据表）'!P147</f>
        <v>0</v>
      </c>
      <c r="Q147" s="103">
        <f>'收入支出明细表（基础数据表）'!Q147</f>
        <v>0</v>
      </c>
      <c r="R147" s="103">
        <f>'收入支出明细表（基础数据表）'!R147</f>
        <v>0</v>
      </c>
      <c r="S147" s="103">
        <f>'收入支出明细表（基础数据表）'!S147</f>
        <v>0</v>
      </c>
    </row>
    <row r="148" spans="1:19" ht="22.05" customHeight="1" x14ac:dyDescent="0.25">
      <c r="A148" s="204"/>
      <c r="B148" s="214"/>
      <c r="C148" s="251"/>
      <c r="D148" s="79" t="s">
        <v>151</v>
      </c>
      <c r="E148" s="110">
        <f>'收入支出明细表（基础数据表）'!E148</f>
        <v>0</v>
      </c>
      <c r="F148" s="102">
        <f>'收入支出明细表（基础数据表）'!F148</f>
        <v>0</v>
      </c>
      <c r="G148" s="99">
        <f>'收入支出明细表（基础数据表）'!G148</f>
        <v>0</v>
      </c>
      <c r="H148" s="101" t="e">
        <f>'收入支出明细表（基础数据表）'!H148</f>
        <v>#DIV/0!</v>
      </c>
      <c r="I148" s="101" t="e">
        <f>'收入支出明细表（基础数据表）'!I148</f>
        <v>#DIV/0!</v>
      </c>
      <c r="J148" s="101" t="e">
        <f>'收入支出明细表（基础数据表）'!J148</f>
        <v>#DIV/0!</v>
      </c>
      <c r="K148" s="101" t="e">
        <f>'收入支出明细表（基础数据表）'!K148</f>
        <v>#DIV/0!</v>
      </c>
      <c r="L148" s="101" t="e">
        <f>'收入支出明细表（基础数据表）'!L148</f>
        <v>#DIV/0!</v>
      </c>
      <c r="M148" s="101" t="e">
        <f>'收入支出明细表（基础数据表）'!M148</f>
        <v>#DIV/0!</v>
      </c>
      <c r="N148" s="101" t="e">
        <f>'收入支出明细表（基础数据表）'!N148</f>
        <v>#DIV/0!</v>
      </c>
      <c r="O148" s="101" t="e">
        <f>'收入支出明细表（基础数据表）'!O148</f>
        <v>#DIV/0!</v>
      </c>
      <c r="P148" s="101" t="e">
        <f>'收入支出明细表（基础数据表）'!P148</f>
        <v>#DIV/0!</v>
      </c>
      <c r="Q148" s="101" t="e">
        <f>'收入支出明细表（基础数据表）'!Q148</f>
        <v>#DIV/0!</v>
      </c>
      <c r="R148" s="101" t="e">
        <f>'收入支出明细表（基础数据表）'!R148</f>
        <v>#DIV/0!</v>
      </c>
      <c r="S148" s="101" t="e">
        <f>'收入支出明细表（基础数据表）'!S148</f>
        <v>#DIV/0!</v>
      </c>
    </row>
    <row r="149" spans="1:19" ht="22.05" customHeight="1" x14ac:dyDescent="0.25">
      <c r="A149" s="204"/>
      <c r="B149" s="214"/>
      <c r="C149" s="249" t="s">
        <v>178</v>
      </c>
      <c r="D149" s="79" t="s">
        <v>149</v>
      </c>
      <c r="E149" s="110">
        <f>'收入支出明细表（基础数据表）'!E149</f>
        <v>0</v>
      </c>
      <c r="F149" s="84">
        <f>'收入支出明细表（基础数据表）'!F149</f>
        <v>0.09</v>
      </c>
      <c r="G149" s="99">
        <f>'收入支出明细表（基础数据表）'!G149</f>
        <v>0</v>
      </c>
      <c r="H149" s="111">
        <f>'收入支出明细表（基础数据表）'!H149</f>
        <v>0</v>
      </c>
      <c r="I149" s="111">
        <f>'收入支出明细表（基础数据表）'!I149</f>
        <v>0</v>
      </c>
      <c r="J149" s="47">
        <f>'收入支出明细表（基础数据表）'!J149</f>
        <v>0</v>
      </c>
      <c r="K149" s="111">
        <f>'收入支出明细表（基础数据表）'!K149</f>
        <v>0</v>
      </c>
      <c r="L149" s="111">
        <f>'收入支出明细表（基础数据表）'!L149</f>
        <v>0</v>
      </c>
      <c r="M149" s="111">
        <f>'收入支出明细表（基础数据表）'!M149</f>
        <v>0</v>
      </c>
      <c r="N149" s="111">
        <f>'收入支出明细表（基础数据表）'!N149</f>
        <v>0</v>
      </c>
      <c r="O149" s="111">
        <f>'收入支出明细表（基础数据表）'!O149</f>
        <v>0</v>
      </c>
      <c r="P149" s="111">
        <f>'收入支出明细表（基础数据表）'!P149</f>
        <v>0</v>
      </c>
      <c r="Q149" s="111">
        <f>'收入支出明细表（基础数据表）'!Q149</f>
        <v>0</v>
      </c>
      <c r="R149" s="111">
        <f>'收入支出明细表（基础数据表）'!R149</f>
        <v>0</v>
      </c>
      <c r="S149" s="111">
        <f>'收入支出明细表（基础数据表）'!S149</f>
        <v>0</v>
      </c>
    </row>
    <row r="150" spans="1:19" ht="22.05" customHeight="1" x14ac:dyDescent="0.25">
      <c r="A150" s="204"/>
      <c r="B150" s="214"/>
      <c r="C150" s="250"/>
      <c r="D150" s="79" t="s">
        <v>150</v>
      </c>
      <c r="E150" s="110">
        <f>'收入支出明细表（基础数据表）'!E150</f>
        <v>0</v>
      </c>
      <c r="F150" s="102">
        <f>'收入支出明细表（基础数据表）'!F150</f>
        <v>0</v>
      </c>
      <c r="G150" s="99">
        <f>'收入支出明细表（基础数据表）'!G150</f>
        <v>0</v>
      </c>
      <c r="H150" s="111">
        <f>'收入支出明细表（基础数据表）'!H150</f>
        <v>0</v>
      </c>
      <c r="I150" s="111">
        <f>'收入支出明细表（基础数据表）'!I150</f>
        <v>0</v>
      </c>
      <c r="J150" s="47">
        <f>'收入支出明细表（基础数据表）'!J150</f>
        <v>0</v>
      </c>
      <c r="K150" s="111">
        <f>'收入支出明细表（基础数据表）'!K150</f>
        <v>0</v>
      </c>
      <c r="L150" s="111">
        <f>'收入支出明细表（基础数据表）'!L150</f>
        <v>0</v>
      </c>
      <c r="M150" s="111">
        <f>'收入支出明细表（基础数据表）'!M150</f>
        <v>0</v>
      </c>
      <c r="N150" s="111">
        <f>'收入支出明细表（基础数据表）'!N150</f>
        <v>0</v>
      </c>
      <c r="O150" s="111">
        <f>'收入支出明细表（基础数据表）'!O150</f>
        <v>0</v>
      </c>
      <c r="P150" s="111">
        <f>'收入支出明细表（基础数据表）'!P150</f>
        <v>0</v>
      </c>
      <c r="Q150" s="111">
        <f>'收入支出明细表（基础数据表）'!Q150</f>
        <v>0</v>
      </c>
      <c r="R150" s="111">
        <f>'收入支出明细表（基础数据表）'!R150</f>
        <v>0</v>
      </c>
      <c r="S150" s="111">
        <f>'收入支出明细表（基础数据表）'!S150</f>
        <v>0</v>
      </c>
    </row>
    <row r="151" spans="1:19" ht="22.05" customHeight="1" x14ac:dyDescent="0.25">
      <c r="A151" s="204"/>
      <c r="B151" s="214"/>
      <c r="C151" s="251"/>
      <c r="D151" s="79" t="s">
        <v>151</v>
      </c>
      <c r="E151" s="110">
        <f>'收入支出明细表（基础数据表）'!E151</f>
        <v>0</v>
      </c>
      <c r="F151" s="102">
        <f>'收入支出明细表（基础数据表）'!F151</f>
        <v>0</v>
      </c>
      <c r="G151" s="99">
        <f>'收入支出明细表（基础数据表）'!G151</f>
        <v>0</v>
      </c>
      <c r="H151" s="101" t="e">
        <f>'收入支出明细表（基础数据表）'!H151</f>
        <v>#DIV/0!</v>
      </c>
      <c r="I151" s="101" t="e">
        <f>'收入支出明细表（基础数据表）'!I151</f>
        <v>#DIV/0!</v>
      </c>
      <c r="J151" s="101" t="e">
        <f>'收入支出明细表（基础数据表）'!J151</f>
        <v>#DIV/0!</v>
      </c>
      <c r="K151" s="101" t="e">
        <f>'收入支出明细表（基础数据表）'!K151</f>
        <v>#DIV/0!</v>
      </c>
      <c r="L151" s="101" t="e">
        <f>'收入支出明细表（基础数据表）'!L151</f>
        <v>#DIV/0!</v>
      </c>
      <c r="M151" s="101" t="e">
        <f>'收入支出明细表（基础数据表）'!M151</f>
        <v>#DIV/0!</v>
      </c>
      <c r="N151" s="101" t="e">
        <f>'收入支出明细表（基础数据表）'!N151</f>
        <v>#DIV/0!</v>
      </c>
      <c r="O151" s="101" t="e">
        <f>'收入支出明细表（基础数据表）'!O151</f>
        <v>#DIV/0!</v>
      </c>
      <c r="P151" s="101" t="e">
        <f>'收入支出明细表（基础数据表）'!P151</f>
        <v>#DIV/0!</v>
      </c>
      <c r="Q151" s="101" t="e">
        <f>'收入支出明细表（基础数据表）'!Q151</f>
        <v>#DIV/0!</v>
      </c>
      <c r="R151" s="101" t="e">
        <f>'收入支出明细表（基础数据表）'!R151</f>
        <v>#DIV/0!</v>
      </c>
      <c r="S151" s="101" t="e">
        <f>'收入支出明细表（基础数据表）'!S151</f>
        <v>#DIV/0!</v>
      </c>
    </row>
    <row r="152" spans="1:19" ht="22.05" customHeight="1" x14ac:dyDescent="0.25">
      <c r="A152" s="204"/>
      <c r="B152" s="214"/>
      <c r="C152" s="249" t="s">
        <v>179</v>
      </c>
      <c r="D152" s="79" t="s">
        <v>149</v>
      </c>
      <c r="E152" s="110">
        <f>'收入支出明细表（基础数据表）'!E152</f>
        <v>0</v>
      </c>
      <c r="F152" s="84">
        <f>'收入支出明细表（基础数据表）'!F152</f>
        <v>0.06</v>
      </c>
      <c r="G152" s="99">
        <f>'收入支出明细表（基础数据表）'!G152</f>
        <v>0</v>
      </c>
      <c r="H152" s="99">
        <f>'收入支出明细表（基础数据表）'!H152</f>
        <v>0</v>
      </c>
      <c r="I152" s="99">
        <f>'收入支出明细表（基础数据表）'!I152</f>
        <v>0</v>
      </c>
      <c r="J152" s="99">
        <f>'收入支出明细表（基础数据表）'!J152</f>
        <v>0</v>
      </c>
      <c r="K152" s="99">
        <f>'收入支出明细表（基础数据表）'!K152</f>
        <v>0</v>
      </c>
      <c r="L152" s="99">
        <f>'收入支出明细表（基础数据表）'!L152</f>
        <v>0</v>
      </c>
      <c r="M152" s="99">
        <f>'收入支出明细表（基础数据表）'!M152</f>
        <v>0</v>
      </c>
      <c r="N152" s="99">
        <f>'收入支出明细表（基础数据表）'!N152</f>
        <v>0</v>
      </c>
      <c r="O152" s="99">
        <f>'收入支出明细表（基础数据表）'!O152</f>
        <v>0</v>
      </c>
      <c r="P152" s="99">
        <f>'收入支出明细表（基础数据表）'!P152</f>
        <v>0</v>
      </c>
      <c r="Q152" s="103">
        <f>'收入支出明细表（基础数据表）'!Q152</f>
        <v>0</v>
      </c>
      <c r="R152" s="103">
        <f>'收入支出明细表（基础数据表）'!R152</f>
        <v>0</v>
      </c>
      <c r="S152" s="103">
        <f>'收入支出明细表（基础数据表）'!S152</f>
        <v>0</v>
      </c>
    </row>
    <row r="153" spans="1:19" ht="22.05" customHeight="1" x14ac:dyDescent="0.25">
      <c r="A153" s="204"/>
      <c r="B153" s="214"/>
      <c r="C153" s="250"/>
      <c r="D153" s="79" t="s">
        <v>150</v>
      </c>
      <c r="E153" s="110">
        <f>'收入支出明细表（基础数据表）'!E153</f>
        <v>0</v>
      </c>
      <c r="F153" s="102">
        <f>'收入支出明细表（基础数据表）'!F153</f>
        <v>0</v>
      </c>
      <c r="G153" s="99">
        <f>'收入支出明细表（基础数据表）'!G153</f>
        <v>0</v>
      </c>
      <c r="H153" s="99">
        <f>'收入支出明细表（基础数据表）'!H153</f>
        <v>0</v>
      </c>
      <c r="I153" s="99">
        <f>'收入支出明细表（基础数据表）'!I153</f>
        <v>0</v>
      </c>
      <c r="J153" s="99">
        <f>'收入支出明细表（基础数据表）'!J153</f>
        <v>0</v>
      </c>
      <c r="K153" s="99">
        <f>'收入支出明细表（基础数据表）'!K153</f>
        <v>0</v>
      </c>
      <c r="L153" s="99">
        <f>'收入支出明细表（基础数据表）'!L153</f>
        <v>0</v>
      </c>
      <c r="M153" s="99">
        <f>'收入支出明细表（基础数据表）'!M153</f>
        <v>0</v>
      </c>
      <c r="N153" s="99">
        <f>'收入支出明细表（基础数据表）'!N153</f>
        <v>0</v>
      </c>
      <c r="O153" s="99">
        <f>'收入支出明细表（基础数据表）'!O153</f>
        <v>0</v>
      </c>
      <c r="P153" s="99">
        <f>'收入支出明细表（基础数据表）'!P153</f>
        <v>0</v>
      </c>
      <c r="Q153" s="103">
        <f>'收入支出明细表（基础数据表）'!Q153</f>
        <v>0</v>
      </c>
      <c r="R153" s="103">
        <f>'收入支出明细表（基础数据表）'!R153</f>
        <v>0</v>
      </c>
      <c r="S153" s="103">
        <f>'收入支出明细表（基础数据表）'!S153</f>
        <v>0</v>
      </c>
    </row>
    <row r="154" spans="1:19" ht="22.05" customHeight="1" x14ac:dyDescent="0.25">
      <c r="A154" s="204"/>
      <c r="B154" s="214"/>
      <c r="C154" s="251"/>
      <c r="D154" s="79" t="s">
        <v>151</v>
      </c>
      <c r="E154" s="110">
        <f>'收入支出明细表（基础数据表）'!E154</f>
        <v>0</v>
      </c>
      <c r="F154" s="102">
        <f>'收入支出明细表（基础数据表）'!F154</f>
        <v>0</v>
      </c>
      <c r="G154" s="99">
        <f>'收入支出明细表（基础数据表）'!G154</f>
        <v>0</v>
      </c>
      <c r="H154" s="101" t="e">
        <f>'收入支出明细表（基础数据表）'!H154</f>
        <v>#DIV/0!</v>
      </c>
      <c r="I154" s="101" t="e">
        <f>'收入支出明细表（基础数据表）'!I154</f>
        <v>#DIV/0!</v>
      </c>
      <c r="J154" s="101" t="e">
        <f>'收入支出明细表（基础数据表）'!J154</f>
        <v>#DIV/0!</v>
      </c>
      <c r="K154" s="101" t="e">
        <f>'收入支出明细表（基础数据表）'!K154</f>
        <v>#DIV/0!</v>
      </c>
      <c r="L154" s="101" t="e">
        <f>'收入支出明细表（基础数据表）'!L154</f>
        <v>#DIV/0!</v>
      </c>
      <c r="M154" s="101" t="e">
        <f>'收入支出明细表（基础数据表）'!M154</f>
        <v>#DIV/0!</v>
      </c>
      <c r="N154" s="101" t="e">
        <f>'收入支出明细表（基础数据表）'!N154</f>
        <v>#DIV/0!</v>
      </c>
      <c r="O154" s="101" t="e">
        <f>'收入支出明细表（基础数据表）'!O154</f>
        <v>#DIV/0!</v>
      </c>
      <c r="P154" s="101" t="e">
        <f>'收入支出明细表（基础数据表）'!P154</f>
        <v>#DIV/0!</v>
      </c>
      <c r="Q154" s="101" t="e">
        <f>'收入支出明细表（基础数据表）'!Q154</f>
        <v>#DIV/0!</v>
      </c>
      <c r="R154" s="101" t="e">
        <f>'收入支出明细表（基础数据表）'!R154</f>
        <v>#DIV/0!</v>
      </c>
      <c r="S154" s="101" t="e">
        <f>'收入支出明细表（基础数据表）'!S154</f>
        <v>#DIV/0!</v>
      </c>
    </row>
    <row r="155" spans="1:19" ht="22.05" customHeight="1" x14ac:dyDescent="0.25">
      <c r="A155" s="204"/>
      <c r="B155" s="214"/>
      <c r="C155" s="249" t="s">
        <v>181</v>
      </c>
      <c r="D155" s="79" t="s">
        <v>149</v>
      </c>
      <c r="E155" s="110">
        <f>'收入支出明细表（基础数据表）'!E155</f>
        <v>0</v>
      </c>
      <c r="F155" s="84">
        <f>'收入支出明细表（基础数据表）'!F155</f>
        <v>0.09</v>
      </c>
      <c r="G155" s="99">
        <f>'收入支出明细表（基础数据表）'!G155</f>
        <v>0</v>
      </c>
      <c r="H155" s="99">
        <f>'收入支出明细表（基础数据表）'!H155</f>
        <v>0</v>
      </c>
      <c r="I155" s="99">
        <f>'收入支出明细表（基础数据表）'!I155</f>
        <v>0</v>
      </c>
      <c r="J155" s="99">
        <f>'收入支出明细表（基础数据表）'!J155</f>
        <v>0</v>
      </c>
      <c r="K155" s="99">
        <f>'收入支出明细表（基础数据表）'!K155</f>
        <v>0</v>
      </c>
      <c r="L155" s="99">
        <f>'收入支出明细表（基础数据表）'!L155</f>
        <v>0</v>
      </c>
      <c r="M155" s="99">
        <f>'收入支出明细表（基础数据表）'!M155</f>
        <v>0</v>
      </c>
      <c r="N155" s="99">
        <f>'收入支出明细表（基础数据表）'!N155</f>
        <v>0</v>
      </c>
      <c r="O155" s="99">
        <f>'收入支出明细表（基础数据表）'!O155</f>
        <v>0</v>
      </c>
      <c r="P155" s="99">
        <f>'收入支出明细表（基础数据表）'!P155</f>
        <v>0</v>
      </c>
      <c r="Q155" s="103">
        <f>'收入支出明细表（基础数据表）'!Q155</f>
        <v>0</v>
      </c>
      <c r="R155" s="103">
        <f>'收入支出明细表（基础数据表）'!R155</f>
        <v>0</v>
      </c>
      <c r="S155" s="103">
        <f>'收入支出明细表（基础数据表）'!S155</f>
        <v>0</v>
      </c>
    </row>
    <row r="156" spans="1:19" ht="22.05" customHeight="1" x14ac:dyDescent="0.25">
      <c r="A156" s="204"/>
      <c r="B156" s="214"/>
      <c r="C156" s="250"/>
      <c r="D156" s="79" t="s">
        <v>150</v>
      </c>
      <c r="E156" s="110">
        <f>'收入支出明细表（基础数据表）'!E156</f>
        <v>0</v>
      </c>
      <c r="F156" s="102">
        <f>'收入支出明细表（基础数据表）'!F156</f>
        <v>0</v>
      </c>
      <c r="G156" s="99">
        <f>'收入支出明细表（基础数据表）'!G156</f>
        <v>0</v>
      </c>
      <c r="H156" s="99">
        <f>'收入支出明细表（基础数据表）'!H156</f>
        <v>0</v>
      </c>
      <c r="I156" s="99">
        <f>'收入支出明细表（基础数据表）'!I156</f>
        <v>0</v>
      </c>
      <c r="J156" s="99">
        <f>'收入支出明细表（基础数据表）'!J156</f>
        <v>0</v>
      </c>
      <c r="K156" s="99">
        <f>'收入支出明细表（基础数据表）'!K156</f>
        <v>0</v>
      </c>
      <c r="L156" s="99">
        <f>'收入支出明细表（基础数据表）'!L156</f>
        <v>0</v>
      </c>
      <c r="M156" s="99">
        <f>'收入支出明细表（基础数据表）'!M156</f>
        <v>0</v>
      </c>
      <c r="N156" s="99">
        <f>'收入支出明细表（基础数据表）'!N156</f>
        <v>0</v>
      </c>
      <c r="O156" s="99">
        <f>'收入支出明细表（基础数据表）'!O156</f>
        <v>0</v>
      </c>
      <c r="P156" s="99">
        <f>'收入支出明细表（基础数据表）'!P156</f>
        <v>0</v>
      </c>
      <c r="Q156" s="103">
        <f>'收入支出明细表（基础数据表）'!Q156</f>
        <v>0</v>
      </c>
      <c r="R156" s="103">
        <f>'收入支出明细表（基础数据表）'!R156</f>
        <v>0</v>
      </c>
      <c r="S156" s="103">
        <f>'收入支出明细表（基础数据表）'!S156</f>
        <v>0</v>
      </c>
    </row>
    <row r="157" spans="1:19" ht="22.05" customHeight="1" x14ac:dyDescent="0.25">
      <c r="A157" s="204"/>
      <c r="B157" s="214"/>
      <c r="C157" s="251"/>
      <c r="D157" s="79" t="s">
        <v>151</v>
      </c>
      <c r="E157" s="110">
        <f>'收入支出明细表（基础数据表）'!E157</f>
        <v>0</v>
      </c>
      <c r="F157" s="102">
        <f>'收入支出明细表（基础数据表）'!F157</f>
        <v>0</v>
      </c>
      <c r="G157" s="99">
        <f>'收入支出明细表（基础数据表）'!G157</f>
        <v>0</v>
      </c>
      <c r="H157" s="101" t="e">
        <f>'收入支出明细表（基础数据表）'!H157</f>
        <v>#DIV/0!</v>
      </c>
      <c r="I157" s="101" t="e">
        <f>'收入支出明细表（基础数据表）'!I157</f>
        <v>#DIV/0!</v>
      </c>
      <c r="J157" s="101" t="e">
        <f>'收入支出明细表（基础数据表）'!J157</f>
        <v>#DIV/0!</v>
      </c>
      <c r="K157" s="101" t="e">
        <f>'收入支出明细表（基础数据表）'!K157</f>
        <v>#DIV/0!</v>
      </c>
      <c r="L157" s="101" t="e">
        <f>'收入支出明细表（基础数据表）'!L157</f>
        <v>#DIV/0!</v>
      </c>
      <c r="M157" s="101" t="e">
        <f>'收入支出明细表（基础数据表）'!M157</f>
        <v>#DIV/0!</v>
      </c>
      <c r="N157" s="101" t="e">
        <f>'收入支出明细表（基础数据表）'!N157</f>
        <v>#DIV/0!</v>
      </c>
      <c r="O157" s="101" t="e">
        <f>'收入支出明细表（基础数据表）'!O157</f>
        <v>#DIV/0!</v>
      </c>
      <c r="P157" s="101" t="e">
        <f>'收入支出明细表（基础数据表）'!P157</f>
        <v>#DIV/0!</v>
      </c>
      <c r="Q157" s="101" t="e">
        <f>'收入支出明细表（基础数据表）'!Q157</f>
        <v>#DIV/0!</v>
      </c>
      <c r="R157" s="101" t="e">
        <f>'收入支出明细表（基础数据表）'!R157</f>
        <v>#DIV/0!</v>
      </c>
      <c r="S157" s="101" t="e">
        <f>'收入支出明细表（基础数据表）'!S157</f>
        <v>#DIV/0!</v>
      </c>
    </row>
    <row r="158" spans="1:19" ht="22.05" customHeight="1" x14ac:dyDescent="0.25">
      <c r="A158" s="204"/>
      <c r="B158" s="214"/>
      <c r="C158" s="252" t="s">
        <v>182</v>
      </c>
      <c r="D158" s="79" t="s">
        <v>149</v>
      </c>
      <c r="E158" s="110">
        <f>'收入支出明细表（基础数据表）'!E158</f>
        <v>0</v>
      </c>
      <c r="F158" s="84">
        <f>'收入支出明细表（基础数据表）'!F158</f>
        <v>0.13</v>
      </c>
      <c r="G158" s="99"/>
      <c r="H158" s="99">
        <f>'收入支出明细表（基础数据表）'!H158</f>
        <v>0</v>
      </c>
      <c r="I158" s="99">
        <f>'收入支出明细表（基础数据表）'!I158</f>
        <v>0</v>
      </c>
      <c r="J158" s="99">
        <f>'收入支出明细表（基础数据表）'!J158</f>
        <v>0</v>
      </c>
      <c r="K158" s="99">
        <f>'收入支出明细表（基础数据表）'!K158</f>
        <v>0</v>
      </c>
      <c r="L158" s="99">
        <f>'收入支出明细表（基础数据表）'!L158</f>
        <v>0</v>
      </c>
      <c r="M158" s="99">
        <f>'收入支出明细表（基础数据表）'!M158</f>
        <v>0</v>
      </c>
      <c r="N158" s="99">
        <f>'收入支出明细表（基础数据表）'!N158</f>
        <v>0</v>
      </c>
      <c r="O158" s="99">
        <f>'收入支出明细表（基础数据表）'!O158</f>
        <v>0</v>
      </c>
      <c r="P158" s="99">
        <f>'收入支出明细表（基础数据表）'!P158</f>
        <v>0</v>
      </c>
      <c r="Q158" s="99">
        <f>'收入支出明细表（基础数据表）'!Q158</f>
        <v>0</v>
      </c>
      <c r="R158" s="99">
        <f>'收入支出明细表（基础数据表）'!R158</f>
        <v>0</v>
      </c>
      <c r="S158" s="99">
        <f>'收入支出明细表（基础数据表）'!S158</f>
        <v>0</v>
      </c>
    </row>
    <row r="159" spans="1:19" ht="22.05" customHeight="1" x14ac:dyDescent="0.25">
      <c r="A159" s="204"/>
      <c r="B159" s="214"/>
      <c r="C159" s="253"/>
      <c r="D159" s="79" t="s">
        <v>150</v>
      </c>
      <c r="E159" s="110">
        <f>'收入支出明细表（基础数据表）'!E159</f>
        <v>0</v>
      </c>
      <c r="F159" s="102">
        <f>'收入支出明细表（基础数据表）'!F159</f>
        <v>0</v>
      </c>
      <c r="G159" s="99"/>
      <c r="H159" s="99">
        <f>'收入支出明细表（基础数据表）'!H159</f>
        <v>0</v>
      </c>
      <c r="I159" s="99">
        <f>'收入支出明细表（基础数据表）'!I159</f>
        <v>0</v>
      </c>
      <c r="J159" s="99">
        <f>'收入支出明细表（基础数据表）'!J159</f>
        <v>0</v>
      </c>
      <c r="K159" s="99">
        <f>'收入支出明细表（基础数据表）'!K159</f>
        <v>0</v>
      </c>
      <c r="L159" s="99">
        <f>'收入支出明细表（基础数据表）'!L159</f>
        <v>0</v>
      </c>
      <c r="M159" s="99">
        <f>'收入支出明细表（基础数据表）'!M159</f>
        <v>0</v>
      </c>
      <c r="N159" s="99">
        <f>'收入支出明细表（基础数据表）'!N159</f>
        <v>0</v>
      </c>
      <c r="O159" s="99">
        <f>'收入支出明细表（基础数据表）'!O159</f>
        <v>0</v>
      </c>
      <c r="P159" s="99">
        <f>'收入支出明细表（基础数据表）'!P159</f>
        <v>0</v>
      </c>
      <c r="Q159" s="99">
        <f>'收入支出明细表（基础数据表）'!Q159</f>
        <v>0</v>
      </c>
      <c r="R159" s="99">
        <f>'收入支出明细表（基础数据表）'!R159</f>
        <v>0</v>
      </c>
      <c r="S159" s="99">
        <f>'收入支出明细表（基础数据表）'!S159</f>
        <v>0</v>
      </c>
    </row>
    <row r="160" spans="1:19" ht="22.05" customHeight="1" x14ac:dyDescent="0.25">
      <c r="A160" s="204"/>
      <c r="B160" s="214"/>
      <c r="C160" s="254"/>
      <c r="D160" s="79" t="s">
        <v>151</v>
      </c>
      <c r="E160" s="110">
        <f>'收入支出明细表（基础数据表）'!E160</f>
        <v>0</v>
      </c>
      <c r="F160" s="102">
        <f>'收入支出明细表（基础数据表）'!F160</f>
        <v>0</v>
      </c>
      <c r="G160" s="99"/>
      <c r="H160" s="101" t="e">
        <f>'收入支出明细表（基础数据表）'!H160</f>
        <v>#DIV/0!</v>
      </c>
      <c r="I160" s="101" t="e">
        <f>'收入支出明细表（基础数据表）'!I160</f>
        <v>#DIV/0!</v>
      </c>
      <c r="J160" s="101" t="e">
        <f>'收入支出明细表（基础数据表）'!J160</f>
        <v>#DIV/0!</v>
      </c>
      <c r="K160" s="101" t="e">
        <f>'收入支出明细表（基础数据表）'!K160</f>
        <v>#DIV/0!</v>
      </c>
      <c r="L160" s="101" t="e">
        <f>'收入支出明细表（基础数据表）'!L160</f>
        <v>#DIV/0!</v>
      </c>
      <c r="M160" s="101" t="e">
        <f>'收入支出明细表（基础数据表）'!M160</f>
        <v>#DIV/0!</v>
      </c>
      <c r="N160" s="101" t="e">
        <f>'收入支出明细表（基础数据表）'!N160</f>
        <v>#DIV/0!</v>
      </c>
      <c r="O160" s="101" t="e">
        <f>'收入支出明细表（基础数据表）'!O160</f>
        <v>#DIV/0!</v>
      </c>
      <c r="P160" s="101" t="e">
        <f>'收入支出明细表（基础数据表）'!P160</f>
        <v>#DIV/0!</v>
      </c>
      <c r="Q160" s="101" t="e">
        <f>'收入支出明细表（基础数据表）'!Q160</f>
        <v>#DIV/0!</v>
      </c>
      <c r="R160" s="101" t="e">
        <f>'收入支出明细表（基础数据表）'!R160</f>
        <v>#DIV/0!</v>
      </c>
      <c r="S160" s="101" t="e">
        <f>'收入支出明细表（基础数据表）'!S160</f>
        <v>#DIV/0!</v>
      </c>
    </row>
    <row r="161" spans="1:19" ht="22.05" customHeight="1" x14ac:dyDescent="0.25">
      <c r="A161" s="204"/>
      <c r="B161" s="214"/>
      <c r="C161" s="235" t="s">
        <v>184</v>
      </c>
      <c r="D161" s="79" t="s">
        <v>149</v>
      </c>
      <c r="E161" s="108">
        <f>'收入支出明细表（基础数据表）'!E161</f>
        <v>0</v>
      </c>
      <c r="F161" s="84">
        <f>'收入支出明细表（基础数据表）'!F161</f>
        <v>0.13</v>
      </c>
      <c r="G161" s="99">
        <f>'收入支出明细表（基础数据表）'!G161</f>
        <v>0</v>
      </c>
      <c r="H161" s="100">
        <f>'收入支出明细表（基础数据表）'!H161</f>
        <v>0</v>
      </c>
      <c r="I161" s="100">
        <f>'收入支出明细表（基础数据表）'!I161</f>
        <v>0</v>
      </c>
      <c r="J161" s="100">
        <f>'收入支出明细表（基础数据表）'!J161</f>
        <v>0</v>
      </c>
      <c r="K161" s="100">
        <f>'收入支出明细表（基础数据表）'!K161</f>
        <v>0</v>
      </c>
      <c r="L161" s="100">
        <f>'收入支出明细表（基础数据表）'!L161</f>
        <v>0</v>
      </c>
      <c r="M161" s="100">
        <f>'收入支出明细表（基础数据表）'!M161</f>
        <v>0</v>
      </c>
      <c r="N161" s="100">
        <f>'收入支出明细表（基础数据表）'!N161</f>
        <v>0</v>
      </c>
      <c r="O161" s="100">
        <f>'收入支出明细表（基础数据表）'!O161</f>
        <v>0</v>
      </c>
      <c r="P161" s="100">
        <f>'收入支出明细表（基础数据表）'!P161</f>
        <v>0</v>
      </c>
      <c r="Q161" s="100">
        <f>'收入支出明细表（基础数据表）'!Q161</f>
        <v>0</v>
      </c>
      <c r="R161" s="100">
        <f>'收入支出明细表（基础数据表）'!R161</f>
        <v>0</v>
      </c>
      <c r="S161" s="100">
        <f>'收入支出明细表（基础数据表）'!S161</f>
        <v>0</v>
      </c>
    </row>
    <row r="162" spans="1:19" ht="22.05" customHeight="1" x14ac:dyDescent="0.25">
      <c r="A162" s="204"/>
      <c r="B162" s="214"/>
      <c r="C162" s="236"/>
      <c r="D162" s="79" t="s">
        <v>150</v>
      </c>
      <c r="E162" s="108">
        <f>'收入支出明细表（基础数据表）'!E162</f>
        <v>0</v>
      </c>
      <c r="F162" s="102">
        <f>'收入支出明细表（基础数据表）'!F162</f>
        <v>0</v>
      </c>
      <c r="G162" s="99">
        <f>'收入支出明细表（基础数据表）'!G162</f>
        <v>0</v>
      </c>
      <c r="H162" s="100">
        <f>'收入支出明细表（基础数据表）'!H162</f>
        <v>0</v>
      </c>
      <c r="I162" s="100">
        <f>'收入支出明细表（基础数据表）'!I162</f>
        <v>0</v>
      </c>
      <c r="J162" s="100">
        <f>'收入支出明细表（基础数据表）'!J162</f>
        <v>0</v>
      </c>
      <c r="K162" s="100">
        <f>'收入支出明细表（基础数据表）'!K162</f>
        <v>0</v>
      </c>
      <c r="L162" s="100">
        <f>'收入支出明细表（基础数据表）'!L162</f>
        <v>0</v>
      </c>
      <c r="M162" s="100">
        <f>'收入支出明细表（基础数据表）'!M162</f>
        <v>0</v>
      </c>
      <c r="N162" s="100">
        <f>'收入支出明细表（基础数据表）'!N162</f>
        <v>0</v>
      </c>
      <c r="O162" s="100">
        <f>'收入支出明细表（基础数据表）'!O162</f>
        <v>0</v>
      </c>
      <c r="P162" s="100">
        <f>'收入支出明细表（基础数据表）'!P162</f>
        <v>0</v>
      </c>
      <c r="Q162" s="100">
        <f>'收入支出明细表（基础数据表）'!Q162</f>
        <v>0</v>
      </c>
      <c r="R162" s="100">
        <f>'收入支出明细表（基础数据表）'!R162</f>
        <v>0</v>
      </c>
      <c r="S162" s="100">
        <f>'收入支出明细表（基础数据表）'!S162</f>
        <v>0</v>
      </c>
    </row>
    <row r="163" spans="1:19" ht="22.05" customHeight="1" x14ac:dyDescent="0.25">
      <c r="A163" s="204"/>
      <c r="B163" s="214"/>
      <c r="C163" s="237"/>
      <c r="D163" s="79" t="s">
        <v>151</v>
      </c>
      <c r="E163" s="108">
        <f>'收入支出明细表（基础数据表）'!E163</f>
        <v>0</v>
      </c>
      <c r="F163" s="102">
        <f>'收入支出明细表（基础数据表）'!F163</f>
        <v>0</v>
      </c>
      <c r="G163" s="99">
        <f>'收入支出明细表（基础数据表）'!G163</f>
        <v>0</v>
      </c>
      <c r="H163" s="101" t="e">
        <f>'收入支出明细表（基础数据表）'!H163</f>
        <v>#DIV/0!</v>
      </c>
      <c r="I163" s="101" t="e">
        <f>'收入支出明细表（基础数据表）'!I163</f>
        <v>#DIV/0!</v>
      </c>
      <c r="J163" s="101" t="e">
        <f>'收入支出明细表（基础数据表）'!J163</f>
        <v>#DIV/0!</v>
      </c>
      <c r="K163" s="101" t="e">
        <f>'收入支出明细表（基础数据表）'!K163</f>
        <v>#DIV/0!</v>
      </c>
      <c r="L163" s="101" t="e">
        <f>'收入支出明细表（基础数据表）'!L163</f>
        <v>#DIV/0!</v>
      </c>
      <c r="M163" s="101" t="e">
        <f>'收入支出明细表（基础数据表）'!M163</f>
        <v>#DIV/0!</v>
      </c>
      <c r="N163" s="101" t="e">
        <f>'收入支出明细表（基础数据表）'!N163</f>
        <v>#DIV/0!</v>
      </c>
      <c r="O163" s="101" t="e">
        <f>'收入支出明细表（基础数据表）'!O163</f>
        <v>#DIV/0!</v>
      </c>
      <c r="P163" s="101" t="e">
        <f>'收入支出明细表（基础数据表）'!P163</f>
        <v>#DIV/0!</v>
      </c>
      <c r="Q163" s="101" t="e">
        <f>'收入支出明细表（基础数据表）'!Q163</f>
        <v>#DIV/0!</v>
      </c>
      <c r="R163" s="101" t="e">
        <f>'收入支出明细表（基础数据表）'!R163</f>
        <v>#DIV/0!</v>
      </c>
      <c r="S163" s="101" t="e">
        <f>'收入支出明细表（基础数据表）'!S163</f>
        <v>#DIV/0!</v>
      </c>
    </row>
    <row r="164" spans="1:19" ht="22.05" customHeight="1" x14ac:dyDescent="0.25">
      <c r="A164" s="204"/>
      <c r="B164" s="214"/>
      <c r="C164" s="235" t="s">
        <v>185</v>
      </c>
      <c r="D164" s="79" t="s">
        <v>149</v>
      </c>
      <c r="E164" s="108">
        <f>'收入支出明细表（基础数据表）'!E164</f>
        <v>0</v>
      </c>
      <c r="F164" s="84">
        <f>'收入支出明细表（基础数据表）'!F164</f>
        <v>0.13</v>
      </c>
      <c r="G164" s="99">
        <f>'收入支出明细表（基础数据表）'!G164</f>
        <v>0</v>
      </c>
      <c r="H164" s="100">
        <f>'收入支出明细表（基础数据表）'!H164</f>
        <v>0</v>
      </c>
      <c r="I164" s="100">
        <f>'收入支出明细表（基础数据表）'!I164</f>
        <v>0</v>
      </c>
      <c r="J164" s="100">
        <f>'收入支出明细表（基础数据表）'!J164</f>
        <v>0</v>
      </c>
      <c r="K164" s="100">
        <f>'收入支出明细表（基础数据表）'!K164</f>
        <v>0</v>
      </c>
      <c r="L164" s="100">
        <f>'收入支出明细表（基础数据表）'!L164</f>
        <v>0</v>
      </c>
      <c r="M164" s="100">
        <f>'收入支出明细表（基础数据表）'!M164</f>
        <v>0</v>
      </c>
      <c r="N164" s="100">
        <f>'收入支出明细表（基础数据表）'!N164</f>
        <v>0</v>
      </c>
      <c r="O164" s="100">
        <f>'收入支出明细表（基础数据表）'!O164</f>
        <v>0</v>
      </c>
      <c r="P164" s="100">
        <f>'收入支出明细表（基础数据表）'!P164</f>
        <v>0</v>
      </c>
      <c r="Q164" s="100">
        <f>'收入支出明细表（基础数据表）'!Q164</f>
        <v>0</v>
      </c>
      <c r="R164" s="100">
        <f>'收入支出明细表（基础数据表）'!R164</f>
        <v>0</v>
      </c>
      <c r="S164" s="100">
        <f>'收入支出明细表（基础数据表）'!S164</f>
        <v>0</v>
      </c>
    </row>
    <row r="165" spans="1:19" ht="22.05" customHeight="1" x14ac:dyDescent="0.25">
      <c r="A165" s="204"/>
      <c r="B165" s="214"/>
      <c r="C165" s="236"/>
      <c r="D165" s="79" t="s">
        <v>150</v>
      </c>
      <c r="E165" s="108">
        <f>'收入支出明细表（基础数据表）'!E165</f>
        <v>0</v>
      </c>
      <c r="F165" s="102">
        <f>'收入支出明细表（基础数据表）'!F165</f>
        <v>0</v>
      </c>
      <c r="G165" s="99">
        <f>'收入支出明细表（基础数据表）'!G165</f>
        <v>0</v>
      </c>
      <c r="H165" s="100">
        <f>'收入支出明细表（基础数据表）'!H165</f>
        <v>0</v>
      </c>
      <c r="I165" s="100">
        <f>'收入支出明细表（基础数据表）'!I165</f>
        <v>0</v>
      </c>
      <c r="J165" s="100">
        <f>'收入支出明细表（基础数据表）'!J165</f>
        <v>0</v>
      </c>
      <c r="K165" s="100">
        <f>'收入支出明细表（基础数据表）'!K165</f>
        <v>0</v>
      </c>
      <c r="L165" s="100">
        <f>'收入支出明细表（基础数据表）'!L165</f>
        <v>0</v>
      </c>
      <c r="M165" s="100">
        <f>'收入支出明细表（基础数据表）'!M165</f>
        <v>0</v>
      </c>
      <c r="N165" s="100">
        <f>'收入支出明细表（基础数据表）'!N165</f>
        <v>0</v>
      </c>
      <c r="O165" s="100">
        <f>'收入支出明细表（基础数据表）'!O165</f>
        <v>0</v>
      </c>
      <c r="P165" s="100">
        <f>'收入支出明细表（基础数据表）'!P165</f>
        <v>0</v>
      </c>
      <c r="Q165" s="100">
        <f>'收入支出明细表（基础数据表）'!Q165</f>
        <v>0</v>
      </c>
      <c r="R165" s="100">
        <f>'收入支出明细表（基础数据表）'!R165</f>
        <v>0</v>
      </c>
      <c r="S165" s="100">
        <f>'收入支出明细表（基础数据表）'!S165</f>
        <v>0</v>
      </c>
    </row>
    <row r="166" spans="1:19" ht="22.05" customHeight="1" x14ac:dyDescent="0.25">
      <c r="A166" s="204"/>
      <c r="B166" s="214"/>
      <c r="C166" s="237"/>
      <c r="D166" s="79" t="s">
        <v>151</v>
      </c>
      <c r="E166" s="108">
        <f>'收入支出明细表（基础数据表）'!E166</f>
        <v>0</v>
      </c>
      <c r="F166" s="102">
        <f>'收入支出明细表（基础数据表）'!F166</f>
        <v>0</v>
      </c>
      <c r="G166" s="99">
        <f>'收入支出明细表（基础数据表）'!G166</f>
        <v>0</v>
      </c>
      <c r="H166" s="101" t="e">
        <f>'收入支出明细表（基础数据表）'!H166</f>
        <v>#DIV/0!</v>
      </c>
      <c r="I166" s="101" t="e">
        <f>'收入支出明细表（基础数据表）'!I166</f>
        <v>#DIV/0!</v>
      </c>
      <c r="J166" s="101" t="e">
        <f>'收入支出明细表（基础数据表）'!J166</f>
        <v>#DIV/0!</v>
      </c>
      <c r="K166" s="101" t="e">
        <f>'收入支出明细表（基础数据表）'!K166</f>
        <v>#DIV/0!</v>
      </c>
      <c r="L166" s="101" t="e">
        <f>'收入支出明细表（基础数据表）'!L166</f>
        <v>#DIV/0!</v>
      </c>
      <c r="M166" s="101" t="e">
        <f>'收入支出明细表（基础数据表）'!M166</f>
        <v>#DIV/0!</v>
      </c>
      <c r="N166" s="101" t="e">
        <f>'收入支出明细表（基础数据表）'!N166</f>
        <v>#DIV/0!</v>
      </c>
      <c r="O166" s="101" t="e">
        <f>'收入支出明细表（基础数据表）'!O166</f>
        <v>#DIV/0!</v>
      </c>
      <c r="P166" s="101" t="e">
        <f>'收入支出明细表（基础数据表）'!P166</f>
        <v>#DIV/0!</v>
      </c>
      <c r="Q166" s="101" t="e">
        <f>'收入支出明细表（基础数据表）'!Q166</f>
        <v>#DIV/0!</v>
      </c>
      <c r="R166" s="101" t="e">
        <f>'收入支出明细表（基础数据表）'!R166</f>
        <v>#DIV/0!</v>
      </c>
      <c r="S166" s="101" t="e">
        <f>'收入支出明细表（基础数据表）'!S166</f>
        <v>#DIV/0!</v>
      </c>
    </row>
    <row r="167" spans="1:19" ht="22.05" customHeight="1" x14ac:dyDescent="0.25">
      <c r="A167" s="204"/>
      <c r="B167" s="214"/>
      <c r="C167" s="235" t="s">
        <v>187</v>
      </c>
      <c r="D167" s="79" t="s">
        <v>149</v>
      </c>
      <c r="E167" s="108">
        <f>'收入支出明细表（基础数据表）'!E167</f>
        <v>0</v>
      </c>
      <c r="F167" s="84">
        <f>'收入支出明细表（基础数据表）'!F167</f>
        <v>0.13</v>
      </c>
      <c r="G167" s="99">
        <f>'收入支出明细表（基础数据表）'!G167</f>
        <v>0</v>
      </c>
      <c r="H167" s="100">
        <f>'收入支出明细表（基础数据表）'!H167</f>
        <v>0</v>
      </c>
      <c r="I167" s="100">
        <f>'收入支出明细表（基础数据表）'!I167</f>
        <v>0</v>
      </c>
      <c r="J167" s="100">
        <f>'收入支出明细表（基础数据表）'!J167</f>
        <v>0</v>
      </c>
      <c r="K167" s="100">
        <f>'收入支出明细表（基础数据表）'!K167</f>
        <v>0</v>
      </c>
      <c r="L167" s="100">
        <f>'收入支出明细表（基础数据表）'!L167</f>
        <v>0</v>
      </c>
      <c r="M167" s="100">
        <f>'收入支出明细表（基础数据表）'!M167</f>
        <v>0</v>
      </c>
      <c r="N167" s="100">
        <f>'收入支出明细表（基础数据表）'!N167</f>
        <v>0</v>
      </c>
      <c r="O167" s="100">
        <f>'收入支出明细表（基础数据表）'!O167</f>
        <v>0</v>
      </c>
      <c r="P167" s="100">
        <f>'收入支出明细表（基础数据表）'!P167</f>
        <v>0</v>
      </c>
      <c r="Q167" s="100">
        <f>'收入支出明细表（基础数据表）'!Q167</f>
        <v>0</v>
      </c>
      <c r="R167" s="100">
        <f>'收入支出明细表（基础数据表）'!R167</f>
        <v>0</v>
      </c>
      <c r="S167" s="100">
        <f>'收入支出明细表（基础数据表）'!S167</f>
        <v>0</v>
      </c>
    </row>
    <row r="168" spans="1:19" ht="22.05" customHeight="1" x14ac:dyDescent="0.25">
      <c r="A168" s="204"/>
      <c r="B168" s="214"/>
      <c r="C168" s="236"/>
      <c r="D168" s="79" t="s">
        <v>150</v>
      </c>
      <c r="E168" s="108">
        <f>'收入支出明细表（基础数据表）'!E168</f>
        <v>0</v>
      </c>
      <c r="F168" s="102">
        <f>'收入支出明细表（基础数据表）'!F168</f>
        <v>0</v>
      </c>
      <c r="G168" s="99">
        <f>'收入支出明细表（基础数据表）'!G168</f>
        <v>0</v>
      </c>
      <c r="H168" s="100">
        <f>'收入支出明细表（基础数据表）'!H168</f>
        <v>0</v>
      </c>
      <c r="I168" s="100">
        <f>'收入支出明细表（基础数据表）'!I168</f>
        <v>0</v>
      </c>
      <c r="J168" s="100">
        <f>'收入支出明细表（基础数据表）'!J168</f>
        <v>0</v>
      </c>
      <c r="K168" s="100">
        <f>'收入支出明细表（基础数据表）'!K168</f>
        <v>0</v>
      </c>
      <c r="L168" s="100">
        <f>'收入支出明细表（基础数据表）'!L168</f>
        <v>0</v>
      </c>
      <c r="M168" s="100">
        <f>'收入支出明细表（基础数据表）'!M168</f>
        <v>0</v>
      </c>
      <c r="N168" s="100">
        <f>'收入支出明细表（基础数据表）'!N168</f>
        <v>0</v>
      </c>
      <c r="O168" s="100">
        <f>'收入支出明细表（基础数据表）'!O168</f>
        <v>0</v>
      </c>
      <c r="P168" s="100">
        <f>'收入支出明细表（基础数据表）'!P168</f>
        <v>0</v>
      </c>
      <c r="Q168" s="100">
        <f>'收入支出明细表（基础数据表）'!Q168</f>
        <v>0</v>
      </c>
      <c r="R168" s="100">
        <f>'收入支出明细表（基础数据表）'!R168</f>
        <v>0</v>
      </c>
      <c r="S168" s="100">
        <f>'收入支出明细表（基础数据表）'!S168</f>
        <v>0</v>
      </c>
    </row>
    <row r="169" spans="1:19" ht="22.05" customHeight="1" x14ac:dyDescent="0.25">
      <c r="A169" s="204"/>
      <c r="B169" s="214"/>
      <c r="C169" s="237"/>
      <c r="D169" s="79" t="s">
        <v>151</v>
      </c>
      <c r="E169" s="108">
        <f>'收入支出明细表（基础数据表）'!E169</f>
        <v>0</v>
      </c>
      <c r="F169" s="102">
        <f>'收入支出明细表（基础数据表）'!F169</f>
        <v>0</v>
      </c>
      <c r="G169" s="99">
        <f>'收入支出明细表（基础数据表）'!G169</f>
        <v>0</v>
      </c>
      <c r="H169" s="101" t="e">
        <f>'收入支出明细表（基础数据表）'!H169</f>
        <v>#DIV/0!</v>
      </c>
      <c r="I169" s="101" t="e">
        <f>'收入支出明细表（基础数据表）'!I169</f>
        <v>#DIV/0!</v>
      </c>
      <c r="J169" s="101" t="e">
        <f>'收入支出明细表（基础数据表）'!J169</f>
        <v>#DIV/0!</v>
      </c>
      <c r="K169" s="101" t="e">
        <f>'收入支出明细表（基础数据表）'!K169</f>
        <v>#DIV/0!</v>
      </c>
      <c r="L169" s="101" t="e">
        <f>'收入支出明细表（基础数据表）'!L169</f>
        <v>#DIV/0!</v>
      </c>
      <c r="M169" s="101" t="e">
        <f>'收入支出明细表（基础数据表）'!M169</f>
        <v>#DIV/0!</v>
      </c>
      <c r="N169" s="101" t="e">
        <f>'收入支出明细表（基础数据表）'!N169</f>
        <v>#DIV/0!</v>
      </c>
      <c r="O169" s="101" t="e">
        <f>'收入支出明细表（基础数据表）'!O169</f>
        <v>#DIV/0!</v>
      </c>
      <c r="P169" s="101" t="e">
        <f>'收入支出明细表（基础数据表）'!P169</f>
        <v>#DIV/0!</v>
      </c>
      <c r="Q169" s="101" t="e">
        <f>'收入支出明细表（基础数据表）'!Q169</f>
        <v>#DIV/0!</v>
      </c>
      <c r="R169" s="101" t="e">
        <f>'收入支出明细表（基础数据表）'!R169</f>
        <v>#DIV/0!</v>
      </c>
      <c r="S169" s="101" t="e">
        <f>'收入支出明细表（基础数据表）'!S169</f>
        <v>#DIV/0!</v>
      </c>
    </row>
    <row r="170" spans="1:19" ht="22.05" customHeight="1" x14ac:dyDescent="0.25">
      <c r="A170" s="204"/>
      <c r="B170" s="214"/>
      <c r="C170" s="105" t="s">
        <v>125</v>
      </c>
      <c r="D170" s="105"/>
      <c r="E170" s="108">
        <f>'收入支出明细表（基础数据表）'!E170</f>
        <v>0</v>
      </c>
      <c r="F170" s="102">
        <f>'收入支出明细表（基础数据表）'!F170</f>
        <v>0</v>
      </c>
      <c r="G170" s="99">
        <f>'收入支出明细表（基础数据表）'!G170</f>
        <v>0</v>
      </c>
      <c r="H170" s="100">
        <f>'收入支出明细表（基础数据表）'!H170</f>
        <v>0</v>
      </c>
      <c r="I170" s="100">
        <f>'收入支出明细表（基础数据表）'!I170</f>
        <v>0</v>
      </c>
      <c r="J170" s="100">
        <f>'收入支出明细表（基础数据表）'!J170</f>
        <v>0</v>
      </c>
      <c r="K170" s="100">
        <f>'收入支出明细表（基础数据表）'!K170</f>
        <v>0</v>
      </c>
      <c r="L170" s="100">
        <f>'收入支出明细表（基础数据表）'!L170</f>
        <v>0</v>
      </c>
      <c r="M170" s="100">
        <f>'收入支出明细表（基础数据表）'!M170</f>
        <v>0</v>
      </c>
      <c r="N170" s="100">
        <f>'收入支出明细表（基础数据表）'!N170</f>
        <v>0</v>
      </c>
      <c r="O170" s="100">
        <f>'收入支出明细表（基础数据表）'!O170</f>
        <v>0</v>
      </c>
      <c r="P170" s="100">
        <f>'收入支出明细表（基础数据表）'!P170</f>
        <v>0</v>
      </c>
      <c r="Q170" s="100">
        <f>'收入支出明细表（基础数据表）'!Q170</f>
        <v>0</v>
      </c>
      <c r="R170" s="100">
        <f>'收入支出明细表（基础数据表）'!R170</f>
        <v>0</v>
      </c>
      <c r="S170" s="100">
        <f>'收入支出明细表（基础数据表）'!S170</f>
        <v>0</v>
      </c>
    </row>
    <row r="171" spans="1:19" ht="22.05" customHeight="1" x14ac:dyDescent="0.25">
      <c r="A171" s="204"/>
      <c r="B171" s="215" t="s">
        <v>190</v>
      </c>
      <c r="C171" s="246" t="s">
        <v>191</v>
      </c>
      <c r="D171" s="79" t="s">
        <v>149</v>
      </c>
      <c r="E171" s="109">
        <f>'收入支出明细表（基础数据表）'!E171</f>
        <v>0</v>
      </c>
      <c r="F171" s="102">
        <f>'收入支出明细表（基础数据表）'!F171</f>
        <v>0</v>
      </c>
      <c r="G171" s="99">
        <f>'收入支出明细表（基础数据表）'!G171</f>
        <v>0</v>
      </c>
      <c r="H171" s="99">
        <f>'收入支出明细表（基础数据表）'!H171</f>
        <v>0</v>
      </c>
      <c r="I171" s="99">
        <f>'收入支出明细表（基础数据表）'!I171</f>
        <v>0</v>
      </c>
      <c r="J171" s="99">
        <f>'收入支出明细表（基础数据表）'!J171</f>
        <v>0</v>
      </c>
      <c r="K171" s="99">
        <f>'收入支出明细表（基础数据表）'!K171</f>
        <v>0</v>
      </c>
      <c r="L171" s="99">
        <f>'收入支出明细表（基础数据表）'!L171</f>
        <v>0</v>
      </c>
      <c r="M171" s="99">
        <f>'收入支出明细表（基础数据表）'!M171</f>
        <v>0</v>
      </c>
      <c r="N171" s="99">
        <f>'收入支出明细表（基础数据表）'!N171</f>
        <v>0</v>
      </c>
      <c r="O171" s="99">
        <f>'收入支出明细表（基础数据表）'!O171</f>
        <v>0</v>
      </c>
      <c r="P171" s="99">
        <f>'收入支出明细表（基础数据表）'!P171</f>
        <v>0</v>
      </c>
      <c r="Q171" s="99">
        <f>'收入支出明细表（基础数据表）'!Q171</f>
        <v>0</v>
      </c>
      <c r="R171" s="99">
        <f>'收入支出明细表（基础数据表）'!R171</f>
        <v>0</v>
      </c>
      <c r="S171" s="99">
        <f>'收入支出明细表（基础数据表）'!S171</f>
        <v>0</v>
      </c>
    </row>
    <row r="172" spans="1:19" ht="22.05" customHeight="1" x14ac:dyDescent="0.25">
      <c r="A172" s="204"/>
      <c r="B172" s="216"/>
      <c r="C172" s="247"/>
      <c r="D172" s="79" t="s">
        <v>150</v>
      </c>
      <c r="E172" s="109">
        <f>'收入支出明细表（基础数据表）'!E172</f>
        <v>0</v>
      </c>
      <c r="F172" s="102">
        <f>'收入支出明细表（基础数据表）'!F172</f>
        <v>0</v>
      </c>
      <c r="G172" s="99">
        <f>'收入支出明细表（基础数据表）'!G172</f>
        <v>0</v>
      </c>
      <c r="H172" s="99">
        <f>'收入支出明细表（基础数据表）'!H172</f>
        <v>0</v>
      </c>
      <c r="I172" s="99">
        <f>'收入支出明细表（基础数据表）'!I172</f>
        <v>0</v>
      </c>
      <c r="J172" s="99">
        <f>'收入支出明细表（基础数据表）'!J172</f>
        <v>0</v>
      </c>
      <c r="K172" s="99">
        <f>'收入支出明细表（基础数据表）'!K172</f>
        <v>0</v>
      </c>
      <c r="L172" s="99">
        <f>'收入支出明细表（基础数据表）'!L172</f>
        <v>0</v>
      </c>
      <c r="M172" s="99">
        <f>'收入支出明细表（基础数据表）'!M172</f>
        <v>0</v>
      </c>
      <c r="N172" s="99">
        <f>'收入支出明细表（基础数据表）'!N172</f>
        <v>0</v>
      </c>
      <c r="O172" s="99">
        <f>'收入支出明细表（基础数据表）'!O172</f>
        <v>0</v>
      </c>
      <c r="P172" s="99">
        <f>'收入支出明细表（基础数据表）'!P172</f>
        <v>0</v>
      </c>
      <c r="Q172" s="99">
        <f>'收入支出明细表（基础数据表）'!Q172</f>
        <v>0</v>
      </c>
      <c r="R172" s="99">
        <f>'收入支出明细表（基础数据表）'!R172</f>
        <v>0</v>
      </c>
      <c r="S172" s="99">
        <f>'收入支出明细表（基础数据表）'!S172</f>
        <v>0</v>
      </c>
    </row>
    <row r="173" spans="1:19" ht="22.05" customHeight="1" x14ac:dyDescent="0.25">
      <c r="A173" s="204"/>
      <c r="B173" s="216"/>
      <c r="C173" s="248"/>
      <c r="D173" s="79" t="s">
        <v>151</v>
      </c>
      <c r="E173" s="109">
        <f>'收入支出明细表（基础数据表）'!E173</f>
        <v>0</v>
      </c>
      <c r="F173" s="102">
        <f>'收入支出明细表（基础数据表）'!F173</f>
        <v>0</v>
      </c>
      <c r="G173" s="99">
        <f>'收入支出明细表（基础数据表）'!G173</f>
        <v>0</v>
      </c>
      <c r="H173" s="101" t="e">
        <f>'收入支出明细表（基础数据表）'!H173</f>
        <v>#DIV/0!</v>
      </c>
      <c r="I173" s="101" t="e">
        <f>'收入支出明细表（基础数据表）'!I173</f>
        <v>#DIV/0!</v>
      </c>
      <c r="J173" s="101" t="e">
        <f>'收入支出明细表（基础数据表）'!J173</f>
        <v>#DIV/0!</v>
      </c>
      <c r="K173" s="101" t="e">
        <f>'收入支出明细表（基础数据表）'!K173</f>
        <v>#DIV/0!</v>
      </c>
      <c r="L173" s="101" t="e">
        <f>'收入支出明细表（基础数据表）'!L173</f>
        <v>#DIV/0!</v>
      </c>
      <c r="M173" s="101" t="e">
        <f>'收入支出明细表（基础数据表）'!M173</f>
        <v>#DIV/0!</v>
      </c>
      <c r="N173" s="101" t="e">
        <f>'收入支出明细表（基础数据表）'!N173</f>
        <v>#DIV/0!</v>
      </c>
      <c r="O173" s="101" t="e">
        <f>'收入支出明细表（基础数据表）'!O173</f>
        <v>#DIV/0!</v>
      </c>
      <c r="P173" s="101" t="e">
        <f>'收入支出明细表（基础数据表）'!P173</f>
        <v>#DIV/0!</v>
      </c>
      <c r="Q173" s="101" t="e">
        <f>'收入支出明细表（基础数据表）'!Q173</f>
        <v>#DIV/0!</v>
      </c>
      <c r="R173" s="101" t="e">
        <f>'收入支出明细表（基础数据表）'!R173</f>
        <v>#DIV/0!</v>
      </c>
      <c r="S173" s="101" t="e">
        <f>'收入支出明细表（基础数据表）'!S173</f>
        <v>#DIV/0!</v>
      </c>
    </row>
    <row r="174" spans="1:19" ht="22.05" customHeight="1" x14ac:dyDescent="0.25">
      <c r="A174" s="204"/>
      <c r="B174" s="216"/>
      <c r="C174" s="235" t="s">
        <v>193</v>
      </c>
      <c r="D174" s="79" t="s">
        <v>149</v>
      </c>
      <c r="E174" s="109">
        <f>'收入支出明细表（基础数据表）'!E174</f>
        <v>0</v>
      </c>
      <c r="F174" s="84">
        <f>'收入支出明细表（基础数据表）'!F174</f>
        <v>0.06</v>
      </c>
      <c r="G174" s="99">
        <f>'收入支出明细表（基础数据表）'!G174</f>
        <v>0</v>
      </c>
      <c r="H174" s="99">
        <f>'收入支出明细表（基础数据表）'!H174</f>
        <v>0</v>
      </c>
      <c r="I174" s="99">
        <f>'收入支出明细表（基础数据表）'!I174</f>
        <v>0</v>
      </c>
      <c r="J174" s="99">
        <f>'收入支出明细表（基础数据表）'!J174</f>
        <v>0</v>
      </c>
      <c r="K174" s="99">
        <f>'收入支出明细表（基础数据表）'!K174</f>
        <v>0</v>
      </c>
      <c r="L174" s="99">
        <f>'收入支出明细表（基础数据表）'!L174</f>
        <v>0</v>
      </c>
      <c r="M174" s="99">
        <f>'收入支出明细表（基础数据表）'!M174</f>
        <v>0</v>
      </c>
      <c r="N174" s="99">
        <f>'收入支出明细表（基础数据表）'!N174</f>
        <v>0</v>
      </c>
      <c r="O174" s="99">
        <f>'收入支出明细表（基础数据表）'!O174</f>
        <v>0</v>
      </c>
      <c r="P174" s="99">
        <f>'收入支出明细表（基础数据表）'!P174</f>
        <v>0</v>
      </c>
      <c r="Q174" s="99">
        <f>'收入支出明细表（基础数据表）'!Q174</f>
        <v>0</v>
      </c>
      <c r="R174" s="99">
        <f>'收入支出明细表（基础数据表）'!R174</f>
        <v>0</v>
      </c>
      <c r="S174" s="99">
        <f>'收入支出明细表（基础数据表）'!S174</f>
        <v>0</v>
      </c>
    </row>
    <row r="175" spans="1:19" ht="22.05" customHeight="1" x14ac:dyDescent="0.25">
      <c r="A175" s="204"/>
      <c r="B175" s="216"/>
      <c r="C175" s="236"/>
      <c r="D175" s="79" t="s">
        <v>150</v>
      </c>
      <c r="E175" s="109">
        <f>'收入支出明细表（基础数据表）'!E175</f>
        <v>0</v>
      </c>
      <c r="F175" s="102">
        <f>'收入支出明细表（基础数据表）'!F175</f>
        <v>0</v>
      </c>
      <c r="G175" s="99">
        <f>'收入支出明细表（基础数据表）'!G175</f>
        <v>0</v>
      </c>
      <c r="H175" s="99">
        <f>'收入支出明细表（基础数据表）'!H175</f>
        <v>0</v>
      </c>
      <c r="I175" s="99">
        <f>'收入支出明细表（基础数据表）'!I175</f>
        <v>0</v>
      </c>
      <c r="J175" s="99">
        <f>'收入支出明细表（基础数据表）'!J175</f>
        <v>0</v>
      </c>
      <c r="K175" s="99">
        <f>'收入支出明细表（基础数据表）'!K175</f>
        <v>0</v>
      </c>
      <c r="L175" s="99">
        <f>'收入支出明细表（基础数据表）'!L175</f>
        <v>0</v>
      </c>
      <c r="M175" s="99">
        <f>'收入支出明细表（基础数据表）'!M175</f>
        <v>0</v>
      </c>
      <c r="N175" s="99">
        <f>'收入支出明细表（基础数据表）'!N175</f>
        <v>0</v>
      </c>
      <c r="O175" s="99">
        <f>'收入支出明细表（基础数据表）'!O175</f>
        <v>0</v>
      </c>
      <c r="P175" s="99">
        <f>'收入支出明细表（基础数据表）'!P175</f>
        <v>0</v>
      </c>
      <c r="Q175" s="99">
        <f>'收入支出明细表（基础数据表）'!Q175</f>
        <v>0</v>
      </c>
      <c r="R175" s="99">
        <f>'收入支出明细表（基础数据表）'!R175</f>
        <v>0</v>
      </c>
      <c r="S175" s="99">
        <f>'收入支出明细表（基础数据表）'!S175</f>
        <v>0</v>
      </c>
    </row>
    <row r="176" spans="1:19" ht="22.05" customHeight="1" x14ac:dyDescent="0.25">
      <c r="A176" s="204"/>
      <c r="B176" s="216"/>
      <c r="C176" s="237"/>
      <c r="D176" s="79" t="s">
        <v>151</v>
      </c>
      <c r="E176" s="109">
        <f>'收入支出明细表（基础数据表）'!E176</f>
        <v>0</v>
      </c>
      <c r="F176" s="102">
        <f>'收入支出明细表（基础数据表）'!F176</f>
        <v>0</v>
      </c>
      <c r="G176" s="99">
        <f>'收入支出明细表（基础数据表）'!G176</f>
        <v>0</v>
      </c>
      <c r="H176" s="101" t="e">
        <f>'收入支出明细表（基础数据表）'!H176</f>
        <v>#DIV/0!</v>
      </c>
      <c r="I176" s="101" t="e">
        <f>'收入支出明细表（基础数据表）'!I176</f>
        <v>#DIV/0!</v>
      </c>
      <c r="J176" s="101" t="e">
        <f>'收入支出明细表（基础数据表）'!J176</f>
        <v>#DIV/0!</v>
      </c>
      <c r="K176" s="101" t="e">
        <f>'收入支出明细表（基础数据表）'!K176</f>
        <v>#DIV/0!</v>
      </c>
      <c r="L176" s="101" t="e">
        <f>'收入支出明细表（基础数据表）'!L176</f>
        <v>#DIV/0!</v>
      </c>
      <c r="M176" s="101" t="e">
        <f>'收入支出明细表（基础数据表）'!M176</f>
        <v>#DIV/0!</v>
      </c>
      <c r="N176" s="101" t="e">
        <f>'收入支出明细表（基础数据表）'!N176</f>
        <v>#DIV/0!</v>
      </c>
      <c r="O176" s="101" t="e">
        <f>'收入支出明细表（基础数据表）'!O176</f>
        <v>#DIV/0!</v>
      </c>
      <c r="P176" s="101" t="e">
        <f>'收入支出明细表（基础数据表）'!P176</f>
        <v>#DIV/0!</v>
      </c>
      <c r="Q176" s="101" t="e">
        <f>'收入支出明细表（基础数据表）'!Q176</f>
        <v>#DIV/0!</v>
      </c>
      <c r="R176" s="101" t="e">
        <f>'收入支出明细表（基础数据表）'!R176</f>
        <v>#DIV/0!</v>
      </c>
      <c r="S176" s="101" t="e">
        <f>'收入支出明细表（基础数据表）'!S176</f>
        <v>#DIV/0!</v>
      </c>
    </row>
    <row r="177" spans="1:19" ht="22.05" customHeight="1" x14ac:dyDescent="0.25">
      <c r="A177" s="204"/>
      <c r="B177" s="216"/>
      <c r="C177" s="235" t="s">
        <v>194</v>
      </c>
      <c r="D177" s="79" t="s">
        <v>149</v>
      </c>
      <c r="E177" s="109">
        <f>'收入支出明细表（基础数据表）'!E177</f>
        <v>0</v>
      </c>
      <c r="F177" s="84">
        <f>'收入支出明细表（基础数据表）'!F177</f>
        <v>0.13</v>
      </c>
      <c r="G177" s="99">
        <f>'收入支出明细表（基础数据表）'!G177</f>
        <v>0</v>
      </c>
      <c r="H177" s="99">
        <f>'收入支出明细表（基础数据表）'!H177</f>
        <v>0</v>
      </c>
      <c r="I177" s="99">
        <f>'收入支出明细表（基础数据表）'!I177</f>
        <v>0</v>
      </c>
      <c r="J177" s="99">
        <f>'收入支出明细表（基础数据表）'!J177</f>
        <v>0</v>
      </c>
      <c r="K177" s="99">
        <f>'收入支出明细表（基础数据表）'!K177</f>
        <v>0</v>
      </c>
      <c r="L177" s="99">
        <f>'收入支出明细表（基础数据表）'!L177</f>
        <v>0</v>
      </c>
      <c r="M177" s="99">
        <f>'收入支出明细表（基础数据表）'!M177</f>
        <v>0</v>
      </c>
      <c r="N177" s="99">
        <f>'收入支出明细表（基础数据表）'!N177</f>
        <v>0</v>
      </c>
      <c r="O177" s="99">
        <f>'收入支出明细表（基础数据表）'!O177</f>
        <v>0</v>
      </c>
      <c r="P177" s="99">
        <f>'收入支出明细表（基础数据表）'!P177</f>
        <v>0</v>
      </c>
      <c r="Q177" s="99">
        <f>'收入支出明细表（基础数据表）'!Q177</f>
        <v>0</v>
      </c>
      <c r="R177" s="99">
        <f>'收入支出明细表（基础数据表）'!R177</f>
        <v>0</v>
      </c>
      <c r="S177" s="99">
        <f>'收入支出明细表（基础数据表）'!S177</f>
        <v>0</v>
      </c>
    </row>
    <row r="178" spans="1:19" ht="22.05" customHeight="1" x14ac:dyDescent="0.25">
      <c r="A178" s="204"/>
      <c r="B178" s="216"/>
      <c r="C178" s="236"/>
      <c r="D178" s="79" t="s">
        <v>150</v>
      </c>
      <c r="E178" s="109">
        <f>'收入支出明细表（基础数据表）'!E178</f>
        <v>0</v>
      </c>
      <c r="F178" s="102">
        <f>'收入支出明细表（基础数据表）'!F178</f>
        <v>0</v>
      </c>
      <c r="G178" s="99">
        <f>'收入支出明细表（基础数据表）'!G178</f>
        <v>0</v>
      </c>
      <c r="H178" s="99">
        <f>'收入支出明细表（基础数据表）'!H178</f>
        <v>0</v>
      </c>
      <c r="I178" s="99">
        <f>'收入支出明细表（基础数据表）'!I178</f>
        <v>0</v>
      </c>
      <c r="J178" s="99">
        <f>'收入支出明细表（基础数据表）'!J178</f>
        <v>0</v>
      </c>
      <c r="K178" s="99">
        <f>'收入支出明细表（基础数据表）'!K178</f>
        <v>0</v>
      </c>
      <c r="L178" s="99">
        <f>'收入支出明细表（基础数据表）'!L178</f>
        <v>0</v>
      </c>
      <c r="M178" s="99">
        <f>'收入支出明细表（基础数据表）'!M178</f>
        <v>0</v>
      </c>
      <c r="N178" s="99">
        <f>'收入支出明细表（基础数据表）'!N178</f>
        <v>0</v>
      </c>
      <c r="O178" s="99">
        <f>'收入支出明细表（基础数据表）'!O178</f>
        <v>0</v>
      </c>
      <c r="P178" s="99">
        <f>'收入支出明细表（基础数据表）'!P178</f>
        <v>0</v>
      </c>
      <c r="Q178" s="99">
        <f>'收入支出明细表（基础数据表）'!Q178</f>
        <v>0</v>
      </c>
      <c r="R178" s="99">
        <f>'收入支出明细表（基础数据表）'!R178</f>
        <v>0</v>
      </c>
      <c r="S178" s="99">
        <f>'收入支出明细表（基础数据表）'!S178</f>
        <v>0</v>
      </c>
    </row>
    <row r="179" spans="1:19" ht="22.05" customHeight="1" x14ac:dyDescent="0.25">
      <c r="A179" s="204"/>
      <c r="B179" s="216"/>
      <c r="C179" s="237"/>
      <c r="D179" s="79" t="s">
        <v>151</v>
      </c>
      <c r="E179" s="109">
        <f>'收入支出明细表（基础数据表）'!E179</f>
        <v>0</v>
      </c>
      <c r="F179" s="102">
        <f>'收入支出明细表（基础数据表）'!F179</f>
        <v>0</v>
      </c>
      <c r="G179" s="99">
        <f>'收入支出明细表（基础数据表）'!G179</f>
        <v>0</v>
      </c>
      <c r="H179" s="101" t="e">
        <f>'收入支出明细表（基础数据表）'!H179</f>
        <v>#DIV/0!</v>
      </c>
      <c r="I179" s="101" t="e">
        <f>'收入支出明细表（基础数据表）'!I179</f>
        <v>#DIV/0!</v>
      </c>
      <c r="J179" s="101" t="e">
        <f>'收入支出明细表（基础数据表）'!J179</f>
        <v>#DIV/0!</v>
      </c>
      <c r="K179" s="101" t="e">
        <f>'收入支出明细表（基础数据表）'!K179</f>
        <v>#DIV/0!</v>
      </c>
      <c r="L179" s="101" t="e">
        <f>'收入支出明细表（基础数据表）'!L179</f>
        <v>#DIV/0!</v>
      </c>
      <c r="M179" s="101" t="e">
        <f>'收入支出明细表（基础数据表）'!M179</f>
        <v>#DIV/0!</v>
      </c>
      <c r="N179" s="101" t="e">
        <f>'收入支出明细表（基础数据表）'!N179</f>
        <v>#DIV/0!</v>
      </c>
      <c r="O179" s="101" t="e">
        <f>'收入支出明细表（基础数据表）'!O179</f>
        <v>#DIV/0!</v>
      </c>
      <c r="P179" s="101" t="e">
        <f>'收入支出明细表（基础数据表）'!P179</f>
        <v>#DIV/0!</v>
      </c>
      <c r="Q179" s="101" t="e">
        <f>'收入支出明细表（基础数据表）'!Q179</f>
        <v>#DIV/0!</v>
      </c>
      <c r="R179" s="101" t="e">
        <f>'收入支出明细表（基础数据表）'!R179</f>
        <v>#DIV/0!</v>
      </c>
      <c r="S179" s="101" t="e">
        <f>'收入支出明细表（基础数据表）'!S179</f>
        <v>#DIV/0!</v>
      </c>
    </row>
    <row r="180" spans="1:19" ht="22.05" customHeight="1" x14ac:dyDescent="0.25">
      <c r="A180" s="204"/>
      <c r="B180" s="216"/>
      <c r="C180" s="235" t="s">
        <v>195</v>
      </c>
      <c r="D180" s="79" t="s">
        <v>149</v>
      </c>
      <c r="E180" s="109">
        <f>'收入支出明细表（基础数据表）'!E180</f>
        <v>0</v>
      </c>
      <c r="F180" s="84">
        <f>'收入支出明细表（基础数据表）'!F180</f>
        <v>0.13</v>
      </c>
      <c r="G180" s="99">
        <f>'收入支出明细表（基础数据表）'!G180</f>
        <v>0</v>
      </c>
      <c r="H180" s="99">
        <f>'收入支出明细表（基础数据表）'!H180</f>
        <v>0</v>
      </c>
      <c r="I180" s="99">
        <f>'收入支出明细表（基础数据表）'!I180</f>
        <v>0</v>
      </c>
      <c r="J180" s="99">
        <f>'收入支出明细表（基础数据表）'!J180</f>
        <v>0</v>
      </c>
      <c r="K180" s="99">
        <f>'收入支出明细表（基础数据表）'!K180</f>
        <v>0</v>
      </c>
      <c r="L180" s="99">
        <f>'收入支出明细表（基础数据表）'!L180</f>
        <v>0</v>
      </c>
      <c r="M180" s="99">
        <f>'收入支出明细表（基础数据表）'!M180</f>
        <v>0</v>
      </c>
      <c r="N180" s="99">
        <f>'收入支出明细表（基础数据表）'!N180</f>
        <v>0</v>
      </c>
      <c r="O180" s="99">
        <f>'收入支出明细表（基础数据表）'!O180</f>
        <v>0</v>
      </c>
      <c r="P180" s="99">
        <f>'收入支出明细表（基础数据表）'!P180</f>
        <v>0</v>
      </c>
      <c r="Q180" s="99">
        <f>'收入支出明细表（基础数据表）'!Q180</f>
        <v>0</v>
      </c>
      <c r="R180" s="99">
        <f>'收入支出明细表（基础数据表）'!R180</f>
        <v>0</v>
      </c>
      <c r="S180" s="99">
        <f>'收入支出明细表（基础数据表）'!S180</f>
        <v>0</v>
      </c>
    </row>
    <row r="181" spans="1:19" ht="22.05" customHeight="1" x14ac:dyDescent="0.25">
      <c r="A181" s="204"/>
      <c r="B181" s="216"/>
      <c r="C181" s="236"/>
      <c r="D181" s="79" t="s">
        <v>150</v>
      </c>
      <c r="E181" s="109">
        <f>'收入支出明细表（基础数据表）'!E181</f>
        <v>0</v>
      </c>
      <c r="F181" s="102">
        <f>'收入支出明细表（基础数据表）'!F181</f>
        <v>0</v>
      </c>
      <c r="G181" s="99">
        <f>'收入支出明细表（基础数据表）'!G181</f>
        <v>0</v>
      </c>
      <c r="H181" s="99">
        <f>'收入支出明细表（基础数据表）'!H181</f>
        <v>0</v>
      </c>
      <c r="I181" s="99">
        <f>'收入支出明细表（基础数据表）'!I181</f>
        <v>0</v>
      </c>
      <c r="J181" s="99">
        <f>'收入支出明细表（基础数据表）'!J181</f>
        <v>0</v>
      </c>
      <c r="K181" s="99">
        <f>'收入支出明细表（基础数据表）'!K181</f>
        <v>0</v>
      </c>
      <c r="L181" s="99">
        <f>'收入支出明细表（基础数据表）'!L181</f>
        <v>0</v>
      </c>
      <c r="M181" s="99">
        <f>'收入支出明细表（基础数据表）'!M181</f>
        <v>0</v>
      </c>
      <c r="N181" s="99">
        <f>'收入支出明细表（基础数据表）'!N181</f>
        <v>0</v>
      </c>
      <c r="O181" s="99">
        <f>'收入支出明细表（基础数据表）'!O181</f>
        <v>0</v>
      </c>
      <c r="P181" s="99">
        <f>'收入支出明细表（基础数据表）'!P181</f>
        <v>0</v>
      </c>
      <c r="Q181" s="99">
        <f>'收入支出明细表（基础数据表）'!Q181</f>
        <v>0</v>
      </c>
      <c r="R181" s="99">
        <f>'收入支出明细表（基础数据表）'!R181</f>
        <v>0</v>
      </c>
      <c r="S181" s="99">
        <f>'收入支出明细表（基础数据表）'!S181</f>
        <v>0</v>
      </c>
    </row>
    <row r="182" spans="1:19" ht="22.05" customHeight="1" x14ac:dyDescent="0.25">
      <c r="A182" s="204"/>
      <c r="B182" s="216"/>
      <c r="C182" s="237"/>
      <c r="D182" s="79" t="s">
        <v>151</v>
      </c>
      <c r="E182" s="109">
        <f>'收入支出明细表（基础数据表）'!E182</f>
        <v>0</v>
      </c>
      <c r="F182" s="102">
        <f>'收入支出明细表（基础数据表）'!F182</f>
        <v>0</v>
      </c>
      <c r="G182" s="99">
        <f>'收入支出明细表（基础数据表）'!G182</f>
        <v>0</v>
      </c>
      <c r="H182" s="101" t="e">
        <f>'收入支出明细表（基础数据表）'!H182</f>
        <v>#DIV/0!</v>
      </c>
      <c r="I182" s="101" t="e">
        <f>'收入支出明细表（基础数据表）'!I182</f>
        <v>#DIV/0!</v>
      </c>
      <c r="J182" s="101" t="e">
        <f>'收入支出明细表（基础数据表）'!J182</f>
        <v>#DIV/0!</v>
      </c>
      <c r="K182" s="101" t="e">
        <f>'收入支出明细表（基础数据表）'!K182</f>
        <v>#DIV/0!</v>
      </c>
      <c r="L182" s="101" t="e">
        <f>'收入支出明细表（基础数据表）'!L182</f>
        <v>#DIV/0!</v>
      </c>
      <c r="M182" s="101" t="e">
        <f>'收入支出明细表（基础数据表）'!M182</f>
        <v>#DIV/0!</v>
      </c>
      <c r="N182" s="101" t="e">
        <f>'收入支出明细表（基础数据表）'!N182</f>
        <v>#DIV/0!</v>
      </c>
      <c r="O182" s="101" t="e">
        <f>'收入支出明细表（基础数据表）'!O182</f>
        <v>#DIV/0!</v>
      </c>
      <c r="P182" s="101" t="e">
        <f>'收入支出明细表（基础数据表）'!P182</f>
        <v>#DIV/0!</v>
      </c>
      <c r="Q182" s="101" t="e">
        <f>'收入支出明细表（基础数据表）'!Q182</f>
        <v>#DIV/0!</v>
      </c>
      <c r="R182" s="101" t="e">
        <f>'收入支出明细表（基础数据表）'!R182</f>
        <v>#DIV/0!</v>
      </c>
      <c r="S182" s="101" t="e">
        <f>'收入支出明细表（基础数据表）'!S182</f>
        <v>#DIV/0!</v>
      </c>
    </row>
    <row r="183" spans="1:19" ht="22.05" customHeight="1" x14ac:dyDescent="0.25">
      <c r="A183" s="204"/>
      <c r="B183" s="216"/>
      <c r="C183" s="235" t="s">
        <v>196</v>
      </c>
      <c r="D183" s="79" t="s">
        <v>149</v>
      </c>
      <c r="E183" s="108">
        <f>'收入支出明细表（基础数据表）'!E183</f>
        <v>0</v>
      </c>
      <c r="F183" s="84">
        <f>'收入支出明细表（基础数据表）'!F183</f>
        <v>0.09</v>
      </c>
      <c r="G183" s="99">
        <f>'收入支出明细表（基础数据表）'!G183</f>
        <v>0</v>
      </c>
      <c r="H183" s="107">
        <f>'收入支出明细表（基础数据表）'!H183</f>
        <v>0</v>
      </c>
      <c r="I183" s="107">
        <f>'收入支出明细表（基础数据表）'!I183</f>
        <v>0</v>
      </c>
      <c r="J183" s="107">
        <f>'收入支出明细表（基础数据表）'!J183</f>
        <v>0</v>
      </c>
      <c r="K183" s="107">
        <f>'收入支出明细表（基础数据表）'!K183</f>
        <v>0</v>
      </c>
      <c r="L183" s="107">
        <f>'收入支出明细表（基础数据表）'!L183</f>
        <v>0</v>
      </c>
      <c r="M183" s="107">
        <f>'收入支出明细表（基础数据表）'!M183</f>
        <v>0</v>
      </c>
      <c r="N183" s="107">
        <f>'收入支出明细表（基础数据表）'!N183</f>
        <v>0</v>
      </c>
      <c r="O183" s="107">
        <f>'收入支出明细表（基础数据表）'!O183</f>
        <v>0</v>
      </c>
      <c r="P183" s="103">
        <f>'收入支出明细表（基础数据表）'!P183</f>
        <v>0</v>
      </c>
      <c r="Q183" s="103">
        <f>'收入支出明细表（基础数据表）'!Q183</f>
        <v>0</v>
      </c>
      <c r="R183" s="103">
        <f>'收入支出明细表（基础数据表）'!R183</f>
        <v>0</v>
      </c>
      <c r="S183" s="103">
        <f>'收入支出明细表（基础数据表）'!S183</f>
        <v>0</v>
      </c>
    </row>
    <row r="184" spans="1:19" ht="22.05" customHeight="1" x14ac:dyDescent="0.25">
      <c r="A184" s="204"/>
      <c r="B184" s="216"/>
      <c r="C184" s="236"/>
      <c r="D184" s="79" t="s">
        <v>150</v>
      </c>
      <c r="E184" s="108">
        <f>'收入支出明细表（基础数据表）'!E184</f>
        <v>0</v>
      </c>
      <c r="F184" s="102">
        <f>'收入支出明细表（基础数据表）'!F184</f>
        <v>0</v>
      </c>
      <c r="G184" s="99">
        <f>'收入支出明细表（基础数据表）'!G184</f>
        <v>0</v>
      </c>
      <c r="H184" s="107">
        <f>'收入支出明细表（基础数据表）'!H184</f>
        <v>0</v>
      </c>
      <c r="I184" s="107">
        <f>'收入支出明细表（基础数据表）'!I184</f>
        <v>0</v>
      </c>
      <c r="J184" s="107">
        <f>'收入支出明细表（基础数据表）'!J184</f>
        <v>0</v>
      </c>
      <c r="K184" s="107">
        <f>'收入支出明细表（基础数据表）'!K184</f>
        <v>0</v>
      </c>
      <c r="L184" s="107">
        <f>'收入支出明细表（基础数据表）'!L184</f>
        <v>0</v>
      </c>
      <c r="M184" s="107">
        <f>'收入支出明细表（基础数据表）'!M184</f>
        <v>0</v>
      </c>
      <c r="N184" s="107">
        <f>'收入支出明细表（基础数据表）'!N184</f>
        <v>0</v>
      </c>
      <c r="O184" s="107">
        <f>'收入支出明细表（基础数据表）'!O184</f>
        <v>0</v>
      </c>
      <c r="P184" s="103">
        <f>'收入支出明细表（基础数据表）'!P184</f>
        <v>0</v>
      </c>
      <c r="Q184" s="103">
        <f>'收入支出明细表（基础数据表）'!Q184</f>
        <v>0</v>
      </c>
      <c r="R184" s="103">
        <f>'收入支出明细表（基础数据表）'!R184</f>
        <v>0</v>
      </c>
      <c r="S184" s="103">
        <f>'收入支出明细表（基础数据表）'!S184</f>
        <v>0</v>
      </c>
    </row>
    <row r="185" spans="1:19" ht="22.05" customHeight="1" x14ac:dyDescent="0.25">
      <c r="A185" s="204"/>
      <c r="B185" s="216"/>
      <c r="C185" s="237"/>
      <c r="D185" s="79" t="s">
        <v>151</v>
      </c>
      <c r="E185" s="108">
        <f>'收入支出明细表（基础数据表）'!E185</f>
        <v>0</v>
      </c>
      <c r="F185" s="102">
        <f>'收入支出明细表（基础数据表）'!F185</f>
        <v>0</v>
      </c>
      <c r="G185" s="99">
        <f>'收入支出明细表（基础数据表）'!G185</f>
        <v>0</v>
      </c>
      <c r="H185" s="101" t="e">
        <f>'收入支出明细表（基础数据表）'!H185</f>
        <v>#DIV/0!</v>
      </c>
      <c r="I185" s="101" t="e">
        <f>'收入支出明细表（基础数据表）'!I185</f>
        <v>#DIV/0!</v>
      </c>
      <c r="J185" s="101" t="e">
        <f>'收入支出明细表（基础数据表）'!J185</f>
        <v>#DIV/0!</v>
      </c>
      <c r="K185" s="101" t="e">
        <f>'收入支出明细表（基础数据表）'!K185</f>
        <v>#DIV/0!</v>
      </c>
      <c r="L185" s="101" t="e">
        <f>'收入支出明细表（基础数据表）'!L185</f>
        <v>#DIV/0!</v>
      </c>
      <c r="M185" s="101" t="e">
        <f>'收入支出明细表（基础数据表）'!M185</f>
        <v>#DIV/0!</v>
      </c>
      <c r="N185" s="101" t="e">
        <f>'收入支出明细表（基础数据表）'!N185</f>
        <v>#DIV/0!</v>
      </c>
      <c r="O185" s="101" t="e">
        <f>'收入支出明细表（基础数据表）'!O185</f>
        <v>#DIV/0!</v>
      </c>
      <c r="P185" s="101" t="e">
        <f>'收入支出明细表（基础数据表）'!P185</f>
        <v>#DIV/0!</v>
      </c>
      <c r="Q185" s="101" t="e">
        <f>'收入支出明细表（基础数据表）'!Q185</f>
        <v>#DIV/0!</v>
      </c>
      <c r="R185" s="101" t="e">
        <f>'收入支出明细表（基础数据表）'!R185</f>
        <v>#DIV/0!</v>
      </c>
      <c r="S185" s="101" t="e">
        <f>'收入支出明细表（基础数据表）'!S185</f>
        <v>#DIV/0!</v>
      </c>
    </row>
    <row r="186" spans="1:19" ht="22.05" customHeight="1" x14ac:dyDescent="0.25">
      <c r="A186" s="204"/>
      <c r="B186" s="216"/>
      <c r="C186" s="235" t="s">
        <v>197</v>
      </c>
      <c r="D186" s="79" t="s">
        <v>149</v>
      </c>
      <c r="E186" s="108">
        <f>'收入支出明细表（基础数据表）'!E186</f>
        <v>0</v>
      </c>
      <c r="F186" s="84">
        <f>'收入支出明细表（基础数据表）'!F186</f>
        <v>0.06</v>
      </c>
      <c r="G186" s="99">
        <f>'收入支出明细表（基础数据表）'!G186</f>
        <v>0</v>
      </c>
      <c r="H186" s="107">
        <f>'收入支出明细表（基础数据表）'!H186</f>
        <v>0</v>
      </c>
      <c r="I186" s="107">
        <f>'收入支出明细表（基础数据表）'!I186</f>
        <v>0</v>
      </c>
      <c r="J186" s="107">
        <f>'收入支出明细表（基础数据表）'!J186</f>
        <v>0</v>
      </c>
      <c r="K186" s="107">
        <f>'收入支出明细表（基础数据表）'!K186</f>
        <v>0</v>
      </c>
      <c r="L186" s="107">
        <f>'收入支出明细表（基础数据表）'!L186</f>
        <v>0</v>
      </c>
      <c r="M186" s="107">
        <f>'收入支出明细表（基础数据表）'!M186</f>
        <v>0</v>
      </c>
      <c r="N186" s="107">
        <f>'收入支出明细表（基础数据表）'!N186</f>
        <v>0</v>
      </c>
      <c r="O186" s="107">
        <f>'收入支出明细表（基础数据表）'!O186</f>
        <v>0</v>
      </c>
      <c r="P186" s="103">
        <f>'收入支出明细表（基础数据表）'!P186</f>
        <v>0</v>
      </c>
      <c r="Q186" s="103">
        <f>'收入支出明细表（基础数据表）'!Q186</f>
        <v>0</v>
      </c>
      <c r="R186" s="103">
        <f>'收入支出明细表（基础数据表）'!R186</f>
        <v>0</v>
      </c>
      <c r="S186" s="103">
        <f>'收入支出明细表（基础数据表）'!S186</f>
        <v>0</v>
      </c>
    </row>
    <row r="187" spans="1:19" ht="22.05" customHeight="1" x14ac:dyDescent="0.25">
      <c r="A187" s="204"/>
      <c r="B187" s="216"/>
      <c r="C187" s="236"/>
      <c r="D187" s="79" t="s">
        <v>150</v>
      </c>
      <c r="E187" s="108">
        <f>'收入支出明细表（基础数据表）'!E187</f>
        <v>0</v>
      </c>
      <c r="F187" s="102">
        <f>'收入支出明细表（基础数据表）'!F187</f>
        <v>0</v>
      </c>
      <c r="G187" s="99">
        <f>'收入支出明细表（基础数据表）'!G187</f>
        <v>0</v>
      </c>
      <c r="H187" s="107">
        <f>'收入支出明细表（基础数据表）'!H187</f>
        <v>0</v>
      </c>
      <c r="I187" s="107">
        <f>'收入支出明细表（基础数据表）'!I187</f>
        <v>0</v>
      </c>
      <c r="J187" s="107">
        <f>'收入支出明细表（基础数据表）'!J187</f>
        <v>0</v>
      </c>
      <c r="K187" s="107">
        <f>'收入支出明细表（基础数据表）'!K187</f>
        <v>0</v>
      </c>
      <c r="L187" s="107">
        <f>'收入支出明细表（基础数据表）'!L187</f>
        <v>0</v>
      </c>
      <c r="M187" s="107">
        <f>'收入支出明细表（基础数据表）'!M187</f>
        <v>0</v>
      </c>
      <c r="N187" s="107">
        <f>'收入支出明细表（基础数据表）'!N187</f>
        <v>0</v>
      </c>
      <c r="O187" s="107">
        <f>'收入支出明细表（基础数据表）'!O187</f>
        <v>0</v>
      </c>
      <c r="P187" s="103">
        <f>'收入支出明细表（基础数据表）'!P187</f>
        <v>0</v>
      </c>
      <c r="Q187" s="103">
        <f>'收入支出明细表（基础数据表）'!Q187</f>
        <v>0</v>
      </c>
      <c r="R187" s="103">
        <f>'收入支出明细表（基础数据表）'!R187</f>
        <v>0</v>
      </c>
      <c r="S187" s="103">
        <f>'收入支出明细表（基础数据表）'!S187</f>
        <v>0</v>
      </c>
    </row>
    <row r="188" spans="1:19" ht="22.05" customHeight="1" x14ac:dyDescent="0.25">
      <c r="A188" s="204"/>
      <c r="B188" s="216"/>
      <c r="C188" s="237"/>
      <c r="D188" s="79" t="s">
        <v>151</v>
      </c>
      <c r="E188" s="108">
        <f>'收入支出明细表（基础数据表）'!E188</f>
        <v>0</v>
      </c>
      <c r="F188" s="102">
        <f>'收入支出明细表（基础数据表）'!F188</f>
        <v>0</v>
      </c>
      <c r="G188" s="99">
        <f>'收入支出明细表（基础数据表）'!G188</f>
        <v>0</v>
      </c>
      <c r="H188" s="101" t="e">
        <f>'收入支出明细表（基础数据表）'!H188</f>
        <v>#DIV/0!</v>
      </c>
      <c r="I188" s="101" t="e">
        <f>'收入支出明细表（基础数据表）'!I188</f>
        <v>#DIV/0!</v>
      </c>
      <c r="J188" s="101" t="e">
        <f>'收入支出明细表（基础数据表）'!J188</f>
        <v>#DIV/0!</v>
      </c>
      <c r="K188" s="101" t="e">
        <f>'收入支出明细表（基础数据表）'!K188</f>
        <v>#DIV/0!</v>
      </c>
      <c r="L188" s="101" t="e">
        <f>'收入支出明细表（基础数据表）'!L188</f>
        <v>#DIV/0!</v>
      </c>
      <c r="M188" s="101" t="e">
        <f>'收入支出明细表（基础数据表）'!M188</f>
        <v>#DIV/0!</v>
      </c>
      <c r="N188" s="101" t="e">
        <f>'收入支出明细表（基础数据表）'!N188</f>
        <v>#DIV/0!</v>
      </c>
      <c r="O188" s="101" t="e">
        <f>'收入支出明细表（基础数据表）'!O188</f>
        <v>#DIV/0!</v>
      </c>
      <c r="P188" s="101" t="e">
        <f>'收入支出明细表（基础数据表）'!P188</f>
        <v>#DIV/0!</v>
      </c>
      <c r="Q188" s="101" t="e">
        <f>'收入支出明细表（基础数据表）'!Q188</f>
        <v>#DIV/0!</v>
      </c>
      <c r="R188" s="101" t="e">
        <f>'收入支出明细表（基础数据表）'!R188</f>
        <v>#DIV/0!</v>
      </c>
      <c r="S188" s="101" t="e">
        <f>'收入支出明细表（基础数据表）'!S188</f>
        <v>#DIV/0!</v>
      </c>
    </row>
    <row r="189" spans="1:19" ht="22.05" customHeight="1" x14ac:dyDescent="0.25">
      <c r="A189" s="204"/>
      <c r="B189" s="216"/>
      <c r="C189" s="105" t="s">
        <v>125</v>
      </c>
      <c r="D189" s="105"/>
      <c r="E189" s="108">
        <f>'收入支出明细表（基础数据表）'!E189</f>
        <v>0</v>
      </c>
      <c r="F189" s="102">
        <f>'收入支出明细表（基础数据表）'!F189</f>
        <v>0</v>
      </c>
      <c r="G189" s="99">
        <f>'收入支出明细表（基础数据表）'!G189</f>
        <v>0</v>
      </c>
      <c r="H189" s="107">
        <f>'收入支出明细表（基础数据表）'!H189</f>
        <v>0</v>
      </c>
      <c r="I189" s="107">
        <f>'收入支出明细表（基础数据表）'!I189</f>
        <v>0</v>
      </c>
      <c r="J189" s="107">
        <f>'收入支出明细表（基础数据表）'!J189</f>
        <v>0</v>
      </c>
      <c r="K189" s="107">
        <f>'收入支出明细表（基础数据表）'!K189</f>
        <v>0</v>
      </c>
      <c r="L189" s="107">
        <f>'收入支出明细表（基础数据表）'!L189</f>
        <v>0</v>
      </c>
      <c r="M189" s="107">
        <f>'收入支出明细表（基础数据表）'!M189</f>
        <v>0</v>
      </c>
      <c r="N189" s="107">
        <f>'收入支出明细表（基础数据表）'!N189</f>
        <v>0</v>
      </c>
      <c r="O189" s="107">
        <f>'收入支出明细表（基础数据表）'!O189</f>
        <v>0</v>
      </c>
      <c r="P189" s="107">
        <f>'收入支出明细表（基础数据表）'!P189</f>
        <v>0</v>
      </c>
      <c r="Q189" s="107">
        <f>'收入支出明细表（基础数据表）'!Q189</f>
        <v>0</v>
      </c>
      <c r="R189" s="107">
        <f>'收入支出明细表（基础数据表）'!R189</f>
        <v>0</v>
      </c>
      <c r="S189" s="107">
        <f>'收入支出明细表（基础数据表）'!S189</f>
        <v>0</v>
      </c>
    </row>
    <row r="190" spans="1:19" ht="22.05" customHeight="1" x14ac:dyDescent="0.25">
      <c r="A190" s="204"/>
      <c r="B190" s="215" t="s">
        <v>198</v>
      </c>
      <c r="C190" s="246" t="s">
        <v>199</v>
      </c>
      <c r="D190" s="79" t="s">
        <v>149</v>
      </c>
      <c r="E190" s="109">
        <f>'收入支出明细表（基础数据表）'!E190</f>
        <v>0</v>
      </c>
      <c r="F190" s="102">
        <f>'收入支出明细表（基础数据表）'!F190</f>
        <v>0</v>
      </c>
      <c r="G190" s="99">
        <f>'收入支出明细表（基础数据表）'!G190</f>
        <v>0</v>
      </c>
      <c r="H190" s="99">
        <f>'收入支出明细表（基础数据表）'!H190</f>
        <v>0</v>
      </c>
      <c r="I190" s="99">
        <f>'收入支出明细表（基础数据表）'!I190</f>
        <v>0</v>
      </c>
      <c r="J190" s="99">
        <f>'收入支出明细表（基础数据表）'!J190</f>
        <v>0</v>
      </c>
      <c r="K190" s="99">
        <f>'收入支出明细表（基础数据表）'!K190</f>
        <v>0</v>
      </c>
      <c r="L190" s="99">
        <f>'收入支出明细表（基础数据表）'!L190</f>
        <v>0</v>
      </c>
      <c r="M190" s="99">
        <f>'收入支出明细表（基础数据表）'!M190</f>
        <v>0</v>
      </c>
      <c r="N190" s="99">
        <f>'收入支出明细表（基础数据表）'!N190</f>
        <v>0</v>
      </c>
      <c r="O190" s="99">
        <f>'收入支出明细表（基础数据表）'!O190</f>
        <v>0</v>
      </c>
      <c r="P190" s="99">
        <f>'收入支出明细表（基础数据表）'!P190</f>
        <v>0</v>
      </c>
      <c r="Q190" s="99">
        <f>'收入支出明细表（基础数据表）'!Q190</f>
        <v>0</v>
      </c>
      <c r="R190" s="99">
        <f>'收入支出明细表（基础数据表）'!R190</f>
        <v>0</v>
      </c>
      <c r="S190" s="99">
        <f>'收入支出明细表（基础数据表）'!S190</f>
        <v>0</v>
      </c>
    </row>
    <row r="191" spans="1:19" ht="22.05" customHeight="1" x14ac:dyDescent="0.25">
      <c r="A191" s="204"/>
      <c r="B191" s="216"/>
      <c r="C191" s="247"/>
      <c r="D191" s="79" t="s">
        <v>150</v>
      </c>
      <c r="E191" s="109">
        <f>'收入支出明细表（基础数据表）'!E191</f>
        <v>0</v>
      </c>
      <c r="F191" s="102">
        <f>'收入支出明细表（基础数据表）'!F191</f>
        <v>0</v>
      </c>
      <c r="G191" s="99">
        <f>'收入支出明细表（基础数据表）'!G191</f>
        <v>0</v>
      </c>
      <c r="H191" s="99">
        <f>'收入支出明细表（基础数据表）'!H191</f>
        <v>0</v>
      </c>
      <c r="I191" s="99">
        <f>'收入支出明细表（基础数据表）'!I191</f>
        <v>0</v>
      </c>
      <c r="J191" s="99">
        <f>'收入支出明细表（基础数据表）'!J191</f>
        <v>0</v>
      </c>
      <c r="K191" s="99">
        <f>'收入支出明细表（基础数据表）'!K191</f>
        <v>0</v>
      </c>
      <c r="L191" s="99">
        <f>'收入支出明细表（基础数据表）'!L191</f>
        <v>0</v>
      </c>
      <c r="M191" s="99">
        <f>'收入支出明细表（基础数据表）'!M191</f>
        <v>0</v>
      </c>
      <c r="N191" s="99">
        <f>'收入支出明细表（基础数据表）'!N191</f>
        <v>0</v>
      </c>
      <c r="O191" s="99">
        <f>'收入支出明细表（基础数据表）'!O191</f>
        <v>0</v>
      </c>
      <c r="P191" s="99">
        <f>'收入支出明细表（基础数据表）'!P191</f>
        <v>0</v>
      </c>
      <c r="Q191" s="99">
        <f>'收入支出明细表（基础数据表）'!Q191</f>
        <v>0</v>
      </c>
      <c r="R191" s="99">
        <f>'收入支出明细表（基础数据表）'!R191</f>
        <v>0</v>
      </c>
      <c r="S191" s="99">
        <f>'收入支出明细表（基础数据表）'!S191</f>
        <v>0</v>
      </c>
    </row>
    <row r="192" spans="1:19" ht="22.05" customHeight="1" x14ac:dyDescent="0.25">
      <c r="A192" s="204"/>
      <c r="B192" s="216"/>
      <c r="C192" s="248"/>
      <c r="D192" s="79" t="s">
        <v>151</v>
      </c>
      <c r="E192" s="109">
        <f>'收入支出明细表（基础数据表）'!E192</f>
        <v>0</v>
      </c>
      <c r="F192" s="102">
        <f>'收入支出明细表（基础数据表）'!F192</f>
        <v>0</v>
      </c>
      <c r="G192" s="99">
        <f>'收入支出明细表（基础数据表）'!G192</f>
        <v>0</v>
      </c>
      <c r="H192" s="101" t="e">
        <f>'收入支出明细表（基础数据表）'!H192</f>
        <v>#DIV/0!</v>
      </c>
      <c r="I192" s="101" t="e">
        <f>'收入支出明细表（基础数据表）'!I192</f>
        <v>#DIV/0!</v>
      </c>
      <c r="J192" s="101" t="e">
        <f>'收入支出明细表（基础数据表）'!J192</f>
        <v>#DIV/0!</v>
      </c>
      <c r="K192" s="101" t="e">
        <f>'收入支出明细表（基础数据表）'!K192</f>
        <v>#DIV/0!</v>
      </c>
      <c r="L192" s="101" t="e">
        <f>'收入支出明细表（基础数据表）'!L192</f>
        <v>#DIV/0!</v>
      </c>
      <c r="M192" s="101" t="e">
        <f>'收入支出明细表（基础数据表）'!M192</f>
        <v>#DIV/0!</v>
      </c>
      <c r="N192" s="101" t="e">
        <f>'收入支出明细表（基础数据表）'!N192</f>
        <v>#DIV/0!</v>
      </c>
      <c r="O192" s="101" t="e">
        <f>'收入支出明细表（基础数据表）'!O192</f>
        <v>#DIV/0!</v>
      </c>
      <c r="P192" s="101" t="e">
        <f>'收入支出明细表（基础数据表）'!P192</f>
        <v>#DIV/0!</v>
      </c>
      <c r="Q192" s="101" t="e">
        <f>'收入支出明细表（基础数据表）'!Q192</f>
        <v>#DIV/0!</v>
      </c>
      <c r="R192" s="101" t="e">
        <f>'收入支出明细表（基础数据表）'!R192</f>
        <v>#DIV/0!</v>
      </c>
      <c r="S192" s="101" t="e">
        <f>'收入支出明细表（基础数据表）'!S192</f>
        <v>#DIV/0!</v>
      </c>
    </row>
    <row r="193" spans="1:19" ht="22.05" customHeight="1" x14ac:dyDescent="0.25">
      <c r="A193" s="204"/>
      <c r="B193" s="216"/>
      <c r="C193" s="235" t="s">
        <v>200</v>
      </c>
      <c r="D193" s="79" t="s">
        <v>149</v>
      </c>
      <c r="E193" s="108">
        <f>'收入支出明细表（基础数据表）'!E193</f>
        <v>0</v>
      </c>
      <c r="F193" s="102">
        <f>'收入支出明细表（基础数据表）'!F193</f>
        <v>0</v>
      </c>
      <c r="G193" s="99">
        <f>'收入支出明细表（基础数据表）'!G193</f>
        <v>0</v>
      </c>
      <c r="H193" s="99">
        <f>'收入支出明细表（基础数据表）'!H193</f>
        <v>0</v>
      </c>
      <c r="I193" s="99">
        <f>'收入支出明细表（基础数据表）'!I193</f>
        <v>0</v>
      </c>
      <c r="J193" s="99">
        <f>'收入支出明细表（基础数据表）'!J193</f>
        <v>0</v>
      </c>
      <c r="K193" s="99">
        <f>'收入支出明细表（基础数据表）'!K193</f>
        <v>0</v>
      </c>
      <c r="L193" s="99">
        <f>'收入支出明细表（基础数据表）'!L193</f>
        <v>0</v>
      </c>
      <c r="M193" s="99">
        <f>'收入支出明细表（基础数据表）'!M193</f>
        <v>0</v>
      </c>
      <c r="N193" s="99">
        <f>'收入支出明细表（基础数据表）'!N193</f>
        <v>0</v>
      </c>
      <c r="O193" s="99">
        <f>'收入支出明细表（基础数据表）'!O193</f>
        <v>0</v>
      </c>
      <c r="P193" s="99">
        <f>'收入支出明细表（基础数据表）'!P193</f>
        <v>0</v>
      </c>
      <c r="Q193" s="99">
        <f>'收入支出明细表（基础数据表）'!Q193</f>
        <v>0</v>
      </c>
      <c r="R193" s="99">
        <f>'收入支出明细表（基础数据表）'!R193</f>
        <v>0</v>
      </c>
      <c r="S193" s="99">
        <f>'收入支出明细表（基础数据表）'!S193</f>
        <v>0</v>
      </c>
    </row>
    <row r="194" spans="1:19" ht="22.05" customHeight="1" x14ac:dyDescent="0.25">
      <c r="A194" s="204"/>
      <c r="B194" s="216"/>
      <c r="C194" s="236"/>
      <c r="D194" s="79" t="s">
        <v>150</v>
      </c>
      <c r="E194" s="108">
        <f>'收入支出明细表（基础数据表）'!E194</f>
        <v>0</v>
      </c>
      <c r="F194" s="102">
        <f>'收入支出明细表（基础数据表）'!F194</f>
        <v>0</v>
      </c>
      <c r="G194" s="99">
        <f>'收入支出明细表（基础数据表）'!G194</f>
        <v>0</v>
      </c>
      <c r="H194" s="99">
        <f>'收入支出明细表（基础数据表）'!H194</f>
        <v>0</v>
      </c>
      <c r="I194" s="99">
        <f>'收入支出明细表（基础数据表）'!I194</f>
        <v>0</v>
      </c>
      <c r="J194" s="99">
        <f>'收入支出明细表（基础数据表）'!J194</f>
        <v>0</v>
      </c>
      <c r="K194" s="99">
        <f>'收入支出明细表（基础数据表）'!K194</f>
        <v>0</v>
      </c>
      <c r="L194" s="99">
        <f>'收入支出明细表（基础数据表）'!L194</f>
        <v>0</v>
      </c>
      <c r="M194" s="99">
        <f>'收入支出明细表（基础数据表）'!M194</f>
        <v>0</v>
      </c>
      <c r="N194" s="99">
        <f>'收入支出明细表（基础数据表）'!N194</f>
        <v>0</v>
      </c>
      <c r="O194" s="99">
        <f>'收入支出明细表（基础数据表）'!O194</f>
        <v>0</v>
      </c>
      <c r="P194" s="99">
        <f>'收入支出明细表（基础数据表）'!P194</f>
        <v>0</v>
      </c>
      <c r="Q194" s="99">
        <f>'收入支出明细表（基础数据表）'!Q194</f>
        <v>0</v>
      </c>
      <c r="R194" s="99">
        <f>'收入支出明细表（基础数据表）'!R194</f>
        <v>0</v>
      </c>
      <c r="S194" s="99">
        <f>'收入支出明细表（基础数据表）'!S194</f>
        <v>0</v>
      </c>
    </row>
    <row r="195" spans="1:19" ht="22.05" customHeight="1" x14ac:dyDescent="0.25">
      <c r="A195" s="204"/>
      <c r="B195" s="216"/>
      <c r="C195" s="237"/>
      <c r="D195" s="79" t="s">
        <v>151</v>
      </c>
      <c r="E195" s="108">
        <f>'收入支出明细表（基础数据表）'!E195</f>
        <v>0</v>
      </c>
      <c r="F195" s="102">
        <f>'收入支出明细表（基础数据表）'!F195</f>
        <v>0</v>
      </c>
      <c r="G195" s="99">
        <f>'收入支出明细表（基础数据表）'!G195</f>
        <v>0</v>
      </c>
      <c r="H195" s="101" t="e">
        <f>'收入支出明细表（基础数据表）'!H195</f>
        <v>#DIV/0!</v>
      </c>
      <c r="I195" s="101" t="e">
        <f>'收入支出明细表（基础数据表）'!I195</f>
        <v>#DIV/0!</v>
      </c>
      <c r="J195" s="101" t="e">
        <f>'收入支出明细表（基础数据表）'!J195</f>
        <v>#DIV/0!</v>
      </c>
      <c r="K195" s="101" t="e">
        <f>'收入支出明细表（基础数据表）'!K195</f>
        <v>#DIV/0!</v>
      </c>
      <c r="L195" s="101" t="e">
        <f>'收入支出明细表（基础数据表）'!L195</f>
        <v>#DIV/0!</v>
      </c>
      <c r="M195" s="101" t="e">
        <f>'收入支出明细表（基础数据表）'!M195</f>
        <v>#DIV/0!</v>
      </c>
      <c r="N195" s="101" t="e">
        <f>'收入支出明细表（基础数据表）'!N195</f>
        <v>#DIV/0!</v>
      </c>
      <c r="O195" s="101" t="e">
        <f>'收入支出明细表（基础数据表）'!O195</f>
        <v>#DIV/0!</v>
      </c>
      <c r="P195" s="101" t="e">
        <f>'收入支出明细表（基础数据表）'!P195</f>
        <v>#DIV/0!</v>
      </c>
      <c r="Q195" s="101" t="e">
        <f>'收入支出明细表（基础数据表）'!Q195</f>
        <v>#DIV/0!</v>
      </c>
      <c r="R195" s="101" t="e">
        <f>'收入支出明细表（基础数据表）'!R195</f>
        <v>#DIV/0!</v>
      </c>
      <c r="S195" s="101" t="e">
        <f>'收入支出明细表（基础数据表）'!S195</f>
        <v>#DIV/0!</v>
      </c>
    </row>
    <row r="196" spans="1:19" ht="22.05" customHeight="1" x14ac:dyDescent="0.25">
      <c r="A196" s="204"/>
      <c r="B196" s="216"/>
      <c r="C196" s="235" t="s">
        <v>202</v>
      </c>
      <c r="D196" s="79" t="s">
        <v>149</v>
      </c>
      <c r="E196" s="108">
        <f>'收入支出明细表（基础数据表）'!E196</f>
        <v>0</v>
      </c>
      <c r="F196" s="84">
        <f>'收入支出明细表（基础数据表）'!F196</f>
        <v>0.06</v>
      </c>
      <c r="G196" s="99">
        <f>'收入支出明细表（基础数据表）'!G196</f>
        <v>0</v>
      </c>
      <c r="H196" s="100">
        <f>'收入支出明细表（基础数据表）'!H196</f>
        <v>0</v>
      </c>
      <c r="I196" s="100">
        <f>'收入支出明细表（基础数据表）'!I196</f>
        <v>0</v>
      </c>
      <c r="J196" s="100">
        <f>'收入支出明细表（基础数据表）'!J196</f>
        <v>0</v>
      </c>
      <c r="K196" s="100">
        <f>'收入支出明细表（基础数据表）'!K196</f>
        <v>0</v>
      </c>
      <c r="L196" s="100">
        <f>'收入支出明细表（基础数据表）'!L196</f>
        <v>0</v>
      </c>
      <c r="M196" s="100">
        <f>'收入支出明细表（基础数据表）'!M196</f>
        <v>0</v>
      </c>
      <c r="N196" s="100">
        <f>'收入支出明细表（基础数据表）'!N196</f>
        <v>0</v>
      </c>
      <c r="O196" s="100">
        <f>'收入支出明细表（基础数据表）'!O196</f>
        <v>0</v>
      </c>
      <c r="P196" s="100">
        <f>'收入支出明细表（基础数据表）'!P196</f>
        <v>0</v>
      </c>
      <c r="Q196" s="100">
        <f>'收入支出明细表（基础数据表）'!Q196</f>
        <v>0</v>
      </c>
      <c r="R196" s="100">
        <f>'收入支出明细表（基础数据表）'!R196</f>
        <v>0</v>
      </c>
      <c r="S196" s="100">
        <f>'收入支出明细表（基础数据表）'!S196</f>
        <v>0</v>
      </c>
    </row>
    <row r="197" spans="1:19" ht="22.05" customHeight="1" x14ac:dyDescent="0.25">
      <c r="A197" s="204"/>
      <c r="B197" s="216"/>
      <c r="C197" s="236"/>
      <c r="D197" s="79" t="s">
        <v>150</v>
      </c>
      <c r="E197" s="108">
        <f>'收入支出明细表（基础数据表）'!E197</f>
        <v>0</v>
      </c>
      <c r="F197" s="102">
        <f>'收入支出明细表（基础数据表）'!F197</f>
        <v>0</v>
      </c>
      <c r="G197" s="99">
        <f>'收入支出明细表（基础数据表）'!G197</f>
        <v>0</v>
      </c>
      <c r="H197" s="100">
        <f>'收入支出明细表（基础数据表）'!H197</f>
        <v>0</v>
      </c>
      <c r="I197" s="100">
        <f>'收入支出明细表（基础数据表）'!I197</f>
        <v>0</v>
      </c>
      <c r="J197" s="100">
        <f>'收入支出明细表（基础数据表）'!J197</f>
        <v>0</v>
      </c>
      <c r="K197" s="100">
        <f>'收入支出明细表（基础数据表）'!K197</f>
        <v>0</v>
      </c>
      <c r="L197" s="100">
        <f>'收入支出明细表（基础数据表）'!L197</f>
        <v>0</v>
      </c>
      <c r="M197" s="100">
        <f>'收入支出明细表（基础数据表）'!M197</f>
        <v>0</v>
      </c>
      <c r="N197" s="100">
        <f>'收入支出明细表（基础数据表）'!N197</f>
        <v>0</v>
      </c>
      <c r="O197" s="100">
        <f>'收入支出明细表（基础数据表）'!O197</f>
        <v>0</v>
      </c>
      <c r="P197" s="100">
        <f>'收入支出明细表（基础数据表）'!P197</f>
        <v>0</v>
      </c>
      <c r="Q197" s="100">
        <f>'收入支出明细表（基础数据表）'!Q197</f>
        <v>0</v>
      </c>
      <c r="R197" s="100">
        <f>'收入支出明细表（基础数据表）'!R197</f>
        <v>0</v>
      </c>
      <c r="S197" s="100">
        <f>'收入支出明细表（基础数据表）'!S197</f>
        <v>0</v>
      </c>
    </row>
    <row r="198" spans="1:19" ht="22.05" customHeight="1" x14ac:dyDescent="0.25">
      <c r="A198" s="204"/>
      <c r="B198" s="216"/>
      <c r="C198" s="237"/>
      <c r="D198" s="79" t="s">
        <v>151</v>
      </c>
      <c r="E198" s="108">
        <f>'收入支出明细表（基础数据表）'!E198</f>
        <v>0</v>
      </c>
      <c r="F198" s="102">
        <f>'收入支出明细表（基础数据表）'!F198</f>
        <v>0</v>
      </c>
      <c r="G198" s="99">
        <f>'收入支出明细表（基础数据表）'!G198</f>
        <v>0</v>
      </c>
      <c r="H198" s="101" t="e">
        <f>'收入支出明细表（基础数据表）'!H198</f>
        <v>#DIV/0!</v>
      </c>
      <c r="I198" s="101" t="e">
        <f>'收入支出明细表（基础数据表）'!I198</f>
        <v>#DIV/0!</v>
      </c>
      <c r="J198" s="101" t="e">
        <f>'收入支出明细表（基础数据表）'!J198</f>
        <v>#DIV/0!</v>
      </c>
      <c r="K198" s="101" t="e">
        <f>'收入支出明细表（基础数据表）'!K198</f>
        <v>#DIV/0!</v>
      </c>
      <c r="L198" s="101" t="e">
        <f>'收入支出明细表（基础数据表）'!L198</f>
        <v>#DIV/0!</v>
      </c>
      <c r="M198" s="101" t="e">
        <f>'收入支出明细表（基础数据表）'!M198</f>
        <v>#DIV/0!</v>
      </c>
      <c r="N198" s="101" t="e">
        <f>'收入支出明细表（基础数据表）'!N198</f>
        <v>#DIV/0!</v>
      </c>
      <c r="O198" s="101" t="e">
        <f>'收入支出明细表（基础数据表）'!O198</f>
        <v>#DIV/0!</v>
      </c>
      <c r="P198" s="101" t="e">
        <f>'收入支出明细表（基础数据表）'!P198</f>
        <v>#DIV/0!</v>
      </c>
      <c r="Q198" s="101" t="e">
        <f>'收入支出明细表（基础数据表）'!Q198</f>
        <v>#DIV/0!</v>
      </c>
      <c r="R198" s="101" t="e">
        <f>'收入支出明细表（基础数据表）'!R198</f>
        <v>#DIV/0!</v>
      </c>
      <c r="S198" s="101" t="e">
        <f>'收入支出明细表（基础数据表）'!S198</f>
        <v>#DIV/0!</v>
      </c>
    </row>
    <row r="199" spans="1:19" ht="22.05" customHeight="1" x14ac:dyDescent="0.25">
      <c r="A199" s="204"/>
      <c r="B199" s="216"/>
      <c r="C199" s="235" t="s">
        <v>203</v>
      </c>
      <c r="D199" s="79" t="s">
        <v>149</v>
      </c>
      <c r="E199" s="108">
        <f>'收入支出明细表（基础数据表）'!E199</f>
        <v>0</v>
      </c>
      <c r="F199" s="84">
        <f>'收入支出明细表（基础数据表）'!F199</f>
        <v>0.06</v>
      </c>
      <c r="G199" s="99">
        <f>'收入支出明细表（基础数据表）'!G199</f>
        <v>0</v>
      </c>
      <c r="H199" s="107">
        <f>'收入支出明细表（基础数据表）'!H199</f>
        <v>0</v>
      </c>
      <c r="I199" s="107">
        <f>'收入支出明细表（基础数据表）'!I199</f>
        <v>0</v>
      </c>
      <c r="J199" s="107">
        <f>'收入支出明细表（基础数据表）'!J199</f>
        <v>0</v>
      </c>
      <c r="K199" s="107">
        <f>'收入支出明细表（基础数据表）'!K199</f>
        <v>0</v>
      </c>
      <c r="L199" s="107">
        <f>'收入支出明细表（基础数据表）'!L199</f>
        <v>0</v>
      </c>
      <c r="M199" s="107">
        <f>'收入支出明细表（基础数据表）'!M199</f>
        <v>0</v>
      </c>
      <c r="N199" s="107">
        <f>'收入支出明细表（基础数据表）'!N199</f>
        <v>0</v>
      </c>
      <c r="O199" s="107">
        <f>'收入支出明细表（基础数据表）'!O199</f>
        <v>0</v>
      </c>
      <c r="P199" s="103">
        <f>'收入支出明细表（基础数据表）'!P199</f>
        <v>0</v>
      </c>
      <c r="Q199" s="103">
        <f>'收入支出明细表（基础数据表）'!Q199</f>
        <v>0</v>
      </c>
      <c r="R199" s="103">
        <f>'收入支出明细表（基础数据表）'!R199</f>
        <v>0</v>
      </c>
      <c r="S199" s="103">
        <f>'收入支出明细表（基础数据表）'!S199</f>
        <v>0</v>
      </c>
    </row>
    <row r="200" spans="1:19" ht="22.05" customHeight="1" x14ac:dyDescent="0.25">
      <c r="A200" s="204"/>
      <c r="B200" s="216"/>
      <c r="C200" s="236"/>
      <c r="D200" s="79" t="s">
        <v>150</v>
      </c>
      <c r="E200" s="108">
        <f>'收入支出明细表（基础数据表）'!E200</f>
        <v>0</v>
      </c>
      <c r="F200" s="102">
        <f>'收入支出明细表（基础数据表）'!F200</f>
        <v>0</v>
      </c>
      <c r="G200" s="99">
        <f>'收入支出明细表（基础数据表）'!G200</f>
        <v>0</v>
      </c>
      <c r="H200" s="107">
        <f>'收入支出明细表（基础数据表）'!H200</f>
        <v>0</v>
      </c>
      <c r="I200" s="107">
        <f>'收入支出明细表（基础数据表）'!I200</f>
        <v>0</v>
      </c>
      <c r="J200" s="107">
        <f>'收入支出明细表（基础数据表）'!J200</f>
        <v>0</v>
      </c>
      <c r="K200" s="107">
        <f>'收入支出明细表（基础数据表）'!K200</f>
        <v>0</v>
      </c>
      <c r="L200" s="107">
        <f>'收入支出明细表（基础数据表）'!L200</f>
        <v>0</v>
      </c>
      <c r="M200" s="107">
        <f>'收入支出明细表（基础数据表）'!M200</f>
        <v>0</v>
      </c>
      <c r="N200" s="107">
        <f>'收入支出明细表（基础数据表）'!N200</f>
        <v>0</v>
      </c>
      <c r="O200" s="107">
        <f>'收入支出明细表（基础数据表）'!O200</f>
        <v>0</v>
      </c>
      <c r="P200" s="103">
        <f>'收入支出明细表（基础数据表）'!P200</f>
        <v>0</v>
      </c>
      <c r="Q200" s="103">
        <f>'收入支出明细表（基础数据表）'!Q200</f>
        <v>0</v>
      </c>
      <c r="R200" s="103">
        <f>'收入支出明细表（基础数据表）'!R200</f>
        <v>0</v>
      </c>
      <c r="S200" s="103">
        <f>'收入支出明细表（基础数据表）'!S200</f>
        <v>0</v>
      </c>
    </row>
    <row r="201" spans="1:19" ht="22.05" customHeight="1" x14ac:dyDescent="0.25">
      <c r="A201" s="204"/>
      <c r="B201" s="216"/>
      <c r="C201" s="237"/>
      <c r="D201" s="79" t="s">
        <v>151</v>
      </c>
      <c r="E201" s="108">
        <f>'收入支出明细表（基础数据表）'!E201</f>
        <v>0</v>
      </c>
      <c r="F201" s="102">
        <f>'收入支出明细表（基础数据表）'!F201</f>
        <v>0</v>
      </c>
      <c r="G201" s="99">
        <f>'收入支出明细表（基础数据表）'!G201</f>
        <v>0</v>
      </c>
      <c r="H201" s="101" t="e">
        <f>'收入支出明细表（基础数据表）'!H201</f>
        <v>#DIV/0!</v>
      </c>
      <c r="I201" s="101" t="e">
        <f>'收入支出明细表（基础数据表）'!I201</f>
        <v>#DIV/0!</v>
      </c>
      <c r="J201" s="101" t="e">
        <f>'收入支出明细表（基础数据表）'!J201</f>
        <v>#DIV/0!</v>
      </c>
      <c r="K201" s="101" t="e">
        <f>'收入支出明细表（基础数据表）'!K201</f>
        <v>#DIV/0!</v>
      </c>
      <c r="L201" s="101" t="e">
        <f>'收入支出明细表（基础数据表）'!L201</f>
        <v>#DIV/0!</v>
      </c>
      <c r="M201" s="101" t="e">
        <f>'收入支出明细表（基础数据表）'!M201</f>
        <v>#DIV/0!</v>
      </c>
      <c r="N201" s="101" t="e">
        <f>'收入支出明细表（基础数据表）'!N201</f>
        <v>#DIV/0!</v>
      </c>
      <c r="O201" s="101" t="e">
        <f>'收入支出明细表（基础数据表）'!O201</f>
        <v>#DIV/0!</v>
      </c>
      <c r="P201" s="101" t="e">
        <f>'收入支出明细表（基础数据表）'!P201</f>
        <v>#DIV/0!</v>
      </c>
      <c r="Q201" s="101" t="e">
        <f>'收入支出明细表（基础数据表）'!Q201</f>
        <v>#DIV/0!</v>
      </c>
      <c r="R201" s="101" t="e">
        <f>'收入支出明细表（基础数据表）'!R201</f>
        <v>#DIV/0!</v>
      </c>
      <c r="S201" s="101" t="e">
        <f>'收入支出明细表（基础数据表）'!S201</f>
        <v>#DIV/0!</v>
      </c>
    </row>
    <row r="202" spans="1:19" ht="22.05" customHeight="1" x14ac:dyDescent="0.25">
      <c r="A202" s="204"/>
      <c r="B202" s="216"/>
      <c r="C202" s="235" t="s">
        <v>204</v>
      </c>
      <c r="D202" s="79" t="s">
        <v>149</v>
      </c>
      <c r="E202" s="108">
        <f>'收入支出明细表（基础数据表）'!E202</f>
        <v>0</v>
      </c>
      <c r="F202" s="102">
        <f>'收入支出明细表（基础数据表）'!F202</f>
        <v>0</v>
      </c>
      <c r="G202" s="99">
        <f>'收入支出明细表（基础数据表）'!G202</f>
        <v>0</v>
      </c>
      <c r="H202" s="99">
        <f>'收入支出明细表（基础数据表）'!H202</f>
        <v>0</v>
      </c>
      <c r="I202" s="99">
        <f>'收入支出明细表（基础数据表）'!I202</f>
        <v>0</v>
      </c>
      <c r="J202" s="99">
        <f>'收入支出明细表（基础数据表）'!J202</f>
        <v>0</v>
      </c>
      <c r="K202" s="99">
        <f>'收入支出明细表（基础数据表）'!K202</f>
        <v>0</v>
      </c>
      <c r="L202" s="99">
        <f>'收入支出明细表（基础数据表）'!L202</f>
        <v>0</v>
      </c>
      <c r="M202" s="99">
        <f>'收入支出明细表（基础数据表）'!M202</f>
        <v>0</v>
      </c>
      <c r="N202" s="99">
        <f>'收入支出明细表（基础数据表）'!N202</f>
        <v>0</v>
      </c>
      <c r="O202" s="99">
        <f>'收入支出明细表（基础数据表）'!O202</f>
        <v>0</v>
      </c>
      <c r="P202" s="99">
        <f>'收入支出明细表（基础数据表）'!P202</f>
        <v>0</v>
      </c>
      <c r="Q202" s="99">
        <f>'收入支出明细表（基础数据表）'!Q202</f>
        <v>0</v>
      </c>
      <c r="R202" s="99">
        <f>'收入支出明细表（基础数据表）'!R202</f>
        <v>0</v>
      </c>
      <c r="S202" s="99">
        <f>'收入支出明细表（基础数据表）'!S202</f>
        <v>0</v>
      </c>
    </row>
    <row r="203" spans="1:19" ht="22.05" customHeight="1" x14ac:dyDescent="0.25">
      <c r="A203" s="204"/>
      <c r="B203" s="216"/>
      <c r="C203" s="236"/>
      <c r="D203" s="79" t="s">
        <v>150</v>
      </c>
      <c r="E203" s="108">
        <f>'收入支出明细表（基础数据表）'!E203</f>
        <v>0</v>
      </c>
      <c r="F203" s="102">
        <f>'收入支出明细表（基础数据表）'!F203</f>
        <v>0</v>
      </c>
      <c r="G203" s="99">
        <f>'收入支出明细表（基础数据表）'!G203</f>
        <v>0</v>
      </c>
      <c r="H203" s="99">
        <f>'收入支出明细表（基础数据表）'!H203</f>
        <v>0</v>
      </c>
      <c r="I203" s="99">
        <f>'收入支出明细表（基础数据表）'!I203</f>
        <v>0</v>
      </c>
      <c r="J203" s="99">
        <f>'收入支出明细表（基础数据表）'!J203</f>
        <v>0</v>
      </c>
      <c r="K203" s="99">
        <f>'收入支出明细表（基础数据表）'!K203</f>
        <v>0</v>
      </c>
      <c r="L203" s="99">
        <f>'收入支出明细表（基础数据表）'!L203</f>
        <v>0</v>
      </c>
      <c r="M203" s="99">
        <f>'收入支出明细表（基础数据表）'!M203</f>
        <v>0</v>
      </c>
      <c r="N203" s="99">
        <f>'收入支出明细表（基础数据表）'!N203</f>
        <v>0</v>
      </c>
      <c r="O203" s="99">
        <f>'收入支出明细表（基础数据表）'!O203</f>
        <v>0</v>
      </c>
      <c r="P203" s="99">
        <f>'收入支出明细表（基础数据表）'!P203</f>
        <v>0</v>
      </c>
      <c r="Q203" s="99">
        <f>'收入支出明细表（基础数据表）'!Q203</f>
        <v>0</v>
      </c>
      <c r="R203" s="99">
        <f>'收入支出明细表（基础数据表）'!R203</f>
        <v>0</v>
      </c>
      <c r="S203" s="99">
        <f>'收入支出明细表（基础数据表）'!S203</f>
        <v>0</v>
      </c>
    </row>
    <row r="204" spans="1:19" ht="22.05" customHeight="1" x14ac:dyDescent="0.25">
      <c r="A204" s="204"/>
      <c r="B204" s="216"/>
      <c r="C204" s="237"/>
      <c r="D204" s="79" t="s">
        <v>151</v>
      </c>
      <c r="E204" s="108">
        <f>'收入支出明细表（基础数据表）'!E204</f>
        <v>0</v>
      </c>
      <c r="F204" s="102">
        <f>'收入支出明细表（基础数据表）'!F204</f>
        <v>0</v>
      </c>
      <c r="G204" s="99">
        <f>'收入支出明细表（基础数据表）'!G204</f>
        <v>0</v>
      </c>
      <c r="H204" s="101" t="e">
        <f>'收入支出明细表（基础数据表）'!H204</f>
        <v>#DIV/0!</v>
      </c>
      <c r="I204" s="101" t="e">
        <f>'收入支出明细表（基础数据表）'!I204</f>
        <v>#DIV/0!</v>
      </c>
      <c r="J204" s="101" t="e">
        <f>'收入支出明细表（基础数据表）'!J204</f>
        <v>#DIV/0!</v>
      </c>
      <c r="K204" s="101" t="e">
        <f>'收入支出明细表（基础数据表）'!K204</f>
        <v>#DIV/0!</v>
      </c>
      <c r="L204" s="101" t="e">
        <f>'收入支出明细表（基础数据表）'!L204</f>
        <v>#DIV/0!</v>
      </c>
      <c r="M204" s="101" t="e">
        <f>'收入支出明细表（基础数据表）'!M204</f>
        <v>#DIV/0!</v>
      </c>
      <c r="N204" s="101" t="e">
        <f>'收入支出明细表（基础数据表）'!N204</f>
        <v>#DIV/0!</v>
      </c>
      <c r="O204" s="101" t="e">
        <f>'收入支出明细表（基础数据表）'!O204</f>
        <v>#DIV/0!</v>
      </c>
      <c r="P204" s="101" t="e">
        <f>'收入支出明细表（基础数据表）'!P204</f>
        <v>#DIV/0!</v>
      </c>
      <c r="Q204" s="101" t="e">
        <f>'收入支出明细表（基础数据表）'!Q204</f>
        <v>#DIV/0!</v>
      </c>
      <c r="R204" s="101" t="e">
        <f>'收入支出明细表（基础数据表）'!R204</f>
        <v>#DIV/0!</v>
      </c>
      <c r="S204" s="101" t="e">
        <f>'收入支出明细表（基础数据表）'!S204</f>
        <v>#DIV/0!</v>
      </c>
    </row>
    <row r="205" spans="1:19" ht="22.05" customHeight="1" x14ac:dyDescent="0.25">
      <c r="A205" s="204"/>
      <c r="B205" s="216"/>
      <c r="C205" s="235" t="s">
        <v>206</v>
      </c>
      <c r="D205" s="79" t="s">
        <v>149</v>
      </c>
      <c r="E205" s="108">
        <f>'收入支出明细表（基础数据表）'!E205</f>
        <v>0</v>
      </c>
      <c r="F205" s="84">
        <f>'收入支出明细表（基础数据表）'!F205</f>
        <v>0.06</v>
      </c>
      <c r="G205" s="99">
        <f>'收入支出明细表（基础数据表）'!G205</f>
        <v>0</v>
      </c>
      <c r="H205" s="107">
        <f>'收入支出明细表（基础数据表）'!H205</f>
        <v>0</v>
      </c>
      <c r="I205" s="100">
        <f>'收入支出明细表（基础数据表）'!I205</f>
        <v>0</v>
      </c>
      <c r="J205" s="100">
        <f>'收入支出明细表（基础数据表）'!J205</f>
        <v>0</v>
      </c>
      <c r="K205" s="100">
        <f>'收入支出明细表（基础数据表）'!K205</f>
        <v>0</v>
      </c>
      <c r="L205" s="100">
        <f>'收入支出明细表（基础数据表）'!L205</f>
        <v>0</v>
      </c>
      <c r="M205" s="100">
        <f>'收入支出明细表（基础数据表）'!M205</f>
        <v>0</v>
      </c>
      <c r="N205" s="100">
        <f>'收入支出明细表（基础数据表）'!N205</f>
        <v>0</v>
      </c>
      <c r="O205" s="100">
        <f>'收入支出明细表（基础数据表）'!O205</f>
        <v>0</v>
      </c>
      <c r="P205" s="100">
        <f>'收入支出明细表（基础数据表）'!P205</f>
        <v>0</v>
      </c>
      <c r="Q205" s="100">
        <f>'收入支出明细表（基础数据表）'!Q205</f>
        <v>0</v>
      </c>
      <c r="R205" s="100">
        <f>'收入支出明细表（基础数据表）'!R205</f>
        <v>0</v>
      </c>
      <c r="S205" s="100">
        <f>'收入支出明细表（基础数据表）'!S205</f>
        <v>0</v>
      </c>
    </row>
    <row r="206" spans="1:19" ht="22.05" customHeight="1" x14ac:dyDescent="0.25">
      <c r="A206" s="204"/>
      <c r="B206" s="216"/>
      <c r="C206" s="236"/>
      <c r="D206" s="79" t="s">
        <v>150</v>
      </c>
      <c r="E206" s="108">
        <f>'收入支出明细表（基础数据表）'!E206</f>
        <v>0</v>
      </c>
      <c r="F206" s="102">
        <f>'收入支出明细表（基础数据表）'!F206</f>
        <v>0</v>
      </c>
      <c r="G206" s="99">
        <f>'收入支出明细表（基础数据表）'!G206</f>
        <v>0</v>
      </c>
      <c r="H206" s="107">
        <f>'收入支出明细表（基础数据表）'!H206</f>
        <v>0</v>
      </c>
      <c r="I206" s="100">
        <f>'收入支出明细表（基础数据表）'!I206</f>
        <v>0</v>
      </c>
      <c r="J206" s="100">
        <f>'收入支出明细表（基础数据表）'!J206</f>
        <v>0</v>
      </c>
      <c r="K206" s="100">
        <f>'收入支出明细表（基础数据表）'!K206</f>
        <v>0</v>
      </c>
      <c r="L206" s="100">
        <f>'收入支出明细表（基础数据表）'!L206</f>
        <v>0</v>
      </c>
      <c r="M206" s="100">
        <f>'收入支出明细表（基础数据表）'!M206</f>
        <v>0</v>
      </c>
      <c r="N206" s="100">
        <f>'收入支出明细表（基础数据表）'!N206</f>
        <v>0</v>
      </c>
      <c r="O206" s="100">
        <f>'收入支出明细表（基础数据表）'!O206</f>
        <v>0</v>
      </c>
      <c r="P206" s="100">
        <f>'收入支出明细表（基础数据表）'!P206</f>
        <v>0</v>
      </c>
      <c r="Q206" s="100">
        <f>'收入支出明细表（基础数据表）'!Q206</f>
        <v>0</v>
      </c>
      <c r="R206" s="100">
        <f>'收入支出明细表（基础数据表）'!R206</f>
        <v>0</v>
      </c>
      <c r="S206" s="100">
        <f>'收入支出明细表（基础数据表）'!S206</f>
        <v>0</v>
      </c>
    </row>
    <row r="207" spans="1:19" ht="22.05" customHeight="1" x14ac:dyDescent="0.25">
      <c r="A207" s="204"/>
      <c r="B207" s="216"/>
      <c r="C207" s="237"/>
      <c r="D207" s="79" t="s">
        <v>151</v>
      </c>
      <c r="E207" s="108">
        <f>'收入支出明细表（基础数据表）'!E207</f>
        <v>0</v>
      </c>
      <c r="F207" s="102">
        <f>'收入支出明细表（基础数据表）'!F207</f>
        <v>0</v>
      </c>
      <c r="G207" s="99">
        <f>'收入支出明细表（基础数据表）'!G207</f>
        <v>0</v>
      </c>
      <c r="H207" s="101" t="e">
        <f>'收入支出明细表（基础数据表）'!H207</f>
        <v>#DIV/0!</v>
      </c>
      <c r="I207" s="101" t="e">
        <f>'收入支出明细表（基础数据表）'!I207</f>
        <v>#DIV/0!</v>
      </c>
      <c r="J207" s="101" t="e">
        <f>'收入支出明细表（基础数据表）'!J207</f>
        <v>#DIV/0!</v>
      </c>
      <c r="K207" s="101" t="e">
        <f>'收入支出明细表（基础数据表）'!K207</f>
        <v>#DIV/0!</v>
      </c>
      <c r="L207" s="101" t="e">
        <f>'收入支出明细表（基础数据表）'!L207</f>
        <v>#DIV/0!</v>
      </c>
      <c r="M207" s="101" t="e">
        <f>'收入支出明细表（基础数据表）'!M207</f>
        <v>#DIV/0!</v>
      </c>
      <c r="N207" s="101" t="e">
        <f>'收入支出明细表（基础数据表）'!N207</f>
        <v>#DIV/0!</v>
      </c>
      <c r="O207" s="101" t="e">
        <f>'收入支出明细表（基础数据表）'!O207</f>
        <v>#DIV/0!</v>
      </c>
      <c r="P207" s="101" t="e">
        <f>'收入支出明细表（基础数据表）'!P207</f>
        <v>#DIV/0!</v>
      </c>
      <c r="Q207" s="101" t="e">
        <f>'收入支出明细表（基础数据表）'!Q207</f>
        <v>#DIV/0!</v>
      </c>
      <c r="R207" s="101" t="e">
        <f>'收入支出明细表（基础数据表）'!R207</f>
        <v>#DIV/0!</v>
      </c>
      <c r="S207" s="101" t="e">
        <f>'收入支出明细表（基础数据表）'!S207</f>
        <v>#DIV/0!</v>
      </c>
    </row>
    <row r="208" spans="1:19" ht="22.05" customHeight="1" x14ac:dyDescent="0.25">
      <c r="A208" s="204"/>
      <c r="B208" s="216"/>
      <c r="C208" s="255" t="s">
        <v>207</v>
      </c>
      <c r="D208" s="79" t="s">
        <v>149</v>
      </c>
      <c r="E208" s="104">
        <f>'收入支出明细表（基础数据表）'!E208</f>
        <v>0</v>
      </c>
      <c r="F208" s="84">
        <f>'收入支出明细表（基础数据表）'!F208</f>
        <v>0.06</v>
      </c>
      <c r="G208" s="99">
        <f>'收入支出明细表（基础数据表）'!G208</f>
        <v>0</v>
      </c>
      <c r="H208" s="103">
        <f>'收入支出明细表（基础数据表）'!H208</f>
        <v>0</v>
      </c>
      <c r="I208" s="103">
        <f>'收入支出明细表（基础数据表）'!I208</f>
        <v>0</v>
      </c>
      <c r="J208" s="103">
        <f>'收入支出明细表（基础数据表）'!J208</f>
        <v>0</v>
      </c>
      <c r="K208" s="103">
        <f>'收入支出明细表（基础数据表）'!K208</f>
        <v>0</v>
      </c>
      <c r="L208" s="103">
        <f>'收入支出明细表（基础数据表）'!L208</f>
        <v>0</v>
      </c>
      <c r="M208" s="99">
        <f>'收入支出明细表（基础数据表）'!M208</f>
        <v>0</v>
      </c>
      <c r="N208" s="103">
        <f>'收入支出明细表（基础数据表）'!N208</f>
        <v>0</v>
      </c>
      <c r="O208" s="103">
        <f>'收入支出明细表（基础数据表）'!O208</f>
        <v>0</v>
      </c>
      <c r="P208" s="113">
        <f>'收入支出明细表（基础数据表）'!P208</f>
        <v>0</v>
      </c>
      <c r="Q208" s="103">
        <f>'收入支出明细表（基础数据表）'!Q208</f>
        <v>0</v>
      </c>
      <c r="R208" s="103">
        <f>'收入支出明细表（基础数据表）'!R208</f>
        <v>0</v>
      </c>
      <c r="S208" s="103">
        <f>'收入支出明细表（基础数据表）'!S208</f>
        <v>0</v>
      </c>
    </row>
    <row r="209" spans="1:19" ht="22.05" customHeight="1" x14ac:dyDescent="0.25">
      <c r="A209" s="204"/>
      <c r="B209" s="216"/>
      <c r="C209" s="255"/>
      <c r="D209" s="79" t="s">
        <v>150</v>
      </c>
      <c r="E209" s="104">
        <f>'收入支出明细表（基础数据表）'!E209</f>
        <v>0</v>
      </c>
      <c r="F209" s="102">
        <f>'收入支出明细表（基础数据表）'!F209</f>
        <v>0</v>
      </c>
      <c r="G209" s="99">
        <f>'收入支出明细表（基础数据表）'!G209</f>
        <v>0</v>
      </c>
      <c r="H209" s="103">
        <f>'收入支出明细表（基础数据表）'!H209</f>
        <v>0</v>
      </c>
      <c r="I209" s="103">
        <f>'收入支出明细表（基础数据表）'!I209</f>
        <v>0</v>
      </c>
      <c r="J209" s="103">
        <f>'收入支出明细表（基础数据表）'!J209</f>
        <v>0</v>
      </c>
      <c r="K209" s="103">
        <f>'收入支出明细表（基础数据表）'!K209</f>
        <v>0</v>
      </c>
      <c r="L209" s="103">
        <f>'收入支出明细表（基础数据表）'!L209</f>
        <v>0</v>
      </c>
      <c r="M209" s="99">
        <f>'收入支出明细表（基础数据表）'!M209</f>
        <v>0</v>
      </c>
      <c r="N209" s="103">
        <f>'收入支出明细表（基础数据表）'!N209</f>
        <v>0</v>
      </c>
      <c r="O209" s="103">
        <f>'收入支出明细表（基础数据表）'!O209</f>
        <v>0</v>
      </c>
      <c r="P209" s="113">
        <f>'收入支出明细表（基础数据表）'!P209</f>
        <v>0</v>
      </c>
      <c r="Q209" s="103">
        <f>'收入支出明细表（基础数据表）'!Q209</f>
        <v>0</v>
      </c>
      <c r="R209" s="103">
        <f>'收入支出明细表（基础数据表）'!R209</f>
        <v>0</v>
      </c>
      <c r="S209" s="103">
        <f>'收入支出明细表（基础数据表）'!S209</f>
        <v>0</v>
      </c>
    </row>
    <row r="210" spans="1:19" ht="22.05" customHeight="1" x14ac:dyDescent="0.25">
      <c r="A210" s="204"/>
      <c r="B210" s="216"/>
      <c r="C210" s="255"/>
      <c r="D210" s="79" t="s">
        <v>151</v>
      </c>
      <c r="E210" s="104">
        <f>'收入支出明细表（基础数据表）'!E210</f>
        <v>0</v>
      </c>
      <c r="F210" s="102">
        <f>'收入支出明细表（基础数据表）'!F210</f>
        <v>0</v>
      </c>
      <c r="G210" s="99">
        <f>'收入支出明细表（基础数据表）'!G210</f>
        <v>0</v>
      </c>
      <c r="H210" s="101" t="e">
        <f>'收入支出明细表（基础数据表）'!H210</f>
        <v>#DIV/0!</v>
      </c>
      <c r="I210" s="101" t="e">
        <f>'收入支出明细表（基础数据表）'!I210</f>
        <v>#DIV/0!</v>
      </c>
      <c r="J210" s="101" t="e">
        <f>'收入支出明细表（基础数据表）'!J210</f>
        <v>#DIV/0!</v>
      </c>
      <c r="K210" s="101" t="e">
        <f>'收入支出明细表（基础数据表）'!K210</f>
        <v>#DIV/0!</v>
      </c>
      <c r="L210" s="101" t="e">
        <f>'收入支出明细表（基础数据表）'!L210</f>
        <v>#DIV/0!</v>
      </c>
      <c r="M210" s="101" t="e">
        <f>'收入支出明细表（基础数据表）'!M210</f>
        <v>#DIV/0!</v>
      </c>
      <c r="N210" s="101" t="e">
        <f>'收入支出明细表（基础数据表）'!N210</f>
        <v>#DIV/0!</v>
      </c>
      <c r="O210" s="101" t="e">
        <f>'收入支出明细表（基础数据表）'!O210</f>
        <v>#DIV/0!</v>
      </c>
      <c r="P210" s="101" t="e">
        <f>'收入支出明细表（基础数据表）'!P210</f>
        <v>#DIV/0!</v>
      </c>
      <c r="Q210" s="101" t="e">
        <f>'收入支出明细表（基础数据表）'!Q210</f>
        <v>#DIV/0!</v>
      </c>
      <c r="R210" s="101" t="e">
        <f>'收入支出明细表（基础数据表）'!R210</f>
        <v>#DIV/0!</v>
      </c>
      <c r="S210" s="101" t="e">
        <f>'收入支出明细表（基础数据表）'!S210</f>
        <v>#DIV/0!</v>
      </c>
    </row>
    <row r="211" spans="1:19" ht="22.05" customHeight="1" x14ac:dyDescent="0.25">
      <c r="A211" s="204"/>
      <c r="B211" s="217"/>
      <c r="C211" s="255" t="s">
        <v>208</v>
      </c>
      <c r="D211" s="79" t="s">
        <v>149</v>
      </c>
      <c r="E211" s="104">
        <f>'收入支出明细表（基础数据表）'!E211</f>
        <v>0</v>
      </c>
      <c r="F211" s="84">
        <f>'收入支出明细表（基础数据表）'!F211</f>
        <v>0.06</v>
      </c>
      <c r="G211" s="99">
        <f>'收入支出明细表（基础数据表）'!G211</f>
        <v>0</v>
      </c>
      <c r="H211" s="103">
        <f>'收入支出明细表（基础数据表）'!H211</f>
        <v>0</v>
      </c>
      <c r="I211" s="103">
        <f>'收入支出明细表（基础数据表）'!I211</f>
        <v>0</v>
      </c>
      <c r="J211" s="103">
        <f>'收入支出明细表（基础数据表）'!J211</f>
        <v>0</v>
      </c>
      <c r="K211" s="103">
        <f>'收入支出明细表（基础数据表）'!K211</f>
        <v>0</v>
      </c>
      <c r="L211" s="103">
        <f>'收入支出明细表（基础数据表）'!L211</f>
        <v>0</v>
      </c>
      <c r="M211" s="99">
        <f>'收入支出明细表（基础数据表）'!M211</f>
        <v>0</v>
      </c>
      <c r="N211" s="103">
        <f>'收入支出明细表（基础数据表）'!N211</f>
        <v>0</v>
      </c>
      <c r="O211" s="103">
        <f>'收入支出明细表（基础数据表）'!O211</f>
        <v>0</v>
      </c>
      <c r="P211" s="113">
        <f>'收入支出明细表（基础数据表）'!P211</f>
        <v>0</v>
      </c>
      <c r="Q211" s="103">
        <f>'收入支出明细表（基础数据表）'!Q211</f>
        <v>0</v>
      </c>
      <c r="R211" s="103">
        <f>'收入支出明细表（基础数据表）'!R211</f>
        <v>0</v>
      </c>
      <c r="S211" s="103">
        <f>'收入支出明细表（基础数据表）'!S211</f>
        <v>0</v>
      </c>
    </row>
    <row r="212" spans="1:19" ht="22.05" customHeight="1" x14ac:dyDescent="0.25">
      <c r="A212" s="204"/>
      <c r="B212" s="217"/>
      <c r="C212" s="255"/>
      <c r="D212" s="79" t="s">
        <v>150</v>
      </c>
      <c r="E212" s="108">
        <f>'收入支出明细表（基础数据表）'!E212</f>
        <v>0</v>
      </c>
      <c r="F212" s="102">
        <f>'收入支出明细表（基础数据表）'!F212</f>
        <v>0</v>
      </c>
      <c r="G212" s="99">
        <f>'收入支出明细表（基础数据表）'!G212</f>
        <v>0</v>
      </c>
      <c r="H212" s="103">
        <f>'收入支出明细表（基础数据表）'!H212</f>
        <v>0</v>
      </c>
      <c r="I212" s="103">
        <f>'收入支出明细表（基础数据表）'!I212</f>
        <v>0</v>
      </c>
      <c r="J212" s="103">
        <f>'收入支出明细表（基础数据表）'!J212</f>
        <v>0</v>
      </c>
      <c r="K212" s="103">
        <f>'收入支出明细表（基础数据表）'!K212</f>
        <v>0</v>
      </c>
      <c r="L212" s="103">
        <f>'收入支出明细表（基础数据表）'!L212</f>
        <v>0</v>
      </c>
      <c r="M212" s="99">
        <f>'收入支出明细表（基础数据表）'!M212</f>
        <v>0</v>
      </c>
      <c r="N212" s="103">
        <f>'收入支出明细表（基础数据表）'!N212</f>
        <v>0</v>
      </c>
      <c r="O212" s="103">
        <f>'收入支出明细表（基础数据表）'!O212</f>
        <v>0</v>
      </c>
      <c r="P212" s="113">
        <f>'收入支出明细表（基础数据表）'!P212</f>
        <v>0</v>
      </c>
      <c r="Q212" s="103">
        <f>'收入支出明细表（基础数据表）'!Q212</f>
        <v>0</v>
      </c>
      <c r="R212" s="103">
        <f>'收入支出明细表（基础数据表）'!R212</f>
        <v>0</v>
      </c>
      <c r="S212" s="103">
        <f>'收入支出明细表（基础数据表）'!S212</f>
        <v>0</v>
      </c>
    </row>
    <row r="213" spans="1:19" ht="22.05" customHeight="1" x14ac:dyDescent="0.25">
      <c r="A213" s="204"/>
      <c r="B213" s="217"/>
      <c r="C213" s="255"/>
      <c r="D213" s="79" t="s">
        <v>151</v>
      </c>
      <c r="E213" s="108">
        <f>'收入支出明细表（基础数据表）'!E213</f>
        <v>0</v>
      </c>
      <c r="F213" s="102">
        <f>'收入支出明细表（基础数据表）'!F213</f>
        <v>0</v>
      </c>
      <c r="G213" s="99">
        <f>'收入支出明细表（基础数据表）'!G213</f>
        <v>0</v>
      </c>
      <c r="H213" s="101" t="e">
        <f>'收入支出明细表（基础数据表）'!H213</f>
        <v>#DIV/0!</v>
      </c>
      <c r="I213" s="101" t="e">
        <f>'收入支出明细表（基础数据表）'!I213</f>
        <v>#DIV/0!</v>
      </c>
      <c r="J213" s="101" t="e">
        <f>'收入支出明细表（基础数据表）'!J213</f>
        <v>#DIV/0!</v>
      </c>
      <c r="K213" s="101" t="e">
        <f>'收入支出明细表（基础数据表）'!K213</f>
        <v>#DIV/0!</v>
      </c>
      <c r="L213" s="101" t="e">
        <f>'收入支出明细表（基础数据表）'!L213</f>
        <v>#DIV/0!</v>
      </c>
      <c r="M213" s="101" t="e">
        <f>'收入支出明细表（基础数据表）'!M213</f>
        <v>#DIV/0!</v>
      </c>
      <c r="N213" s="101" t="e">
        <f>'收入支出明细表（基础数据表）'!N213</f>
        <v>#DIV/0!</v>
      </c>
      <c r="O213" s="101" t="e">
        <f>'收入支出明细表（基础数据表）'!O213</f>
        <v>#DIV/0!</v>
      </c>
      <c r="P213" s="101" t="e">
        <f>'收入支出明细表（基础数据表）'!P213</f>
        <v>#DIV/0!</v>
      </c>
      <c r="Q213" s="101" t="e">
        <f>'收入支出明细表（基础数据表）'!Q213</f>
        <v>#DIV/0!</v>
      </c>
      <c r="R213" s="101" t="e">
        <f>'收入支出明细表（基础数据表）'!R213</f>
        <v>#DIV/0!</v>
      </c>
      <c r="S213" s="101" t="e">
        <f>'收入支出明细表（基础数据表）'!S213</f>
        <v>#DIV/0!</v>
      </c>
    </row>
    <row r="214" spans="1:19" ht="22.05" customHeight="1" x14ac:dyDescent="0.25">
      <c r="A214" s="204"/>
      <c r="B214" s="216"/>
      <c r="C214" s="105" t="s">
        <v>125</v>
      </c>
      <c r="D214" s="105"/>
      <c r="E214" s="108">
        <f>'收入支出明细表（基础数据表）'!E214</f>
        <v>0</v>
      </c>
      <c r="F214" s="102">
        <f>'收入支出明细表（基础数据表）'!F214</f>
        <v>0</v>
      </c>
      <c r="G214" s="99">
        <f>'收入支出明细表（基础数据表）'!G214</f>
        <v>0</v>
      </c>
      <c r="H214" s="103">
        <f>'收入支出明细表（基础数据表）'!H214</f>
        <v>0</v>
      </c>
      <c r="I214" s="103">
        <f>'收入支出明细表（基础数据表）'!I214</f>
        <v>0</v>
      </c>
      <c r="J214" s="103">
        <f>'收入支出明细表（基础数据表）'!J214</f>
        <v>0</v>
      </c>
      <c r="K214" s="103">
        <f>'收入支出明细表（基础数据表）'!K214</f>
        <v>0</v>
      </c>
      <c r="L214" s="103">
        <f>'收入支出明细表（基础数据表）'!L214</f>
        <v>0</v>
      </c>
      <c r="M214" s="103">
        <f>'收入支出明细表（基础数据表）'!M214</f>
        <v>0</v>
      </c>
      <c r="N214" s="103">
        <f>'收入支出明细表（基础数据表）'!N214</f>
        <v>0</v>
      </c>
      <c r="O214" s="103">
        <f>'收入支出明细表（基础数据表）'!O214</f>
        <v>0</v>
      </c>
      <c r="P214" s="103">
        <f>'收入支出明细表（基础数据表）'!P214</f>
        <v>0</v>
      </c>
      <c r="Q214" s="103">
        <f>'收入支出明细表（基础数据表）'!Q214</f>
        <v>0</v>
      </c>
      <c r="R214" s="103">
        <f>'收入支出明细表（基础数据表）'!R214</f>
        <v>0</v>
      </c>
      <c r="S214" s="103">
        <f>'收入支出明细表（基础数据表）'!S214</f>
        <v>0</v>
      </c>
    </row>
    <row r="215" spans="1:19" ht="22.05" customHeight="1" x14ac:dyDescent="0.25">
      <c r="A215" s="268" t="s">
        <v>211</v>
      </c>
      <c r="B215" s="269"/>
      <c r="C215" s="256" t="s">
        <v>212</v>
      </c>
      <c r="D215" s="79" t="s">
        <v>149</v>
      </c>
      <c r="E215" s="98">
        <f>'收入支出明细表（基础数据表）'!E215</f>
        <v>0</v>
      </c>
      <c r="F215" s="102">
        <f>'收入支出明细表（基础数据表）'!F215</f>
        <v>0</v>
      </c>
      <c r="G215" s="99">
        <f>'收入支出明细表（基础数据表）'!G215</f>
        <v>0</v>
      </c>
      <c r="H215" s="99">
        <f>'收入支出明细表（基础数据表）'!H215</f>
        <v>0</v>
      </c>
      <c r="I215" s="99">
        <f>'收入支出明细表（基础数据表）'!I215</f>
        <v>0</v>
      </c>
      <c r="J215" s="99">
        <f>'收入支出明细表（基础数据表）'!J215</f>
        <v>0</v>
      </c>
      <c r="K215" s="99">
        <f>'收入支出明细表（基础数据表）'!K215</f>
        <v>0</v>
      </c>
      <c r="L215" s="99">
        <f>'收入支出明细表（基础数据表）'!L215</f>
        <v>0</v>
      </c>
      <c r="M215" s="99">
        <f>'收入支出明细表（基础数据表）'!M215</f>
        <v>0</v>
      </c>
      <c r="N215" s="99">
        <f>'收入支出明细表（基础数据表）'!N215</f>
        <v>0</v>
      </c>
      <c r="O215" s="99">
        <f>'收入支出明细表（基础数据表）'!O215</f>
        <v>0</v>
      </c>
      <c r="P215" s="99">
        <f>'收入支出明细表（基础数据表）'!P215</f>
        <v>0</v>
      </c>
      <c r="Q215" s="99">
        <f>'收入支出明细表（基础数据表）'!Q215</f>
        <v>0</v>
      </c>
      <c r="R215" s="99">
        <f>'收入支出明细表（基础数据表）'!R215</f>
        <v>0</v>
      </c>
      <c r="S215" s="99">
        <f>'收入支出明细表（基础数据表）'!S215</f>
        <v>0</v>
      </c>
    </row>
    <row r="216" spans="1:19" ht="22.05" customHeight="1" x14ac:dyDescent="0.25">
      <c r="A216" s="204"/>
      <c r="B216" s="270"/>
      <c r="C216" s="256"/>
      <c r="D216" s="79" t="s">
        <v>150</v>
      </c>
      <c r="E216" s="98">
        <f>'收入支出明细表（基础数据表）'!E216</f>
        <v>0</v>
      </c>
      <c r="F216" s="102">
        <f>'收入支出明细表（基础数据表）'!F216</f>
        <v>0</v>
      </c>
      <c r="G216" s="99">
        <f>'收入支出明细表（基础数据表）'!G216</f>
        <v>0</v>
      </c>
      <c r="H216" s="99">
        <f>'收入支出明细表（基础数据表）'!H216</f>
        <v>0</v>
      </c>
      <c r="I216" s="99">
        <f>'收入支出明细表（基础数据表）'!I216</f>
        <v>0</v>
      </c>
      <c r="J216" s="99">
        <f>'收入支出明细表（基础数据表）'!J216</f>
        <v>0</v>
      </c>
      <c r="K216" s="99">
        <f>'收入支出明细表（基础数据表）'!K216</f>
        <v>0</v>
      </c>
      <c r="L216" s="99">
        <f>'收入支出明细表（基础数据表）'!L216</f>
        <v>0</v>
      </c>
      <c r="M216" s="99">
        <f>'收入支出明细表（基础数据表）'!M216</f>
        <v>0</v>
      </c>
      <c r="N216" s="99">
        <f>'收入支出明细表（基础数据表）'!N216</f>
        <v>0</v>
      </c>
      <c r="O216" s="99">
        <f>'收入支出明细表（基础数据表）'!O216</f>
        <v>0</v>
      </c>
      <c r="P216" s="99">
        <f>'收入支出明细表（基础数据表）'!P216</f>
        <v>0</v>
      </c>
      <c r="Q216" s="99">
        <f>'收入支出明细表（基础数据表）'!Q216</f>
        <v>0</v>
      </c>
      <c r="R216" s="99">
        <f>'收入支出明细表（基础数据表）'!R216</f>
        <v>0</v>
      </c>
      <c r="S216" s="99">
        <f>'收入支出明细表（基础数据表）'!S216</f>
        <v>0</v>
      </c>
    </row>
    <row r="217" spans="1:19" ht="22.05" customHeight="1" x14ac:dyDescent="0.25">
      <c r="A217" s="204"/>
      <c r="B217" s="270"/>
      <c r="C217" s="256"/>
      <c r="D217" s="79" t="s">
        <v>151</v>
      </c>
      <c r="E217" s="98">
        <f>'收入支出明细表（基础数据表）'!E217</f>
        <v>0</v>
      </c>
      <c r="F217" s="102">
        <f>'收入支出明细表（基础数据表）'!F217</f>
        <v>0</v>
      </c>
      <c r="G217" s="99">
        <f>'收入支出明细表（基础数据表）'!G217</f>
        <v>0</v>
      </c>
      <c r="H217" s="101" t="e">
        <f>'收入支出明细表（基础数据表）'!H217</f>
        <v>#DIV/0!</v>
      </c>
      <c r="I217" s="101" t="e">
        <f>'收入支出明细表（基础数据表）'!I217</f>
        <v>#DIV/0!</v>
      </c>
      <c r="J217" s="101" t="e">
        <f>'收入支出明细表（基础数据表）'!J217</f>
        <v>#DIV/0!</v>
      </c>
      <c r="K217" s="101" t="e">
        <f>'收入支出明细表（基础数据表）'!K217</f>
        <v>#DIV/0!</v>
      </c>
      <c r="L217" s="101" t="e">
        <f>'收入支出明细表（基础数据表）'!L217</f>
        <v>#DIV/0!</v>
      </c>
      <c r="M217" s="101" t="e">
        <f>'收入支出明细表（基础数据表）'!M217</f>
        <v>#DIV/0!</v>
      </c>
      <c r="N217" s="101" t="e">
        <f>'收入支出明细表（基础数据表）'!N217</f>
        <v>#DIV/0!</v>
      </c>
      <c r="O217" s="101" t="e">
        <f>'收入支出明细表（基础数据表）'!O217</f>
        <v>#DIV/0!</v>
      </c>
      <c r="P217" s="101" t="e">
        <f>'收入支出明细表（基础数据表）'!P217</f>
        <v>#DIV/0!</v>
      </c>
      <c r="Q217" s="101" t="e">
        <f>'收入支出明细表（基础数据表）'!Q217</f>
        <v>#DIV/0!</v>
      </c>
      <c r="R217" s="101" t="e">
        <f>'收入支出明细表（基础数据表）'!R217</f>
        <v>#DIV/0!</v>
      </c>
      <c r="S217" s="101" t="e">
        <f>'收入支出明细表（基础数据表）'!S217</f>
        <v>#DIV/0!</v>
      </c>
    </row>
    <row r="218" spans="1:19" ht="22.05" customHeight="1" x14ac:dyDescent="0.25">
      <c r="A218" s="204"/>
      <c r="B218" s="270"/>
      <c r="C218" s="241" t="s">
        <v>213</v>
      </c>
      <c r="D218" s="79" t="s">
        <v>149</v>
      </c>
      <c r="E218" s="112">
        <f>'收入支出明细表（基础数据表）'!E218</f>
        <v>0</v>
      </c>
      <c r="F218" s="102">
        <f>'收入支出明细表（基础数据表）'!F218</f>
        <v>0</v>
      </c>
      <c r="G218" s="99">
        <f>'收入支出明细表（基础数据表）'!G218</f>
        <v>0</v>
      </c>
      <c r="H218" s="99">
        <f>'收入支出明细表（基础数据表）'!H218</f>
        <v>0</v>
      </c>
      <c r="I218" s="99">
        <f>'收入支出明细表（基础数据表）'!I218</f>
        <v>0</v>
      </c>
      <c r="J218" s="99">
        <f>'收入支出明细表（基础数据表）'!J218</f>
        <v>0</v>
      </c>
      <c r="K218" s="99">
        <f>'收入支出明细表（基础数据表）'!K218</f>
        <v>0</v>
      </c>
      <c r="L218" s="99">
        <f>'收入支出明细表（基础数据表）'!L218</f>
        <v>0</v>
      </c>
      <c r="M218" s="99">
        <f>'收入支出明细表（基础数据表）'!M218</f>
        <v>0</v>
      </c>
      <c r="N218" s="99">
        <f>'收入支出明细表（基础数据表）'!N218</f>
        <v>0</v>
      </c>
      <c r="O218" s="99">
        <f>'收入支出明细表（基础数据表）'!O218</f>
        <v>0</v>
      </c>
      <c r="P218" s="99">
        <f>'收入支出明细表（基础数据表）'!P218</f>
        <v>0</v>
      </c>
      <c r="Q218" s="103">
        <f>'收入支出明细表（基础数据表）'!Q218</f>
        <v>0</v>
      </c>
      <c r="R218" s="103">
        <f>'收入支出明细表（基础数据表）'!R218</f>
        <v>0</v>
      </c>
      <c r="S218" s="103">
        <f>'收入支出明细表（基础数据表）'!S218</f>
        <v>0</v>
      </c>
    </row>
    <row r="219" spans="1:19" ht="22.05" customHeight="1" x14ac:dyDescent="0.25">
      <c r="A219" s="204"/>
      <c r="B219" s="270"/>
      <c r="C219" s="242"/>
      <c r="D219" s="79" t="s">
        <v>150</v>
      </c>
      <c r="E219" s="112">
        <f>'收入支出明细表（基础数据表）'!E219</f>
        <v>0</v>
      </c>
      <c r="F219" s="102">
        <f>'收入支出明细表（基础数据表）'!F219</f>
        <v>0</v>
      </c>
      <c r="G219" s="99">
        <f>'收入支出明细表（基础数据表）'!G219</f>
        <v>0</v>
      </c>
      <c r="H219" s="99">
        <f>'收入支出明细表（基础数据表）'!H219</f>
        <v>0</v>
      </c>
      <c r="I219" s="99">
        <f>'收入支出明细表（基础数据表）'!I219</f>
        <v>0</v>
      </c>
      <c r="J219" s="99">
        <f>'收入支出明细表（基础数据表）'!J219</f>
        <v>0</v>
      </c>
      <c r="K219" s="99">
        <f>'收入支出明细表（基础数据表）'!K219</f>
        <v>0</v>
      </c>
      <c r="L219" s="99">
        <f>'收入支出明细表（基础数据表）'!L219</f>
        <v>0</v>
      </c>
      <c r="M219" s="99">
        <f>'收入支出明细表（基础数据表）'!M219</f>
        <v>0</v>
      </c>
      <c r="N219" s="99">
        <f>'收入支出明细表（基础数据表）'!N219</f>
        <v>0</v>
      </c>
      <c r="O219" s="99">
        <f>'收入支出明细表（基础数据表）'!O219</f>
        <v>0</v>
      </c>
      <c r="P219" s="99">
        <f>'收入支出明细表（基础数据表）'!P219</f>
        <v>0</v>
      </c>
      <c r="Q219" s="103">
        <f>'收入支出明细表（基础数据表）'!Q219</f>
        <v>0</v>
      </c>
      <c r="R219" s="103">
        <f>'收入支出明细表（基础数据表）'!R219</f>
        <v>0</v>
      </c>
      <c r="S219" s="103">
        <f>'收入支出明细表（基础数据表）'!S219</f>
        <v>0</v>
      </c>
    </row>
    <row r="220" spans="1:19" ht="22.05" customHeight="1" x14ac:dyDescent="0.25">
      <c r="A220" s="204"/>
      <c r="B220" s="270"/>
      <c r="C220" s="243"/>
      <c r="D220" s="79" t="s">
        <v>151</v>
      </c>
      <c r="E220" s="112">
        <f>'收入支出明细表（基础数据表）'!E220</f>
        <v>0</v>
      </c>
      <c r="F220" s="102">
        <f>'收入支出明细表（基础数据表）'!F220</f>
        <v>0</v>
      </c>
      <c r="G220" s="99">
        <f>'收入支出明细表（基础数据表）'!G220</f>
        <v>0</v>
      </c>
      <c r="H220" s="101" t="e">
        <f>'收入支出明细表（基础数据表）'!H220</f>
        <v>#DIV/0!</v>
      </c>
      <c r="I220" s="101" t="e">
        <f>'收入支出明细表（基础数据表）'!I220</f>
        <v>#DIV/0!</v>
      </c>
      <c r="J220" s="101" t="e">
        <f>'收入支出明细表（基础数据表）'!J220</f>
        <v>#DIV/0!</v>
      </c>
      <c r="K220" s="101" t="e">
        <f>'收入支出明细表（基础数据表）'!K220</f>
        <v>#DIV/0!</v>
      </c>
      <c r="L220" s="101" t="e">
        <f>'收入支出明细表（基础数据表）'!L220</f>
        <v>#DIV/0!</v>
      </c>
      <c r="M220" s="101" t="e">
        <f>'收入支出明细表（基础数据表）'!M220</f>
        <v>#DIV/0!</v>
      </c>
      <c r="N220" s="101" t="e">
        <f>'收入支出明细表（基础数据表）'!N220</f>
        <v>#DIV/0!</v>
      </c>
      <c r="O220" s="101" t="e">
        <f>'收入支出明细表（基础数据表）'!O220</f>
        <v>#DIV/0!</v>
      </c>
      <c r="P220" s="101" t="e">
        <f>'收入支出明细表（基础数据表）'!P220</f>
        <v>#DIV/0!</v>
      </c>
      <c r="Q220" s="101" t="e">
        <f>'收入支出明细表（基础数据表）'!Q220</f>
        <v>#DIV/0!</v>
      </c>
      <c r="R220" s="101" t="e">
        <f>'收入支出明细表（基础数据表）'!R220</f>
        <v>#DIV/0!</v>
      </c>
      <c r="S220" s="101" t="e">
        <f>'收入支出明细表（基础数据表）'!S220</f>
        <v>#DIV/0!</v>
      </c>
    </row>
    <row r="221" spans="1:19" ht="22.05" customHeight="1" x14ac:dyDescent="0.25">
      <c r="A221" s="204"/>
      <c r="B221" s="270"/>
      <c r="C221" s="257" t="s">
        <v>215</v>
      </c>
      <c r="D221" s="79" t="s">
        <v>149</v>
      </c>
      <c r="E221" s="104">
        <f>'收入支出明细表（基础数据表）'!E221</f>
        <v>0</v>
      </c>
      <c r="F221" s="102">
        <f>'收入支出明细表（基础数据表）'!F221</f>
        <v>0</v>
      </c>
      <c r="G221" s="99">
        <f>'收入支出明细表（基础数据表）'!G221</f>
        <v>0</v>
      </c>
      <c r="H221" s="107">
        <f>'收入支出明细表（基础数据表）'!H221</f>
        <v>0</v>
      </c>
      <c r="I221" s="107">
        <f>'收入支出明细表（基础数据表）'!I221</f>
        <v>0</v>
      </c>
      <c r="J221" s="107">
        <f>'收入支出明细表（基础数据表）'!J221</f>
        <v>0</v>
      </c>
      <c r="K221" s="107">
        <f>'收入支出明细表（基础数据表）'!K221</f>
        <v>0</v>
      </c>
      <c r="L221" s="107">
        <f>'收入支出明细表（基础数据表）'!L221</f>
        <v>0</v>
      </c>
      <c r="M221" s="107">
        <f>'收入支出明细表（基础数据表）'!M221</f>
        <v>0</v>
      </c>
      <c r="N221" s="107">
        <f>'收入支出明细表（基础数据表）'!N221</f>
        <v>0</v>
      </c>
      <c r="O221" s="107">
        <f>'收入支出明细表（基础数据表）'!O221</f>
        <v>0</v>
      </c>
      <c r="P221" s="103">
        <f>'收入支出明细表（基础数据表）'!P221</f>
        <v>0</v>
      </c>
      <c r="Q221" s="103">
        <f>'收入支出明细表（基础数据表）'!Q221</f>
        <v>0</v>
      </c>
      <c r="R221" s="103">
        <f>'收入支出明细表（基础数据表）'!R221</f>
        <v>0</v>
      </c>
      <c r="S221" s="103">
        <f>'收入支出明细表（基础数据表）'!S221</f>
        <v>0</v>
      </c>
    </row>
    <row r="222" spans="1:19" customFormat="1" ht="22.05" customHeight="1" x14ac:dyDescent="0.25">
      <c r="A222" s="204"/>
      <c r="B222" s="270"/>
      <c r="C222" s="258"/>
      <c r="D222" s="79" t="s">
        <v>150</v>
      </c>
      <c r="E222" s="104">
        <f>'收入支出明细表（基础数据表）'!E222</f>
        <v>0</v>
      </c>
      <c r="F222" s="102">
        <f>'收入支出明细表（基础数据表）'!F222</f>
        <v>0</v>
      </c>
      <c r="G222" s="99">
        <f>'收入支出明细表（基础数据表）'!G222</f>
        <v>0</v>
      </c>
      <c r="H222" s="107">
        <f>'收入支出明细表（基础数据表）'!H222</f>
        <v>0</v>
      </c>
      <c r="I222" s="107">
        <f>'收入支出明细表（基础数据表）'!I222</f>
        <v>0</v>
      </c>
      <c r="J222" s="107">
        <f>'收入支出明细表（基础数据表）'!J222</f>
        <v>0</v>
      </c>
      <c r="K222" s="107">
        <f>'收入支出明细表（基础数据表）'!K222</f>
        <v>0</v>
      </c>
      <c r="L222" s="107">
        <f>'收入支出明细表（基础数据表）'!L222</f>
        <v>0</v>
      </c>
      <c r="M222" s="107">
        <f>'收入支出明细表（基础数据表）'!M222</f>
        <v>0</v>
      </c>
      <c r="N222" s="107">
        <f>'收入支出明细表（基础数据表）'!N222</f>
        <v>0</v>
      </c>
      <c r="O222" s="107">
        <f>'收入支出明细表（基础数据表）'!O222</f>
        <v>0</v>
      </c>
      <c r="P222" s="103">
        <f>'收入支出明细表（基础数据表）'!P222</f>
        <v>0</v>
      </c>
      <c r="Q222" s="103">
        <f>'收入支出明细表（基础数据表）'!Q222</f>
        <v>0</v>
      </c>
      <c r="R222" s="103">
        <f>'收入支出明细表（基础数据表）'!R222</f>
        <v>0</v>
      </c>
      <c r="S222" s="103">
        <f>'收入支出明细表（基础数据表）'!S222</f>
        <v>0</v>
      </c>
    </row>
    <row r="223" spans="1:19" customFormat="1" ht="22.05" customHeight="1" x14ac:dyDescent="0.25">
      <c r="A223" s="205"/>
      <c r="B223" s="271"/>
      <c r="C223" s="259"/>
      <c r="D223" s="79" t="s">
        <v>151</v>
      </c>
      <c r="E223" s="104">
        <f>'收入支出明细表（基础数据表）'!E223</f>
        <v>0</v>
      </c>
      <c r="F223" s="102">
        <f>'收入支出明细表（基础数据表）'!F223</f>
        <v>0</v>
      </c>
      <c r="G223" s="99">
        <f>'收入支出明细表（基础数据表）'!G223</f>
        <v>0</v>
      </c>
      <c r="H223" s="101" t="e">
        <f>'收入支出明细表（基础数据表）'!H223</f>
        <v>#DIV/0!</v>
      </c>
      <c r="I223" s="101" t="e">
        <f>'收入支出明细表（基础数据表）'!I223</f>
        <v>#DIV/0!</v>
      </c>
      <c r="J223" s="101" t="e">
        <f>'收入支出明细表（基础数据表）'!J223</f>
        <v>#DIV/0!</v>
      </c>
      <c r="K223" s="101" t="e">
        <f>'收入支出明细表（基础数据表）'!K223</f>
        <v>#DIV/0!</v>
      </c>
      <c r="L223" s="101" t="e">
        <f>'收入支出明细表（基础数据表）'!L223</f>
        <v>#DIV/0!</v>
      </c>
      <c r="M223" s="101" t="e">
        <f>'收入支出明细表（基础数据表）'!M223</f>
        <v>#DIV/0!</v>
      </c>
      <c r="N223" s="101" t="e">
        <f>'收入支出明细表（基础数据表）'!N223</f>
        <v>#DIV/0!</v>
      </c>
      <c r="O223" s="101" t="e">
        <f>'收入支出明细表（基础数据表）'!O223</f>
        <v>#DIV/0!</v>
      </c>
      <c r="P223" s="101" t="e">
        <f>'收入支出明细表（基础数据表）'!P223</f>
        <v>#DIV/0!</v>
      </c>
      <c r="Q223" s="101" t="e">
        <f>'收入支出明细表（基础数据表）'!Q223</f>
        <v>#DIV/0!</v>
      </c>
      <c r="R223" s="101" t="e">
        <f>'收入支出明细表（基础数据表）'!R223</f>
        <v>#DIV/0!</v>
      </c>
      <c r="S223" s="101" t="e">
        <f>'收入支出明细表（基础数据表）'!S223</f>
        <v>#DIV/0!</v>
      </c>
    </row>
    <row r="224" spans="1:19" s="74" customFormat="1" ht="30" customHeight="1" x14ac:dyDescent="0.25"/>
    <row r="225" spans="3:3" x14ac:dyDescent="0.25">
      <c r="C225" s="74"/>
    </row>
  </sheetData>
  <autoFilter ref="A2:X223" xr:uid="{00000000-0009-0000-0000-000003000000}"/>
  <mergeCells count="83">
    <mergeCell ref="C211:C213"/>
    <mergeCell ref="C215:C217"/>
    <mergeCell ref="C218:C220"/>
    <mergeCell ref="C221:C223"/>
    <mergeCell ref="B3:C5"/>
    <mergeCell ref="B96:C98"/>
    <mergeCell ref="A215:B223"/>
    <mergeCell ref="C196:C198"/>
    <mergeCell ref="C199:C201"/>
    <mergeCell ref="C202:C204"/>
    <mergeCell ref="C205:C207"/>
    <mergeCell ref="C208:C210"/>
    <mergeCell ref="C180:C182"/>
    <mergeCell ref="C183:C185"/>
    <mergeCell ref="C186:C188"/>
    <mergeCell ref="C190:C192"/>
    <mergeCell ref="C193:C195"/>
    <mergeCell ref="C164:C166"/>
    <mergeCell ref="C167:C169"/>
    <mergeCell ref="C171:C173"/>
    <mergeCell ref="C174:C176"/>
    <mergeCell ref="C177:C179"/>
    <mergeCell ref="C149:C151"/>
    <mergeCell ref="C152:C154"/>
    <mergeCell ref="C155:C157"/>
    <mergeCell ref="C158:C160"/>
    <mergeCell ref="C161:C163"/>
    <mergeCell ref="C133:C135"/>
    <mergeCell ref="C136:C138"/>
    <mergeCell ref="C140:C142"/>
    <mergeCell ref="C143:C145"/>
    <mergeCell ref="C146:C148"/>
    <mergeCell ref="C117:C119"/>
    <mergeCell ref="C121:C123"/>
    <mergeCell ref="C124:C126"/>
    <mergeCell ref="C127:C129"/>
    <mergeCell ref="C130:C132"/>
    <mergeCell ref="C102:C104"/>
    <mergeCell ref="C105:C107"/>
    <mergeCell ref="C108:C110"/>
    <mergeCell ref="C111:C113"/>
    <mergeCell ref="C114:C116"/>
    <mergeCell ref="C82:C84"/>
    <mergeCell ref="C85:C87"/>
    <mergeCell ref="C88:C90"/>
    <mergeCell ref="C91:C93"/>
    <mergeCell ref="C99:C101"/>
    <mergeCell ref="C67:C69"/>
    <mergeCell ref="C70:C72"/>
    <mergeCell ref="C73:C75"/>
    <mergeCell ref="C76:C78"/>
    <mergeCell ref="C79:C81"/>
    <mergeCell ref="C49:C51"/>
    <mergeCell ref="C52:C54"/>
    <mergeCell ref="C55:C57"/>
    <mergeCell ref="C61:C63"/>
    <mergeCell ref="C64:C66"/>
    <mergeCell ref="C33:C35"/>
    <mergeCell ref="C36:C38"/>
    <mergeCell ref="C40:C42"/>
    <mergeCell ref="C43:C45"/>
    <mergeCell ref="C46:C48"/>
    <mergeCell ref="C18:C20"/>
    <mergeCell ref="C21:C23"/>
    <mergeCell ref="C24:C26"/>
    <mergeCell ref="C27:C29"/>
    <mergeCell ref="C30:C32"/>
    <mergeCell ref="A1:S1"/>
    <mergeCell ref="A2:C2"/>
    <mergeCell ref="A3:A95"/>
    <mergeCell ref="A96:A139"/>
    <mergeCell ref="A140:A214"/>
    <mergeCell ref="B6:B39"/>
    <mergeCell ref="B40:B95"/>
    <mergeCell ref="B99:B120"/>
    <mergeCell ref="B121:B139"/>
    <mergeCell ref="B140:B170"/>
    <mergeCell ref="B171:B189"/>
    <mergeCell ref="B190:B214"/>
    <mergeCell ref="C6:C8"/>
    <mergeCell ref="C9:C11"/>
    <mergeCell ref="C12:C14"/>
    <mergeCell ref="C15:C17"/>
  </mergeCells>
  <phoneticPr fontId="45" type="noConversion"/>
  <dataValidations count="2">
    <dataValidation type="list" allowBlank="1" showInputMessage="1" showErrorMessage="1" sqref="B1" xr:uid="{00000000-0002-0000-0300-000000000000}">
      <formula1>"分年填写,只填合计"</formula1>
    </dataValidation>
    <dataValidation type="list" allowBlank="1" showInputMessage="1" showErrorMessage="1" sqref="C2 D2" xr:uid="{00000000-0002-0000-0300-000001000000}">
      <formula1>"25%,20%,15%,12.5%,10%"</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EO86"/>
  <sheetViews>
    <sheetView zoomScale="85" zoomScaleNormal="85" workbookViewId="0">
      <selection sqref="A1:S1"/>
    </sheetView>
  </sheetViews>
  <sheetFormatPr defaultColWidth="9" defaultRowHeight="15" x14ac:dyDescent="0.25"/>
  <cols>
    <col min="1" max="1" width="7.6640625" style="75" customWidth="1"/>
    <col min="2" max="2" width="11.6640625" style="75" customWidth="1"/>
    <col min="3" max="3" width="17.88671875" style="75" customWidth="1"/>
    <col min="4" max="4" width="12.33203125" style="75" customWidth="1"/>
    <col min="5" max="5" width="7" style="75" customWidth="1"/>
    <col min="6" max="6" width="7.44140625" style="75" customWidth="1"/>
    <col min="7" max="7" width="14" style="75" customWidth="1"/>
    <col min="8" max="19" width="16.5546875" style="75" customWidth="1"/>
    <col min="20" max="20" width="9.77734375" style="75" customWidth="1"/>
    <col min="21" max="16369" width="9" style="75"/>
  </cols>
  <sheetData>
    <row r="1" spans="1:24" s="73" customFormat="1" ht="35.700000000000003" customHeight="1" x14ac:dyDescent="0.25">
      <c r="A1" s="276" t="s">
        <v>218</v>
      </c>
      <c r="B1" s="276"/>
      <c r="C1" s="276"/>
      <c r="D1" s="276"/>
      <c r="E1" s="276"/>
      <c r="F1" s="276"/>
      <c r="G1" s="276"/>
      <c r="H1" s="276"/>
      <c r="I1" s="276"/>
      <c r="J1" s="276"/>
      <c r="K1" s="276"/>
      <c r="L1" s="276"/>
      <c r="M1" s="276"/>
      <c r="N1" s="276"/>
      <c r="O1" s="276"/>
      <c r="P1" s="276"/>
      <c r="Q1" s="276"/>
      <c r="R1" s="276"/>
      <c r="S1" s="276"/>
    </row>
    <row r="2" spans="1:24" ht="50.7" customHeight="1" x14ac:dyDescent="0.25">
      <c r="A2" s="277" t="s">
        <v>76</v>
      </c>
      <c r="B2" s="277"/>
      <c r="C2" s="277"/>
      <c r="D2" s="76"/>
      <c r="E2" s="77" t="s">
        <v>77</v>
      </c>
      <c r="F2" s="77" t="s">
        <v>78</v>
      </c>
      <c r="G2" s="77" t="s">
        <v>92</v>
      </c>
      <c r="H2" s="78" t="s">
        <v>80</v>
      </c>
      <c r="I2" s="78" t="s">
        <v>81</v>
      </c>
      <c r="J2" s="78" t="s">
        <v>82</v>
      </c>
      <c r="K2" s="78" t="s">
        <v>83</v>
      </c>
      <c r="L2" s="78" t="s">
        <v>84</v>
      </c>
      <c r="M2" s="78" t="s">
        <v>85</v>
      </c>
      <c r="N2" s="78" t="s">
        <v>86</v>
      </c>
      <c r="O2" s="78" t="s">
        <v>87</v>
      </c>
      <c r="P2" s="78" t="s">
        <v>88</v>
      </c>
      <c r="Q2" s="78" t="s">
        <v>89</v>
      </c>
      <c r="R2" s="78" t="s">
        <v>90</v>
      </c>
      <c r="S2" s="78" t="s">
        <v>91</v>
      </c>
      <c r="X2" s="90"/>
    </row>
    <row r="3" spans="1:24" ht="22.05" customHeight="1" x14ac:dyDescent="0.25">
      <c r="A3" s="206" t="s">
        <v>103</v>
      </c>
      <c r="B3" s="263" t="s">
        <v>104</v>
      </c>
      <c r="C3" s="263"/>
      <c r="D3" s="79" t="s">
        <v>103</v>
      </c>
      <c r="E3" s="80"/>
      <c r="F3" s="80"/>
      <c r="G3" s="81">
        <f>'收入支出明细表（基础数据表）'!T3</f>
        <v>0</v>
      </c>
      <c r="H3" s="81">
        <f>'收入支出明细表（基础数据表）'!U3</f>
        <v>0</v>
      </c>
      <c r="I3" s="81">
        <f>'收入支出明细表（基础数据表）'!V3</f>
        <v>0</v>
      </c>
      <c r="J3" s="81">
        <f>'收入支出明细表（基础数据表）'!W3</f>
        <v>0</v>
      </c>
      <c r="K3" s="81">
        <f>'收入支出明细表（基础数据表）'!X3</f>
        <v>0</v>
      </c>
      <c r="L3" s="81">
        <f>'收入支出明细表（基础数据表）'!Y3</f>
        <v>0</v>
      </c>
      <c r="M3" s="81">
        <f>'收入支出明细表（基础数据表）'!Z3</f>
        <v>0</v>
      </c>
      <c r="N3" s="81">
        <f>'收入支出明细表（基础数据表）'!AA3</f>
        <v>0</v>
      </c>
      <c r="O3" s="81">
        <f>'收入支出明细表（基础数据表）'!AB3</f>
        <v>0</v>
      </c>
      <c r="P3" s="81">
        <f>'收入支出明细表（基础数据表）'!AC3</f>
        <v>0</v>
      </c>
      <c r="Q3" s="81">
        <f>'收入支出明细表（基础数据表）'!AD3</f>
        <v>0</v>
      </c>
      <c r="R3" s="81">
        <f>'收入支出明细表（基础数据表）'!AE3</f>
        <v>0</v>
      </c>
      <c r="S3" s="81">
        <f>'收入支出明细表（基础数据表）'!AF3</f>
        <v>0</v>
      </c>
      <c r="X3" s="90"/>
    </row>
    <row r="4" spans="1:24" ht="22.05" customHeight="1" x14ac:dyDescent="0.25">
      <c r="A4" s="206"/>
      <c r="B4" s="208" t="s">
        <v>107</v>
      </c>
      <c r="C4" s="82" t="s">
        <v>108</v>
      </c>
      <c r="D4" s="79" t="s">
        <v>103</v>
      </c>
      <c r="E4" s="79"/>
      <c r="F4" s="80"/>
      <c r="G4" s="81">
        <f>'收入支出明细表（基础数据表）'!T6</f>
        <v>0</v>
      </c>
      <c r="H4" s="81">
        <f>'收入支出明细表（基础数据表）'!U6</f>
        <v>0</v>
      </c>
      <c r="I4" s="81">
        <f>'收入支出明细表（基础数据表）'!V6</f>
        <v>0</v>
      </c>
      <c r="J4" s="81">
        <f>'收入支出明细表（基础数据表）'!W6</f>
        <v>0</v>
      </c>
      <c r="K4" s="81">
        <f>'收入支出明细表（基础数据表）'!X6</f>
        <v>0</v>
      </c>
      <c r="L4" s="81">
        <f>'收入支出明细表（基础数据表）'!Y6</f>
        <v>0</v>
      </c>
      <c r="M4" s="81">
        <f>'收入支出明细表（基础数据表）'!Z6</f>
        <v>0</v>
      </c>
      <c r="N4" s="81">
        <f>'收入支出明细表（基础数据表）'!AA6</f>
        <v>0</v>
      </c>
      <c r="O4" s="81">
        <f>'收入支出明细表（基础数据表）'!AB6</f>
        <v>0</v>
      </c>
      <c r="P4" s="81">
        <f>'收入支出明细表（基础数据表）'!AC6</f>
        <v>0</v>
      </c>
      <c r="Q4" s="81">
        <f>'收入支出明细表（基础数据表）'!AD6</f>
        <v>0</v>
      </c>
      <c r="R4" s="81">
        <f>'收入支出明细表（基础数据表）'!AE6</f>
        <v>0</v>
      </c>
      <c r="S4" s="81">
        <f>'收入支出明细表（基础数据表）'!AF6</f>
        <v>0</v>
      </c>
      <c r="X4" s="90"/>
    </row>
    <row r="5" spans="1:24" ht="22.05" customHeight="1" x14ac:dyDescent="0.25">
      <c r="A5" s="206"/>
      <c r="B5" s="208"/>
      <c r="C5" s="83" t="s">
        <v>109</v>
      </c>
      <c r="D5" s="79" t="s">
        <v>103</v>
      </c>
      <c r="E5" s="79"/>
      <c r="F5" s="84">
        <v>0.06</v>
      </c>
      <c r="G5" s="81">
        <f>'收入支出明细表（基础数据表）'!T9</f>
        <v>0</v>
      </c>
      <c r="H5" s="81">
        <f>'收入支出明细表（基础数据表）'!U9</f>
        <v>0</v>
      </c>
      <c r="I5" s="81">
        <f>'收入支出明细表（基础数据表）'!V9</f>
        <v>0</v>
      </c>
      <c r="J5" s="81">
        <f>'收入支出明细表（基础数据表）'!W9</f>
        <v>0</v>
      </c>
      <c r="K5" s="81">
        <f>'收入支出明细表（基础数据表）'!X9</f>
        <v>0</v>
      </c>
      <c r="L5" s="81">
        <f>'收入支出明细表（基础数据表）'!Y9</f>
        <v>0</v>
      </c>
      <c r="M5" s="81">
        <f>'收入支出明细表（基础数据表）'!Z9</f>
        <v>0</v>
      </c>
      <c r="N5" s="81">
        <f>'收入支出明细表（基础数据表）'!AA9</f>
        <v>0</v>
      </c>
      <c r="O5" s="81">
        <f>'收入支出明细表（基础数据表）'!AB9</f>
        <v>0</v>
      </c>
      <c r="P5" s="81">
        <f>'收入支出明细表（基础数据表）'!AC9</f>
        <v>0</v>
      </c>
      <c r="Q5" s="81">
        <f>'收入支出明细表（基础数据表）'!AD9</f>
        <v>0</v>
      </c>
      <c r="R5" s="81">
        <f>'收入支出明细表（基础数据表）'!AE9</f>
        <v>0</v>
      </c>
      <c r="S5" s="81">
        <f>'收入支出明细表（基础数据表）'!AF9</f>
        <v>0</v>
      </c>
    </row>
    <row r="6" spans="1:24" ht="22.05" customHeight="1" x14ac:dyDescent="0.25">
      <c r="A6" s="206"/>
      <c r="B6" s="208"/>
      <c r="C6" s="79" t="s">
        <v>110</v>
      </c>
      <c r="D6" s="79" t="s">
        <v>103</v>
      </c>
      <c r="E6" s="79"/>
      <c r="F6" s="84">
        <v>0.06</v>
      </c>
      <c r="G6" s="81">
        <f>'收入支出明细表（基础数据表）'!T12</f>
        <v>0</v>
      </c>
      <c r="H6" s="81">
        <f>'收入支出明细表（基础数据表）'!U12</f>
        <v>0</v>
      </c>
      <c r="I6" s="81">
        <f>'收入支出明细表（基础数据表）'!V12</f>
        <v>0</v>
      </c>
      <c r="J6" s="81">
        <f>'收入支出明细表（基础数据表）'!W12</f>
        <v>0</v>
      </c>
      <c r="K6" s="81">
        <f>'收入支出明细表（基础数据表）'!X12</f>
        <v>0</v>
      </c>
      <c r="L6" s="81">
        <f>'收入支出明细表（基础数据表）'!Y12</f>
        <v>0</v>
      </c>
      <c r="M6" s="81">
        <f>'收入支出明细表（基础数据表）'!Z12</f>
        <v>0</v>
      </c>
      <c r="N6" s="81">
        <f>'收入支出明细表（基础数据表）'!AA12</f>
        <v>0</v>
      </c>
      <c r="O6" s="81">
        <f>'收入支出明细表（基础数据表）'!AB12</f>
        <v>0</v>
      </c>
      <c r="P6" s="81">
        <f>'收入支出明细表（基础数据表）'!AC12</f>
        <v>0</v>
      </c>
      <c r="Q6" s="81">
        <f>'收入支出明细表（基础数据表）'!AD12</f>
        <v>0</v>
      </c>
      <c r="R6" s="81">
        <f>'收入支出明细表（基础数据表）'!AE12</f>
        <v>0</v>
      </c>
      <c r="S6" s="81">
        <f>'收入支出明细表（基础数据表）'!AF12</f>
        <v>0</v>
      </c>
    </row>
    <row r="7" spans="1:24" ht="22.05" customHeight="1" x14ac:dyDescent="0.25">
      <c r="A7" s="206"/>
      <c r="B7" s="208"/>
      <c r="C7" s="79" t="s">
        <v>112</v>
      </c>
      <c r="D7" s="79" t="s">
        <v>103</v>
      </c>
      <c r="E7" s="79"/>
      <c r="F7" s="84">
        <v>0.09</v>
      </c>
      <c r="G7" s="81">
        <f>'收入支出明细表（基础数据表）'!T15</f>
        <v>0</v>
      </c>
      <c r="H7" s="81">
        <f>'收入支出明细表（基础数据表）'!U15</f>
        <v>0</v>
      </c>
      <c r="I7" s="81">
        <f>'收入支出明细表（基础数据表）'!V15</f>
        <v>0</v>
      </c>
      <c r="J7" s="81">
        <f>'收入支出明细表（基础数据表）'!W15</f>
        <v>0</v>
      </c>
      <c r="K7" s="81">
        <f>'收入支出明细表（基础数据表）'!X15</f>
        <v>0</v>
      </c>
      <c r="L7" s="81">
        <f>'收入支出明细表（基础数据表）'!Y15</f>
        <v>0</v>
      </c>
      <c r="M7" s="81">
        <f>'收入支出明细表（基础数据表）'!Z15</f>
        <v>0</v>
      </c>
      <c r="N7" s="81">
        <f>'收入支出明细表（基础数据表）'!AA15</f>
        <v>0</v>
      </c>
      <c r="O7" s="81">
        <f>'收入支出明细表（基础数据表）'!AB15</f>
        <v>0</v>
      </c>
      <c r="P7" s="81">
        <f>'收入支出明细表（基础数据表）'!AC15</f>
        <v>0</v>
      </c>
      <c r="Q7" s="81">
        <f>'收入支出明细表（基础数据表）'!AD15</f>
        <v>0</v>
      </c>
      <c r="R7" s="81">
        <f>'收入支出明细表（基础数据表）'!AE15</f>
        <v>0</v>
      </c>
      <c r="S7" s="81">
        <f>'收入支出明细表（基础数据表）'!AF15</f>
        <v>0</v>
      </c>
    </row>
    <row r="8" spans="1:24" ht="22.05" customHeight="1" x14ac:dyDescent="0.25">
      <c r="A8" s="206"/>
      <c r="B8" s="208"/>
      <c r="C8" s="79" t="s">
        <v>113</v>
      </c>
      <c r="D8" s="79" t="s">
        <v>103</v>
      </c>
      <c r="E8" s="79"/>
      <c r="F8" s="84">
        <v>0.06</v>
      </c>
      <c r="G8" s="81">
        <f>'收入支出明细表（基础数据表）'!T18</f>
        <v>0</v>
      </c>
      <c r="H8" s="81">
        <f>'收入支出明细表（基础数据表）'!U18</f>
        <v>0</v>
      </c>
      <c r="I8" s="81">
        <f>'收入支出明细表（基础数据表）'!V18</f>
        <v>0</v>
      </c>
      <c r="J8" s="81">
        <f>'收入支出明细表（基础数据表）'!W18</f>
        <v>0</v>
      </c>
      <c r="K8" s="81">
        <f>'收入支出明细表（基础数据表）'!X18</f>
        <v>0</v>
      </c>
      <c r="L8" s="81">
        <f>'收入支出明细表（基础数据表）'!Y18</f>
        <v>0</v>
      </c>
      <c r="M8" s="81">
        <f>'收入支出明细表（基础数据表）'!Z18</f>
        <v>0</v>
      </c>
      <c r="N8" s="81">
        <f>'收入支出明细表（基础数据表）'!AA18</f>
        <v>0</v>
      </c>
      <c r="O8" s="81">
        <f>'收入支出明细表（基础数据表）'!AB18</f>
        <v>0</v>
      </c>
      <c r="P8" s="81">
        <f>'收入支出明细表（基础数据表）'!AC18</f>
        <v>0</v>
      </c>
      <c r="Q8" s="81">
        <f>'收入支出明细表（基础数据表）'!AD18</f>
        <v>0</v>
      </c>
      <c r="R8" s="81">
        <f>'收入支出明细表（基础数据表）'!AE18</f>
        <v>0</v>
      </c>
      <c r="S8" s="81">
        <f>'收入支出明细表（基础数据表）'!AF18</f>
        <v>0</v>
      </c>
    </row>
    <row r="9" spans="1:24" ht="22.05" customHeight="1" x14ac:dyDescent="0.25">
      <c r="A9" s="206"/>
      <c r="B9" s="208"/>
      <c r="C9" s="83" t="s">
        <v>115</v>
      </c>
      <c r="D9" s="79" t="s">
        <v>103</v>
      </c>
      <c r="E9" s="79"/>
      <c r="F9" s="84">
        <v>0.09</v>
      </c>
      <c r="G9" s="81">
        <f>'收入支出明细表（基础数据表）'!T21</f>
        <v>0</v>
      </c>
      <c r="H9" s="81">
        <f>'收入支出明细表（基础数据表）'!U21</f>
        <v>0</v>
      </c>
      <c r="I9" s="81">
        <f>'收入支出明细表（基础数据表）'!V21</f>
        <v>0</v>
      </c>
      <c r="J9" s="81">
        <f>'收入支出明细表（基础数据表）'!W21</f>
        <v>0</v>
      </c>
      <c r="K9" s="81">
        <f>'收入支出明细表（基础数据表）'!X21</f>
        <v>0</v>
      </c>
      <c r="L9" s="81">
        <f>'收入支出明细表（基础数据表）'!Y21</f>
        <v>0</v>
      </c>
      <c r="M9" s="81">
        <f>'收入支出明细表（基础数据表）'!Z21</f>
        <v>0</v>
      </c>
      <c r="N9" s="81">
        <f>'收入支出明细表（基础数据表）'!AA21</f>
        <v>0</v>
      </c>
      <c r="O9" s="81">
        <f>'收入支出明细表（基础数据表）'!AB21</f>
        <v>0</v>
      </c>
      <c r="P9" s="81">
        <f>'收入支出明细表（基础数据表）'!AC21</f>
        <v>0</v>
      </c>
      <c r="Q9" s="81">
        <f>'收入支出明细表（基础数据表）'!AD21</f>
        <v>0</v>
      </c>
      <c r="R9" s="81">
        <f>'收入支出明细表（基础数据表）'!AE21</f>
        <v>0</v>
      </c>
      <c r="S9" s="81">
        <f>'收入支出明细表（基础数据表）'!AF21</f>
        <v>0</v>
      </c>
    </row>
    <row r="10" spans="1:24" ht="22.05" customHeight="1" x14ac:dyDescent="0.25">
      <c r="A10" s="206"/>
      <c r="B10" s="208"/>
      <c r="C10" s="85" t="s">
        <v>116</v>
      </c>
      <c r="D10" s="79" t="s">
        <v>103</v>
      </c>
      <c r="E10" s="79"/>
      <c r="F10" s="84">
        <v>0.13</v>
      </c>
      <c r="G10" s="81">
        <f>'收入支出明细表（基础数据表）'!T24</f>
        <v>0</v>
      </c>
      <c r="H10" s="81">
        <f>'收入支出明细表（基础数据表）'!U24</f>
        <v>0</v>
      </c>
      <c r="I10" s="81">
        <f>'收入支出明细表（基础数据表）'!V24</f>
        <v>0</v>
      </c>
      <c r="J10" s="81">
        <f>'收入支出明细表（基础数据表）'!W24</f>
        <v>0</v>
      </c>
      <c r="K10" s="81">
        <f>'收入支出明细表（基础数据表）'!X24</f>
        <v>0</v>
      </c>
      <c r="L10" s="81">
        <f>'收入支出明细表（基础数据表）'!Y24</f>
        <v>0</v>
      </c>
      <c r="M10" s="81">
        <f>'收入支出明细表（基础数据表）'!Z24</f>
        <v>0</v>
      </c>
      <c r="N10" s="81">
        <f>'收入支出明细表（基础数据表）'!AA24</f>
        <v>0</v>
      </c>
      <c r="O10" s="81">
        <f>'收入支出明细表（基础数据表）'!AB24</f>
        <v>0</v>
      </c>
      <c r="P10" s="81">
        <f>'收入支出明细表（基础数据表）'!AC24</f>
        <v>0</v>
      </c>
      <c r="Q10" s="81">
        <f>'收入支出明细表（基础数据表）'!AD24</f>
        <v>0</v>
      </c>
      <c r="R10" s="81">
        <f>'收入支出明细表（基础数据表）'!AE24</f>
        <v>0</v>
      </c>
      <c r="S10" s="81">
        <f>'收入支出明细表（基础数据表）'!AF24</f>
        <v>0</v>
      </c>
    </row>
    <row r="11" spans="1:24" ht="22.05" customHeight="1" x14ac:dyDescent="0.25">
      <c r="A11" s="206"/>
      <c r="B11" s="208"/>
      <c r="C11" s="79" t="s">
        <v>117</v>
      </c>
      <c r="D11" s="79" t="s">
        <v>103</v>
      </c>
      <c r="E11" s="79"/>
      <c r="F11" s="84">
        <v>0.13</v>
      </c>
      <c r="G11" s="81">
        <f>'收入支出明细表（基础数据表）'!T27</f>
        <v>0</v>
      </c>
      <c r="H11" s="81">
        <f>'收入支出明细表（基础数据表）'!U27</f>
        <v>0</v>
      </c>
      <c r="I11" s="81">
        <f>'收入支出明细表（基础数据表）'!V27</f>
        <v>0</v>
      </c>
      <c r="J11" s="81">
        <f>'收入支出明细表（基础数据表）'!W27</f>
        <v>0</v>
      </c>
      <c r="K11" s="81">
        <f>'收入支出明细表（基础数据表）'!X27</f>
        <v>0</v>
      </c>
      <c r="L11" s="81">
        <f>'收入支出明细表（基础数据表）'!Y27</f>
        <v>0</v>
      </c>
      <c r="M11" s="81">
        <f>'收入支出明细表（基础数据表）'!Z27</f>
        <v>0</v>
      </c>
      <c r="N11" s="81">
        <f>'收入支出明细表（基础数据表）'!AA27</f>
        <v>0</v>
      </c>
      <c r="O11" s="81">
        <f>'收入支出明细表（基础数据表）'!AB27</f>
        <v>0</v>
      </c>
      <c r="P11" s="81">
        <f>'收入支出明细表（基础数据表）'!AC27</f>
        <v>0</v>
      </c>
      <c r="Q11" s="81">
        <f>'收入支出明细表（基础数据表）'!AD27</f>
        <v>0</v>
      </c>
      <c r="R11" s="81">
        <f>'收入支出明细表（基础数据表）'!AE27</f>
        <v>0</v>
      </c>
      <c r="S11" s="81">
        <f>'收入支出明细表（基础数据表）'!AF27</f>
        <v>0</v>
      </c>
    </row>
    <row r="12" spans="1:24" ht="22.05" customHeight="1" x14ac:dyDescent="0.25">
      <c r="A12" s="206"/>
      <c r="B12" s="208"/>
      <c r="C12" s="86" t="s">
        <v>119</v>
      </c>
      <c r="D12" s="79" t="s">
        <v>103</v>
      </c>
      <c r="E12" s="86"/>
      <c r="F12" s="84">
        <v>0.13</v>
      </c>
      <c r="G12" s="81">
        <f>'收入支出明细表（基础数据表）'!T30</f>
        <v>0</v>
      </c>
      <c r="H12" s="81">
        <f>'收入支出明细表（基础数据表）'!U30</f>
        <v>0</v>
      </c>
      <c r="I12" s="81">
        <f>'收入支出明细表（基础数据表）'!V30</f>
        <v>0</v>
      </c>
      <c r="J12" s="81">
        <f>'收入支出明细表（基础数据表）'!W30</f>
        <v>0</v>
      </c>
      <c r="K12" s="81">
        <f>'收入支出明细表（基础数据表）'!X30</f>
        <v>0</v>
      </c>
      <c r="L12" s="81">
        <f>'收入支出明细表（基础数据表）'!Y30</f>
        <v>0</v>
      </c>
      <c r="M12" s="81">
        <f>'收入支出明细表（基础数据表）'!Z30</f>
        <v>0</v>
      </c>
      <c r="N12" s="81">
        <f>'收入支出明细表（基础数据表）'!AA30</f>
        <v>0</v>
      </c>
      <c r="O12" s="81">
        <f>'收入支出明细表（基础数据表）'!AB30</f>
        <v>0</v>
      </c>
      <c r="P12" s="81">
        <f>'收入支出明细表（基础数据表）'!AC30</f>
        <v>0</v>
      </c>
      <c r="Q12" s="81">
        <f>'收入支出明细表（基础数据表）'!AD30</f>
        <v>0</v>
      </c>
      <c r="R12" s="81">
        <f>'收入支出明细表（基础数据表）'!AE30</f>
        <v>0</v>
      </c>
      <c r="S12" s="81">
        <f>'收入支出明细表（基础数据表）'!AF30</f>
        <v>0</v>
      </c>
    </row>
    <row r="13" spans="1:24" ht="22.05" customHeight="1" x14ac:dyDescent="0.25">
      <c r="A13" s="206"/>
      <c r="B13" s="208"/>
      <c r="C13" s="86" t="s">
        <v>121</v>
      </c>
      <c r="D13" s="79" t="s">
        <v>103</v>
      </c>
      <c r="E13" s="86"/>
      <c r="F13" s="84">
        <v>0.13</v>
      </c>
      <c r="G13" s="81">
        <f>'收入支出明细表（基础数据表）'!T33</f>
        <v>0</v>
      </c>
      <c r="H13" s="81">
        <f>'收入支出明细表（基础数据表）'!U33</f>
        <v>0</v>
      </c>
      <c r="I13" s="81">
        <f>'收入支出明细表（基础数据表）'!V33</f>
        <v>0</v>
      </c>
      <c r="J13" s="81">
        <f>'收入支出明细表（基础数据表）'!W33</f>
        <v>0</v>
      </c>
      <c r="K13" s="81">
        <f>'收入支出明细表（基础数据表）'!X33</f>
        <v>0</v>
      </c>
      <c r="L13" s="81">
        <f>'收入支出明细表（基础数据表）'!Y33</f>
        <v>0</v>
      </c>
      <c r="M13" s="81">
        <f>'收入支出明细表（基础数据表）'!Z33</f>
        <v>0</v>
      </c>
      <c r="N13" s="81">
        <f>'收入支出明细表（基础数据表）'!AA33</f>
        <v>0</v>
      </c>
      <c r="O13" s="81">
        <f>'收入支出明细表（基础数据表）'!AB33</f>
        <v>0</v>
      </c>
      <c r="P13" s="81">
        <f>'收入支出明细表（基础数据表）'!AC33</f>
        <v>0</v>
      </c>
      <c r="Q13" s="81">
        <f>'收入支出明细表（基础数据表）'!AD33</f>
        <v>0</v>
      </c>
      <c r="R13" s="81">
        <f>'收入支出明细表（基础数据表）'!AE33</f>
        <v>0</v>
      </c>
      <c r="S13" s="81">
        <f>'收入支出明细表（基础数据表）'!AF33</f>
        <v>0</v>
      </c>
    </row>
    <row r="14" spans="1:24" ht="22.05" customHeight="1" x14ac:dyDescent="0.25">
      <c r="A14" s="206"/>
      <c r="B14" s="208"/>
      <c r="C14" s="86" t="s">
        <v>123</v>
      </c>
      <c r="D14" s="79" t="s">
        <v>103</v>
      </c>
      <c r="E14" s="86"/>
      <c r="F14" s="87">
        <v>0.09</v>
      </c>
      <c r="G14" s="81">
        <f>'收入支出明细表（基础数据表）'!T36</f>
        <v>0</v>
      </c>
      <c r="H14" s="81">
        <f>'收入支出明细表（基础数据表）'!U36</f>
        <v>0</v>
      </c>
      <c r="I14" s="81">
        <f>'收入支出明细表（基础数据表）'!V36</f>
        <v>0</v>
      </c>
      <c r="J14" s="81">
        <f>'收入支出明细表（基础数据表）'!W36</f>
        <v>0</v>
      </c>
      <c r="K14" s="81">
        <f>'收入支出明细表（基础数据表）'!X36</f>
        <v>0</v>
      </c>
      <c r="L14" s="81">
        <f>'收入支出明细表（基础数据表）'!Y36</f>
        <v>0</v>
      </c>
      <c r="M14" s="81">
        <f>'收入支出明细表（基础数据表）'!Z36</f>
        <v>0</v>
      </c>
      <c r="N14" s="81">
        <f>'收入支出明细表（基础数据表）'!AA36</f>
        <v>0</v>
      </c>
      <c r="O14" s="81">
        <f>'收入支出明细表（基础数据表）'!AB36</f>
        <v>0</v>
      </c>
      <c r="P14" s="81">
        <f>'收入支出明细表（基础数据表）'!AC36</f>
        <v>0</v>
      </c>
      <c r="Q14" s="81">
        <f>'收入支出明细表（基础数据表）'!AD36</f>
        <v>0</v>
      </c>
      <c r="R14" s="81">
        <f>'收入支出明细表（基础数据表）'!AE36</f>
        <v>0</v>
      </c>
      <c r="S14" s="81">
        <f>'收入支出明细表（基础数据表）'!AF36</f>
        <v>0</v>
      </c>
    </row>
    <row r="15" spans="1:24" ht="22.05" customHeight="1" x14ac:dyDescent="0.25">
      <c r="A15" s="206"/>
      <c r="B15" s="208"/>
      <c r="C15" s="86" t="s">
        <v>125</v>
      </c>
      <c r="D15" s="86"/>
      <c r="E15" s="86"/>
      <c r="F15" s="87"/>
      <c r="G15" s="81">
        <f>'收入支出明细表（基础数据表）'!T39</f>
        <v>0</v>
      </c>
      <c r="H15" s="81">
        <f>'收入支出明细表（基础数据表）'!U39</f>
        <v>0</v>
      </c>
      <c r="I15" s="81">
        <f>'收入支出明细表（基础数据表）'!V39</f>
        <v>0</v>
      </c>
      <c r="J15" s="81">
        <f>'收入支出明细表（基础数据表）'!W39</f>
        <v>0</v>
      </c>
      <c r="K15" s="81">
        <f>'收入支出明细表（基础数据表）'!X39</f>
        <v>0</v>
      </c>
      <c r="L15" s="81">
        <f>'收入支出明细表（基础数据表）'!Y39</f>
        <v>0</v>
      </c>
      <c r="M15" s="81">
        <f>'收入支出明细表（基础数据表）'!Z39</f>
        <v>0</v>
      </c>
      <c r="N15" s="81">
        <f>'收入支出明细表（基础数据表）'!AA39</f>
        <v>0</v>
      </c>
      <c r="O15" s="81">
        <f>'收入支出明细表（基础数据表）'!AB39</f>
        <v>0</v>
      </c>
      <c r="P15" s="81">
        <f>'收入支出明细表（基础数据表）'!AC39</f>
        <v>0</v>
      </c>
      <c r="Q15" s="81">
        <f>'收入支出明细表（基础数据表）'!AD39</f>
        <v>0</v>
      </c>
      <c r="R15" s="81">
        <f>'收入支出明细表（基础数据表）'!AE39</f>
        <v>0</v>
      </c>
      <c r="S15" s="81">
        <f>'收入支出明细表（基础数据表）'!AF39</f>
        <v>0</v>
      </c>
    </row>
    <row r="16" spans="1:24" ht="22.05" customHeight="1" x14ac:dyDescent="0.25">
      <c r="A16" s="206"/>
      <c r="B16" s="209" t="s">
        <v>127</v>
      </c>
      <c r="C16" s="80" t="s">
        <v>128</v>
      </c>
      <c r="D16" s="79" t="s">
        <v>103</v>
      </c>
      <c r="E16" s="80"/>
      <c r="F16" s="87"/>
      <c r="G16" s="81">
        <f>'收入支出明细表（基础数据表）'!T40</f>
        <v>0</v>
      </c>
      <c r="H16" s="81">
        <f>'收入支出明细表（基础数据表）'!U40</f>
        <v>0</v>
      </c>
      <c r="I16" s="81">
        <f>'收入支出明细表（基础数据表）'!V40</f>
        <v>0</v>
      </c>
      <c r="J16" s="81">
        <f>'收入支出明细表（基础数据表）'!W40</f>
        <v>0</v>
      </c>
      <c r="K16" s="81">
        <f>'收入支出明细表（基础数据表）'!X40</f>
        <v>0</v>
      </c>
      <c r="L16" s="81">
        <f>'收入支出明细表（基础数据表）'!Y40</f>
        <v>0</v>
      </c>
      <c r="M16" s="81">
        <f>'收入支出明细表（基础数据表）'!Z40</f>
        <v>0</v>
      </c>
      <c r="N16" s="81">
        <f>'收入支出明细表（基础数据表）'!AA40</f>
        <v>0</v>
      </c>
      <c r="O16" s="81">
        <f>'收入支出明细表（基础数据表）'!AB40</f>
        <v>0</v>
      </c>
      <c r="P16" s="81">
        <f>'收入支出明细表（基础数据表）'!AC40</f>
        <v>0</v>
      </c>
      <c r="Q16" s="81">
        <f>'收入支出明细表（基础数据表）'!AD40</f>
        <v>0</v>
      </c>
      <c r="R16" s="81">
        <f>'收入支出明细表（基础数据表）'!AE40</f>
        <v>0</v>
      </c>
      <c r="S16" s="81">
        <f>'收入支出明细表（基础数据表）'!AF40</f>
        <v>0</v>
      </c>
    </row>
    <row r="17" spans="1:19" ht="22.05" customHeight="1" x14ac:dyDescent="0.25">
      <c r="A17" s="206"/>
      <c r="B17" s="209"/>
      <c r="C17" s="88" t="s">
        <v>129</v>
      </c>
      <c r="D17" s="79" t="s">
        <v>103</v>
      </c>
      <c r="E17" s="86"/>
      <c r="F17" s="87"/>
      <c r="G17" s="81">
        <f>'收入支出明细表（基础数据表）'!T43</f>
        <v>0</v>
      </c>
      <c r="H17" s="81">
        <f>'收入支出明细表（基础数据表）'!U43</f>
        <v>0</v>
      </c>
      <c r="I17" s="81">
        <f>'收入支出明细表（基础数据表）'!V43</f>
        <v>0</v>
      </c>
      <c r="J17" s="81">
        <f>'收入支出明细表（基础数据表）'!W43</f>
        <v>0</v>
      </c>
      <c r="K17" s="81">
        <f>'收入支出明细表（基础数据表）'!X43</f>
        <v>0</v>
      </c>
      <c r="L17" s="81">
        <f>'收入支出明细表（基础数据表）'!Y43</f>
        <v>0</v>
      </c>
      <c r="M17" s="81">
        <f>'收入支出明细表（基础数据表）'!Z43</f>
        <v>0</v>
      </c>
      <c r="N17" s="81">
        <f>'收入支出明细表（基础数据表）'!AA43</f>
        <v>0</v>
      </c>
      <c r="O17" s="81">
        <f>'收入支出明细表（基础数据表）'!AB43</f>
        <v>0</v>
      </c>
      <c r="P17" s="81">
        <f>'收入支出明细表（基础数据表）'!AC43</f>
        <v>0</v>
      </c>
      <c r="Q17" s="81">
        <f>'收入支出明细表（基础数据表）'!AD43</f>
        <v>0</v>
      </c>
      <c r="R17" s="81">
        <f>'收入支出明细表（基础数据表）'!AE43</f>
        <v>0</v>
      </c>
      <c r="S17" s="81">
        <f>'收入支出明细表（基础数据表）'!AF43</f>
        <v>0</v>
      </c>
    </row>
    <row r="18" spans="1:19" ht="22.05" customHeight="1" x14ac:dyDescent="0.25">
      <c r="A18" s="206"/>
      <c r="B18" s="209"/>
      <c r="C18" s="88" t="s">
        <v>131</v>
      </c>
      <c r="D18" s="79" t="s">
        <v>103</v>
      </c>
      <c r="E18" s="86"/>
      <c r="F18" s="87">
        <v>0.09</v>
      </c>
      <c r="G18" s="81">
        <f>'收入支出明细表（基础数据表）'!T46</f>
        <v>0</v>
      </c>
      <c r="H18" s="81">
        <f>'收入支出明细表（基础数据表）'!U46</f>
        <v>0</v>
      </c>
      <c r="I18" s="81">
        <f>'收入支出明细表（基础数据表）'!V46</f>
        <v>0</v>
      </c>
      <c r="J18" s="81">
        <f>'收入支出明细表（基础数据表）'!W46</f>
        <v>0</v>
      </c>
      <c r="K18" s="81">
        <f>'收入支出明细表（基础数据表）'!X46</f>
        <v>0</v>
      </c>
      <c r="L18" s="81">
        <f>'收入支出明细表（基础数据表）'!Y46</f>
        <v>0</v>
      </c>
      <c r="M18" s="81">
        <f>'收入支出明细表（基础数据表）'!Z46</f>
        <v>0</v>
      </c>
      <c r="N18" s="81">
        <f>'收入支出明细表（基础数据表）'!AA46</f>
        <v>0</v>
      </c>
      <c r="O18" s="81">
        <f>'收入支出明细表（基础数据表）'!AB46</f>
        <v>0</v>
      </c>
      <c r="P18" s="81">
        <f>'收入支出明细表（基础数据表）'!AC46</f>
        <v>0</v>
      </c>
      <c r="Q18" s="81">
        <f>'收入支出明细表（基础数据表）'!AD46</f>
        <v>0</v>
      </c>
      <c r="R18" s="81">
        <f>'收入支出明细表（基础数据表）'!AE46</f>
        <v>0</v>
      </c>
      <c r="S18" s="81">
        <f>'收入支出明细表（基础数据表）'!AF46</f>
        <v>0</v>
      </c>
    </row>
    <row r="19" spans="1:19" ht="22.05" customHeight="1" x14ac:dyDescent="0.25">
      <c r="A19" s="206"/>
      <c r="B19" s="209"/>
      <c r="C19" s="86" t="s">
        <v>132</v>
      </c>
      <c r="D19" s="79" t="s">
        <v>103</v>
      </c>
      <c r="E19" s="86"/>
      <c r="F19" s="87">
        <v>0.09</v>
      </c>
      <c r="G19" s="81">
        <f>'收入支出明细表（基础数据表）'!T49</f>
        <v>0</v>
      </c>
      <c r="H19" s="81">
        <f>'收入支出明细表（基础数据表）'!U49</f>
        <v>0</v>
      </c>
      <c r="I19" s="81">
        <f>'收入支出明细表（基础数据表）'!V49</f>
        <v>0</v>
      </c>
      <c r="J19" s="81">
        <f>'收入支出明细表（基础数据表）'!W49</f>
        <v>0</v>
      </c>
      <c r="K19" s="81">
        <f>'收入支出明细表（基础数据表）'!X49</f>
        <v>0</v>
      </c>
      <c r="L19" s="81">
        <f>'收入支出明细表（基础数据表）'!Y49</f>
        <v>0</v>
      </c>
      <c r="M19" s="81">
        <f>'收入支出明细表（基础数据表）'!Z49</f>
        <v>0</v>
      </c>
      <c r="N19" s="81">
        <f>'收入支出明细表（基础数据表）'!AA49</f>
        <v>0</v>
      </c>
      <c r="O19" s="81">
        <f>'收入支出明细表（基础数据表）'!AB49</f>
        <v>0</v>
      </c>
      <c r="P19" s="81">
        <f>'收入支出明细表（基础数据表）'!AC49</f>
        <v>0</v>
      </c>
      <c r="Q19" s="81">
        <f>'收入支出明细表（基础数据表）'!AD49</f>
        <v>0</v>
      </c>
      <c r="R19" s="81">
        <f>'收入支出明细表（基础数据表）'!AE49</f>
        <v>0</v>
      </c>
      <c r="S19" s="81">
        <f>'收入支出明细表（基础数据表）'!AF49</f>
        <v>0</v>
      </c>
    </row>
    <row r="20" spans="1:19" ht="22.05" customHeight="1" x14ac:dyDescent="0.25">
      <c r="A20" s="206"/>
      <c r="B20" s="209"/>
      <c r="C20" s="88" t="s">
        <v>133</v>
      </c>
      <c r="D20" s="79" t="s">
        <v>103</v>
      </c>
      <c r="E20" s="86"/>
      <c r="F20" s="87">
        <v>0.09</v>
      </c>
      <c r="G20" s="81">
        <f>'收入支出明细表（基础数据表）'!T52</f>
        <v>0</v>
      </c>
      <c r="H20" s="81">
        <f>'收入支出明细表（基础数据表）'!U52</f>
        <v>0</v>
      </c>
      <c r="I20" s="81">
        <f>'收入支出明细表（基础数据表）'!V52</f>
        <v>0</v>
      </c>
      <c r="J20" s="81">
        <f>'收入支出明细表（基础数据表）'!W52</f>
        <v>0</v>
      </c>
      <c r="K20" s="81">
        <f>'收入支出明细表（基础数据表）'!X52</f>
        <v>0</v>
      </c>
      <c r="L20" s="81">
        <f>'收入支出明细表（基础数据表）'!Y52</f>
        <v>0</v>
      </c>
      <c r="M20" s="81">
        <f>'收入支出明细表（基础数据表）'!Z52</f>
        <v>0</v>
      </c>
      <c r="N20" s="81">
        <f>'收入支出明细表（基础数据表）'!AA52</f>
        <v>0</v>
      </c>
      <c r="O20" s="81">
        <f>'收入支出明细表（基础数据表）'!AB52</f>
        <v>0</v>
      </c>
      <c r="P20" s="81">
        <f>'收入支出明细表（基础数据表）'!AC52</f>
        <v>0</v>
      </c>
      <c r="Q20" s="81">
        <f>'收入支出明细表（基础数据表）'!AD52</f>
        <v>0</v>
      </c>
      <c r="R20" s="81">
        <f>'收入支出明细表（基础数据表）'!AE52</f>
        <v>0</v>
      </c>
      <c r="S20" s="81">
        <f>'收入支出明细表（基础数据表）'!AF52</f>
        <v>0</v>
      </c>
    </row>
    <row r="21" spans="1:19" ht="22.05" customHeight="1" x14ac:dyDescent="0.25">
      <c r="A21" s="206"/>
      <c r="B21" s="209"/>
      <c r="C21" s="88" t="s">
        <v>134</v>
      </c>
      <c r="D21" s="79" t="s">
        <v>103</v>
      </c>
      <c r="E21" s="86"/>
      <c r="F21" s="87">
        <v>0.09</v>
      </c>
      <c r="G21" s="81">
        <f>'收入支出明细表（基础数据表）'!T55</f>
        <v>0</v>
      </c>
      <c r="H21" s="81">
        <f>'收入支出明细表（基础数据表）'!U55</f>
        <v>0</v>
      </c>
      <c r="I21" s="81">
        <f>'收入支出明细表（基础数据表）'!V55</f>
        <v>0</v>
      </c>
      <c r="J21" s="81">
        <f>'收入支出明细表（基础数据表）'!W55</f>
        <v>0</v>
      </c>
      <c r="K21" s="81">
        <f>'收入支出明细表（基础数据表）'!X55</f>
        <v>0</v>
      </c>
      <c r="L21" s="81">
        <f>'收入支出明细表（基础数据表）'!Y55</f>
        <v>0</v>
      </c>
      <c r="M21" s="81">
        <f>'收入支出明细表（基础数据表）'!Z55</f>
        <v>0</v>
      </c>
      <c r="N21" s="81">
        <f>'收入支出明细表（基础数据表）'!AA55</f>
        <v>0</v>
      </c>
      <c r="O21" s="81">
        <f>'收入支出明细表（基础数据表）'!AB55</f>
        <v>0</v>
      </c>
      <c r="P21" s="81">
        <f>'收入支出明细表（基础数据表）'!AC55</f>
        <v>0</v>
      </c>
      <c r="Q21" s="81">
        <f>'收入支出明细表（基础数据表）'!AD55</f>
        <v>0</v>
      </c>
      <c r="R21" s="81">
        <f>'收入支出明细表（基础数据表）'!AE55</f>
        <v>0</v>
      </c>
      <c r="S21" s="81">
        <f>'收入支出明细表（基础数据表）'!AF55</f>
        <v>0</v>
      </c>
    </row>
    <row r="22" spans="1:19" ht="22.05" customHeight="1" x14ac:dyDescent="0.25">
      <c r="A22" s="206"/>
      <c r="B22" s="209"/>
      <c r="C22" s="86" t="s">
        <v>125</v>
      </c>
      <c r="D22" s="86"/>
      <c r="E22" s="86"/>
      <c r="F22" s="87"/>
      <c r="G22" s="81">
        <f>'收入支出明细表（基础数据表）'!T58</f>
        <v>0</v>
      </c>
      <c r="H22" s="81">
        <f>'收入支出明细表（基础数据表）'!U58</f>
        <v>0</v>
      </c>
      <c r="I22" s="81">
        <f>'收入支出明细表（基础数据表）'!V58</f>
        <v>0</v>
      </c>
      <c r="J22" s="81">
        <f>'收入支出明细表（基础数据表）'!W58</f>
        <v>0</v>
      </c>
      <c r="K22" s="81">
        <f>'收入支出明细表（基础数据表）'!X58</f>
        <v>0</v>
      </c>
      <c r="L22" s="81">
        <f>'收入支出明细表（基础数据表）'!Y58</f>
        <v>0</v>
      </c>
      <c r="M22" s="81">
        <f>'收入支出明细表（基础数据表）'!Z58</f>
        <v>0</v>
      </c>
      <c r="N22" s="81">
        <f>'收入支出明细表（基础数据表）'!AA58</f>
        <v>0</v>
      </c>
      <c r="O22" s="81">
        <f>'收入支出明细表（基础数据表）'!AB58</f>
        <v>0</v>
      </c>
      <c r="P22" s="81">
        <f>'收入支出明细表（基础数据表）'!AC58</f>
        <v>0</v>
      </c>
      <c r="Q22" s="81">
        <f>'收入支出明细表（基础数据表）'!AD58</f>
        <v>0</v>
      </c>
      <c r="R22" s="81">
        <f>'收入支出明细表（基础数据表）'!AE58</f>
        <v>0</v>
      </c>
      <c r="S22" s="81">
        <f>'收入支出明细表（基础数据表）'!AF58</f>
        <v>0</v>
      </c>
    </row>
    <row r="23" spans="1:19" ht="22.05" customHeight="1" x14ac:dyDescent="0.25">
      <c r="A23" s="206"/>
      <c r="B23" s="209"/>
      <c r="C23" s="86"/>
      <c r="D23" s="86"/>
      <c r="E23" s="86"/>
      <c r="F23" s="87"/>
      <c r="G23" s="81">
        <f>'收入支出明细表（基础数据表）'!T59</f>
        <v>0</v>
      </c>
      <c r="H23" s="81">
        <f>'收入支出明细表（基础数据表）'!U59</f>
        <v>0</v>
      </c>
      <c r="I23" s="81">
        <f>'收入支出明细表（基础数据表）'!V59</f>
        <v>0</v>
      </c>
      <c r="J23" s="81">
        <f>'收入支出明细表（基础数据表）'!W59</f>
        <v>0</v>
      </c>
      <c r="K23" s="81">
        <f>'收入支出明细表（基础数据表）'!X59</f>
        <v>0</v>
      </c>
      <c r="L23" s="81">
        <f>'收入支出明细表（基础数据表）'!Y59</f>
        <v>0</v>
      </c>
      <c r="M23" s="81">
        <f>'收入支出明细表（基础数据表）'!Z59</f>
        <v>0</v>
      </c>
      <c r="N23" s="81">
        <f>'收入支出明细表（基础数据表）'!AA59</f>
        <v>0</v>
      </c>
      <c r="O23" s="81">
        <f>'收入支出明细表（基础数据表）'!AB59</f>
        <v>0</v>
      </c>
      <c r="P23" s="81">
        <f>'收入支出明细表（基础数据表）'!AC59</f>
        <v>0</v>
      </c>
      <c r="Q23" s="81">
        <f>'收入支出明细表（基础数据表）'!AD59</f>
        <v>0</v>
      </c>
      <c r="R23" s="81">
        <f>'收入支出明细表（基础数据表）'!AE59</f>
        <v>0</v>
      </c>
      <c r="S23" s="81">
        <f>'收入支出明细表（基础数据表）'!AF59</f>
        <v>0</v>
      </c>
    </row>
    <row r="24" spans="1:19" ht="22.05" customHeight="1" x14ac:dyDescent="0.25">
      <c r="A24" s="206"/>
      <c r="B24" s="209"/>
      <c r="C24" s="86"/>
      <c r="D24" s="86"/>
      <c r="E24" s="86"/>
      <c r="F24" s="87"/>
      <c r="G24" s="81">
        <f>'收入支出明细表（基础数据表）'!T60</f>
        <v>0</v>
      </c>
      <c r="H24" s="81">
        <f>'收入支出明细表（基础数据表）'!U60</f>
        <v>0</v>
      </c>
      <c r="I24" s="81">
        <f>'收入支出明细表（基础数据表）'!V60</f>
        <v>0</v>
      </c>
      <c r="J24" s="81">
        <f>'收入支出明细表（基础数据表）'!W60</f>
        <v>0</v>
      </c>
      <c r="K24" s="81">
        <f>'收入支出明细表（基础数据表）'!X60</f>
        <v>0</v>
      </c>
      <c r="L24" s="81">
        <f>'收入支出明细表（基础数据表）'!Y60</f>
        <v>0</v>
      </c>
      <c r="M24" s="81">
        <f>'收入支出明细表（基础数据表）'!Z60</f>
        <v>0</v>
      </c>
      <c r="N24" s="81">
        <f>'收入支出明细表（基础数据表）'!AA60</f>
        <v>0</v>
      </c>
      <c r="O24" s="81">
        <f>'收入支出明细表（基础数据表）'!AB60</f>
        <v>0</v>
      </c>
      <c r="P24" s="81">
        <f>'收入支出明细表（基础数据表）'!AC60</f>
        <v>0</v>
      </c>
      <c r="Q24" s="81">
        <f>'收入支出明细表（基础数据表）'!AD60</f>
        <v>0</v>
      </c>
      <c r="R24" s="81">
        <f>'收入支出明细表（基础数据表）'!AE60</f>
        <v>0</v>
      </c>
      <c r="S24" s="81">
        <f>'收入支出明细表（基础数据表）'!AF60</f>
        <v>0</v>
      </c>
    </row>
    <row r="25" spans="1:19" ht="22.05" customHeight="1" x14ac:dyDescent="0.25">
      <c r="A25" s="206"/>
      <c r="B25" s="209"/>
      <c r="C25" s="88" t="s">
        <v>135</v>
      </c>
      <c r="D25" s="79" t="s">
        <v>103</v>
      </c>
      <c r="E25" s="86"/>
      <c r="F25" s="87"/>
      <c r="G25" s="81">
        <f>'收入支出明细表（基础数据表）'!T61</f>
        <v>0</v>
      </c>
      <c r="H25" s="81">
        <f>'收入支出明细表（基础数据表）'!U61</f>
        <v>0</v>
      </c>
      <c r="I25" s="81">
        <f>'收入支出明细表（基础数据表）'!V61</f>
        <v>0</v>
      </c>
      <c r="J25" s="81">
        <f>'收入支出明细表（基础数据表）'!W61</f>
        <v>0</v>
      </c>
      <c r="K25" s="81">
        <f>'收入支出明细表（基础数据表）'!X61</f>
        <v>0</v>
      </c>
      <c r="L25" s="81">
        <f>'收入支出明细表（基础数据表）'!Y61</f>
        <v>0</v>
      </c>
      <c r="M25" s="81">
        <f>'收入支出明细表（基础数据表）'!Z61</f>
        <v>0</v>
      </c>
      <c r="N25" s="81">
        <f>'收入支出明细表（基础数据表）'!AA61</f>
        <v>0</v>
      </c>
      <c r="O25" s="81">
        <f>'收入支出明细表（基础数据表）'!AB61</f>
        <v>0</v>
      </c>
      <c r="P25" s="81">
        <f>'收入支出明细表（基础数据表）'!AC61</f>
        <v>0</v>
      </c>
      <c r="Q25" s="81">
        <f>'收入支出明细表（基础数据表）'!AD61</f>
        <v>0</v>
      </c>
      <c r="R25" s="81">
        <f>'收入支出明细表（基础数据表）'!AE61</f>
        <v>0</v>
      </c>
      <c r="S25" s="81">
        <f>'收入支出明细表（基础数据表）'!AF61</f>
        <v>0</v>
      </c>
    </row>
    <row r="26" spans="1:19" ht="22.05" customHeight="1" x14ac:dyDescent="0.25">
      <c r="A26" s="206"/>
      <c r="B26" s="209"/>
      <c r="C26" s="86" t="s">
        <v>137</v>
      </c>
      <c r="D26" s="79" t="s">
        <v>103</v>
      </c>
      <c r="E26" s="86"/>
      <c r="F26" s="87">
        <v>0.06</v>
      </c>
      <c r="G26" s="81">
        <f>'收入支出明细表（基础数据表）'!T64</f>
        <v>0</v>
      </c>
      <c r="H26" s="81">
        <f>'收入支出明细表（基础数据表）'!U64</f>
        <v>0</v>
      </c>
      <c r="I26" s="81">
        <f>'收入支出明细表（基础数据表）'!V64</f>
        <v>0</v>
      </c>
      <c r="J26" s="81">
        <f>'收入支出明细表（基础数据表）'!W64</f>
        <v>0</v>
      </c>
      <c r="K26" s="81">
        <f>'收入支出明细表（基础数据表）'!X64</f>
        <v>0</v>
      </c>
      <c r="L26" s="81">
        <f>'收入支出明细表（基础数据表）'!Y64</f>
        <v>0</v>
      </c>
      <c r="M26" s="81">
        <f>'收入支出明细表（基础数据表）'!Z64</f>
        <v>0</v>
      </c>
      <c r="N26" s="81">
        <f>'收入支出明细表（基础数据表）'!AA64</f>
        <v>0</v>
      </c>
      <c r="O26" s="81">
        <f>'收入支出明细表（基础数据表）'!AB64</f>
        <v>0</v>
      </c>
      <c r="P26" s="81">
        <f>'收入支出明细表（基础数据表）'!AC64</f>
        <v>0</v>
      </c>
      <c r="Q26" s="81">
        <f>'收入支出明细表（基础数据表）'!AD64</f>
        <v>0</v>
      </c>
      <c r="R26" s="81">
        <f>'收入支出明细表（基础数据表）'!AE64</f>
        <v>0</v>
      </c>
      <c r="S26" s="81">
        <f>'收入支出明细表（基础数据表）'!AF64</f>
        <v>0</v>
      </c>
    </row>
    <row r="27" spans="1:19" ht="22.05" customHeight="1" x14ac:dyDescent="0.25">
      <c r="A27" s="206"/>
      <c r="B27" s="209"/>
      <c r="C27" s="86" t="s">
        <v>138</v>
      </c>
      <c r="D27" s="79" t="s">
        <v>103</v>
      </c>
      <c r="E27" s="86"/>
      <c r="F27" s="87">
        <v>0.06</v>
      </c>
      <c r="G27" s="81">
        <f>'收入支出明细表（基础数据表）'!T67</f>
        <v>0</v>
      </c>
      <c r="H27" s="81">
        <f>'收入支出明细表（基础数据表）'!U67</f>
        <v>0</v>
      </c>
      <c r="I27" s="81">
        <f>'收入支出明细表（基础数据表）'!V67</f>
        <v>0</v>
      </c>
      <c r="J27" s="81">
        <f>'收入支出明细表（基础数据表）'!W67</f>
        <v>0</v>
      </c>
      <c r="K27" s="81">
        <f>'收入支出明细表（基础数据表）'!X67</f>
        <v>0</v>
      </c>
      <c r="L27" s="81">
        <f>'收入支出明细表（基础数据表）'!Y67</f>
        <v>0</v>
      </c>
      <c r="M27" s="81">
        <f>'收入支出明细表（基础数据表）'!Z67</f>
        <v>0</v>
      </c>
      <c r="N27" s="81">
        <f>'收入支出明细表（基础数据表）'!AA67</f>
        <v>0</v>
      </c>
      <c r="O27" s="81">
        <f>'收入支出明细表（基础数据表）'!AB67</f>
        <v>0</v>
      </c>
      <c r="P27" s="81">
        <f>'收入支出明细表（基础数据表）'!AC67</f>
        <v>0</v>
      </c>
      <c r="Q27" s="81">
        <f>'收入支出明细表（基础数据表）'!AD67</f>
        <v>0</v>
      </c>
      <c r="R27" s="81">
        <f>'收入支出明细表（基础数据表）'!AE67</f>
        <v>0</v>
      </c>
      <c r="S27" s="81">
        <f>'收入支出明细表（基础数据表）'!AF67</f>
        <v>0</v>
      </c>
    </row>
    <row r="28" spans="1:19" ht="22.05" customHeight="1" x14ac:dyDescent="0.25">
      <c r="A28" s="206"/>
      <c r="B28" s="209"/>
      <c r="C28" s="88" t="s">
        <v>139</v>
      </c>
      <c r="D28" s="79" t="s">
        <v>103</v>
      </c>
      <c r="E28" s="86"/>
      <c r="F28" s="87">
        <v>0.06</v>
      </c>
      <c r="G28" s="81">
        <f>'收入支出明细表（基础数据表）'!T70</f>
        <v>0</v>
      </c>
      <c r="H28" s="81">
        <f>'收入支出明细表（基础数据表）'!U70</f>
        <v>0</v>
      </c>
      <c r="I28" s="81">
        <f>'收入支出明细表（基础数据表）'!V70</f>
        <v>0</v>
      </c>
      <c r="J28" s="81">
        <f>'收入支出明细表（基础数据表）'!W70</f>
        <v>0</v>
      </c>
      <c r="K28" s="81">
        <f>'收入支出明细表（基础数据表）'!X70</f>
        <v>0</v>
      </c>
      <c r="L28" s="81">
        <f>'收入支出明细表（基础数据表）'!Y70</f>
        <v>0</v>
      </c>
      <c r="M28" s="81">
        <f>'收入支出明细表（基础数据表）'!Z70</f>
        <v>0</v>
      </c>
      <c r="N28" s="81">
        <f>'收入支出明细表（基础数据表）'!AA70</f>
        <v>0</v>
      </c>
      <c r="O28" s="81">
        <f>'收入支出明细表（基础数据表）'!AB70</f>
        <v>0</v>
      </c>
      <c r="P28" s="81">
        <f>'收入支出明细表（基础数据表）'!AC70</f>
        <v>0</v>
      </c>
      <c r="Q28" s="81">
        <f>'收入支出明细表（基础数据表）'!AD70</f>
        <v>0</v>
      </c>
      <c r="R28" s="81">
        <f>'收入支出明细表（基础数据表）'!AE70</f>
        <v>0</v>
      </c>
      <c r="S28" s="81">
        <f>'收入支出明细表（基础数据表）'!AF70</f>
        <v>0</v>
      </c>
    </row>
    <row r="29" spans="1:19" ht="22.05" customHeight="1" x14ac:dyDescent="0.25">
      <c r="A29" s="206"/>
      <c r="B29" s="209"/>
      <c r="C29" s="88" t="s">
        <v>140</v>
      </c>
      <c r="D29" s="79" t="s">
        <v>103</v>
      </c>
      <c r="E29" s="86"/>
      <c r="F29" s="87">
        <v>0.06</v>
      </c>
      <c r="G29" s="81">
        <f>'收入支出明细表（基础数据表）'!T73</f>
        <v>0</v>
      </c>
      <c r="H29" s="81">
        <f>'收入支出明细表（基础数据表）'!U73</f>
        <v>0</v>
      </c>
      <c r="I29" s="81">
        <f>'收入支出明细表（基础数据表）'!V73</f>
        <v>0</v>
      </c>
      <c r="J29" s="81">
        <f>'收入支出明细表（基础数据表）'!W73</f>
        <v>0</v>
      </c>
      <c r="K29" s="81">
        <f>'收入支出明细表（基础数据表）'!X73</f>
        <v>0</v>
      </c>
      <c r="L29" s="81">
        <f>'收入支出明细表（基础数据表）'!Y73</f>
        <v>0</v>
      </c>
      <c r="M29" s="81">
        <f>'收入支出明细表（基础数据表）'!Z73</f>
        <v>0</v>
      </c>
      <c r="N29" s="81">
        <f>'收入支出明细表（基础数据表）'!AA73</f>
        <v>0</v>
      </c>
      <c r="O29" s="81">
        <f>'收入支出明细表（基础数据表）'!AB73</f>
        <v>0</v>
      </c>
      <c r="P29" s="81">
        <f>'收入支出明细表（基础数据表）'!AC73</f>
        <v>0</v>
      </c>
      <c r="Q29" s="81">
        <f>'收入支出明细表（基础数据表）'!AD73</f>
        <v>0</v>
      </c>
      <c r="R29" s="81">
        <f>'收入支出明细表（基础数据表）'!AE73</f>
        <v>0</v>
      </c>
      <c r="S29" s="81">
        <f>'收入支出明细表（基础数据表）'!AF73</f>
        <v>0</v>
      </c>
    </row>
    <row r="30" spans="1:19" ht="22.05" customHeight="1" x14ac:dyDescent="0.25">
      <c r="A30" s="206"/>
      <c r="B30" s="209"/>
      <c r="C30" s="88" t="s">
        <v>141</v>
      </c>
      <c r="D30" s="79" t="s">
        <v>103</v>
      </c>
      <c r="E30" s="86"/>
      <c r="F30" s="87">
        <v>0.06</v>
      </c>
      <c r="G30" s="81">
        <f>'收入支出明细表（基础数据表）'!T76</f>
        <v>0</v>
      </c>
      <c r="H30" s="81">
        <f>'收入支出明细表（基础数据表）'!U76</f>
        <v>0</v>
      </c>
      <c r="I30" s="81">
        <f>'收入支出明细表（基础数据表）'!V76</f>
        <v>0</v>
      </c>
      <c r="J30" s="81">
        <f>'收入支出明细表（基础数据表）'!W76</f>
        <v>0</v>
      </c>
      <c r="K30" s="81">
        <f>'收入支出明细表（基础数据表）'!X76</f>
        <v>0</v>
      </c>
      <c r="L30" s="81">
        <f>'收入支出明细表（基础数据表）'!Y76</f>
        <v>0</v>
      </c>
      <c r="M30" s="81">
        <f>'收入支出明细表（基础数据表）'!Z76</f>
        <v>0</v>
      </c>
      <c r="N30" s="81">
        <f>'收入支出明细表（基础数据表）'!AA76</f>
        <v>0</v>
      </c>
      <c r="O30" s="81">
        <f>'收入支出明细表（基础数据表）'!AB76</f>
        <v>0</v>
      </c>
      <c r="P30" s="81">
        <f>'收入支出明细表（基础数据表）'!AC76</f>
        <v>0</v>
      </c>
      <c r="Q30" s="81">
        <f>'收入支出明细表（基础数据表）'!AD76</f>
        <v>0</v>
      </c>
      <c r="R30" s="81">
        <f>'收入支出明细表（基础数据表）'!AE76</f>
        <v>0</v>
      </c>
      <c r="S30" s="81">
        <f>'收入支出明细表（基础数据表）'!AF76</f>
        <v>0</v>
      </c>
    </row>
    <row r="31" spans="1:19" ht="22.05" customHeight="1" x14ac:dyDescent="0.25">
      <c r="A31" s="206"/>
      <c r="B31" s="209"/>
      <c r="C31" s="88" t="s">
        <v>142</v>
      </c>
      <c r="D31" s="79" t="s">
        <v>103</v>
      </c>
      <c r="E31" s="86"/>
      <c r="F31" s="87">
        <v>0.06</v>
      </c>
      <c r="G31" s="81">
        <f>'收入支出明细表（基础数据表）'!T79</f>
        <v>0</v>
      </c>
      <c r="H31" s="81">
        <f>'收入支出明细表（基础数据表）'!U79</f>
        <v>0</v>
      </c>
      <c r="I31" s="81">
        <f>'收入支出明细表（基础数据表）'!V79</f>
        <v>0</v>
      </c>
      <c r="J31" s="81">
        <f>'收入支出明细表（基础数据表）'!W79</f>
        <v>0</v>
      </c>
      <c r="K31" s="81">
        <f>'收入支出明细表（基础数据表）'!X79</f>
        <v>0</v>
      </c>
      <c r="L31" s="81">
        <f>'收入支出明细表（基础数据表）'!Y79</f>
        <v>0</v>
      </c>
      <c r="M31" s="81">
        <f>'收入支出明细表（基础数据表）'!Z79</f>
        <v>0</v>
      </c>
      <c r="N31" s="81">
        <f>'收入支出明细表（基础数据表）'!AA79</f>
        <v>0</v>
      </c>
      <c r="O31" s="81">
        <f>'收入支出明细表（基础数据表）'!AB79</f>
        <v>0</v>
      </c>
      <c r="P31" s="81">
        <f>'收入支出明细表（基础数据表）'!AC79</f>
        <v>0</v>
      </c>
      <c r="Q31" s="81">
        <f>'收入支出明细表（基础数据表）'!AD79</f>
        <v>0</v>
      </c>
      <c r="R31" s="81">
        <f>'收入支出明细表（基础数据表）'!AE79</f>
        <v>0</v>
      </c>
      <c r="S31" s="81">
        <f>'收入支出明细表（基础数据表）'!AF79</f>
        <v>0</v>
      </c>
    </row>
    <row r="32" spans="1:19" ht="22.05" customHeight="1" x14ac:dyDescent="0.25">
      <c r="A32" s="206"/>
      <c r="B32" s="209"/>
      <c r="C32" s="88" t="s">
        <v>143</v>
      </c>
      <c r="D32" s="79" t="s">
        <v>103</v>
      </c>
      <c r="E32" s="86"/>
      <c r="F32" s="87">
        <v>0.06</v>
      </c>
      <c r="G32" s="81">
        <f>'收入支出明细表（基础数据表）'!T82</f>
        <v>0</v>
      </c>
      <c r="H32" s="81">
        <f>'收入支出明细表（基础数据表）'!U82</f>
        <v>0</v>
      </c>
      <c r="I32" s="81">
        <f>'收入支出明细表（基础数据表）'!V82</f>
        <v>0</v>
      </c>
      <c r="J32" s="81">
        <f>'收入支出明细表（基础数据表）'!W82</f>
        <v>0</v>
      </c>
      <c r="K32" s="81">
        <f>'收入支出明细表（基础数据表）'!X82</f>
        <v>0</v>
      </c>
      <c r="L32" s="81">
        <f>'收入支出明细表（基础数据表）'!Y82</f>
        <v>0</v>
      </c>
      <c r="M32" s="81">
        <f>'收入支出明细表（基础数据表）'!Z82</f>
        <v>0</v>
      </c>
      <c r="N32" s="81">
        <f>'收入支出明细表（基础数据表）'!AA82</f>
        <v>0</v>
      </c>
      <c r="O32" s="81">
        <f>'收入支出明细表（基础数据表）'!AB82</f>
        <v>0</v>
      </c>
      <c r="P32" s="81">
        <f>'收入支出明细表（基础数据表）'!AC82</f>
        <v>0</v>
      </c>
      <c r="Q32" s="81">
        <f>'收入支出明细表（基础数据表）'!AD82</f>
        <v>0</v>
      </c>
      <c r="R32" s="81">
        <f>'收入支出明细表（基础数据表）'!AE82</f>
        <v>0</v>
      </c>
      <c r="S32" s="81">
        <f>'收入支出明细表（基础数据表）'!AF82</f>
        <v>0</v>
      </c>
    </row>
    <row r="33" spans="1:19" ht="22.05" customHeight="1" x14ac:dyDescent="0.25">
      <c r="A33" s="206"/>
      <c r="B33" s="209"/>
      <c r="C33" s="88" t="s">
        <v>144</v>
      </c>
      <c r="D33" s="79" t="s">
        <v>103</v>
      </c>
      <c r="E33" s="86"/>
      <c r="F33" s="87">
        <v>0.06</v>
      </c>
      <c r="G33" s="81">
        <f>'收入支出明细表（基础数据表）'!T85</f>
        <v>0</v>
      </c>
      <c r="H33" s="81">
        <f>'收入支出明细表（基础数据表）'!U85</f>
        <v>0</v>
      </c>
      <c r="I33" s="81">
        <f>'收入支出明细表（基础数据表）'!V85</f>
        <v>0</v>
      </c>
      <c r="J33" s="81">
        <f>'收入支出明细表（基础数据表）'!W85</f>
        <v>0</v>
      </c>
      <c r="K33" s="81">
        <f>'收入支出明细表（基础数据表）'!X85</f>
        <v>0</v>
      </c>
      <c r="L33" s="81">
        <f>'收入支出明细表（基础数据表）'!Y85</f>
        <v>0</v>
      </c>
      <c r="M33" s="81">
        <f>'收入支出明细表（基础数据表）'!Z85</f>
        <v>0</v>
      </c>
      <c r="N33" s="81">
        <f>'收入支出明细表（基础数据表）'!AA85</f>
        <v>0</v>
      </c>
      <c r="O33" s="81">
        <f>'收入支出明细表（基础数据表）'!AB85</f>
        <v>0</v>
      </c>
      <c r="P33" s="81">
        <f>'收入支出明细表（基础数据表）'!AC85</f>
        <v>0</v>
      </c>
      <c r="Q33" s="81">
        <f>'收入支出明细表（基础数据表）'!AD85</f>
        <v>0</v>
      </c>
      <c r="R33" s="81">
        <f>'收入支出明细表（基础数据表）'!AE85</f>
        <v>0</v>
      </c>
      <c r="S33" s="81">
        <f>'收入支出明细表（基础数据表）'!AF85</f>
        <v>0</v>
      </c>
    </row>
    <row r="34" spans="1:19" ht="22.05" customHeight="1" x14ac:dyDescent="0.25">
      <c r="A34" s="206"/>
      <c r="B34" s="209"/>
      <c r="C34" s="88" t="s">
        <v>145</v>
      </c>
      <c r="D34" s="79" t="s">
        <v>103</v>
      </c>
      <c r="E34" s="86"/>
      <c r="F34" s="87">
        <v>0.06</v>
      </c>
      <c r="G34" s="81">
        <f>'收入支出明细表（基础数据表）'!T88</f>
        <v>0</v>
      </c>
      <c r="H34" s="81">
        <f>'收入支出明细表（基础数据表）'!U88</f>
        <v>0</v>
      </c>
      <c r="I34" s="81">
        <f>'收入支出明细表（基础数据表）'!V88</f>
        <v>0</v>
      </c>
      <c r="J34" s="81">
        <f>'收入支出明细表（基础数据表）'!W88</f>
        <v>0</v>
      </c>
      <c r="K34" s="81">
        <f>'收入支出明细表（基础数据表）'!X88</f>
        <v>0</v>
      </c>
      <c r="L34" s="81">
        <f>'收入支出明细表（基础数据表）'!Y88</f>
        <v>0</v>
      </c>
      <c r="M34" s="81">
        <f>'收入支出明细表（基础数据表）'!Z88</f>
        <v>0</v>
      </c>
      <c r="N34" s="81">
        <f>'收入支出明细表（基础数据表）'!AA88</f>
        <v>0</v>
      </c>
      <c r="O34" s="81">
        <f>'收入支出明细表（基础数据表）'!AB88</f>
        <v>0</v>
      </c>
      <c r="P34" s="81">
        <f>'收入支出明细表（基础数据表）'!AC88</f>
        <v>0</v>
      </c>
      <c r="Q34" s="81">
        <f>'收入支出明细表（基础数据表）'!AD88</f>
        <v>0</v>
      </c>
      <c r="R34" s="81">
        <f>'收入支出明细表（基础数据表）'!AE88</f>
        <v>0</v>
      </c>
      <c r="S34" s="81">
        <f>'收入支出明细表（基础数据表）'!AF88</f>
        <v>0</v>
      </c>
    </row>
    <row r="35" spans="1:19" ht="22.05" customHeight="1" x14ac:dyDescent="0.25">
      <c r="A35" s="206"/>
      <c r="B35" s="209"/>
      <c r="C35" s="88" t="s">
        <v>146</v>
      </c>
      <c r="D35" s="79" t="s">
        <v>103</v>
      </c>
      <c r="E35" s="86"/>
      <c r="F35" s="87">
        <v>0.06</v>
      </c>
      <c r="G35" s="81">
        <f>'收入支出明细表（基础数据表）'!T91</f>
        <v>0</v>
      </c>
      <c r="H35" s="81">
        <f>'收入支出明细表（基础数据表）'!U91</f>
        <v>0</v>
      </c>
      <c r="I35" s="81">
        <f>'收入支出明细表（基础数据表）'!V91</f>
        <v>0</v>
      </c>
      <c r="J35" s="81">
        <f>'收入支出明细表（基础数据表）'!W91</f>
        <v>0</v>
      </c>
      <c r="K35" s="81">
        <f>'收入支出明细表（基础数据表）'!X91</f>
        <v>0</v>
      </c>
      <c r="L35" s="81">
        <f>'收入支出明细表（基础数据表）'!Y91</f>
        <v>0</v>
      </c>
      <c r="M35" s="81">
        <f>'收入支出明细表（基础数据表）'!Z91</f>
        <v>0</v>
      </c>
      <c r="N35" s="81">
        <f>'收入支出明细表（基础数据表）'!AA91</f>
        <v>0</v>
      </c>
      <c r="O35" s="81">
        <f>'收入支出明细表（基础数据表）'!AB91</f>
        <v>0</v>
      </c>
      <c r="P35" s="81">
        <f>'收入支出明细表（基础数据表）'!AC91</f>
        <v>0</v>
      </c>
      <c r="Q35" s="81">
        <f>'收入支出明细表（基础数据表）'!AD91</f>
        <v>0</v>
      </c>
      <c r="R35" s="81">
        <f>'收入支出明细表（基础数据表）'!AE91</f>
        <v>0</v>
      </c>
      <c r="S35" s="81">
        <f>'收入支出明细表（基础数据表）'!AF91</f>
        <v>0</v>
      </c>
    </row>
    <row r="36" spans="1:19" ht="22.05" customHeight="1" x14ac:dyDescent="0.25">
      <c r="A36" s="206"/>
      <c r="B36" s="209"/>
      <c r="C36" s="86" t="s">
        <v>125</v>
      </c>
      <c r="D36" s="86"/>
      <c r="E36" s="86"/>
      <c r="F36" s="87"/>
      <c r="G36" s="81">
        <f>'收入支出明细表（基础数据表）'!T94</f>
        <v>0</v>
      </c>
      <c r="H36" s="81">
        <f>'收入支出明细表（基础数据表）'!U94</f>
        <v>0</v>
      </c>
      <c r="I36" s="81">
        <f>'收入支出明细表（基础数据表）'!V94</f>
        <v>0</v>
      </c>
      <c r="J36" s="81">
        <f>'收入支出明细表（基础数据表）'!W94</f>
        <v>0</v>
      </c>
      <c r="K36" s="81">
        <f>'收入支出明细表（基础数据表）'!X94</f>
        <v>0</v>
      </c>
      <c r="L36" s="81">
        <f>'收入支出明细表（基础数据表）'!Y94</f>
        <v>0</v>
      </c>
      <c r="M36" s="81">
        <f>'收入支出明细表（基础数据表）'!Z94</f>
        <v>0</v>
      </c>
      <c r="N36" s="81">
        <f>'收入支出明细表（基础数据表）'!AA94</f>
        <v>0</v>
      </c>
      <c r="O36" s="81">
        <f>'收入支出明细表（基础数据表）'!AB94</f>
        <v>0</v>
      </c>
      <c r="P36" s="81">
        <f>'收入支出明细表（基础数据表）'!AC94</f>
        <v>0</v>
      </c>
      <c r="Q36" s="81">
        <f>'收入支出明细表（基础数据表）'!AD94</f>
        <v>0</v>
      </c>
      <c r="R36" s="81">
        <f>'收入支出明细表（基础数据表）'!AE94</f>
        <v>0</v>
      </c>
      <c r="S36" s="81">
        <f>'收入支出明细表（基础数据表）'!AF94</f>
        <v>0</v>
      </c>
    </row>
    <row r="37" spans="1:19" ht="22.05" customHeight="1" x14ac:dyDescent="0.25">
      <c r="A37" s="206"/>
      <c r="B37" s="209"/>
      <c r="C37" s="86"/>
      <c r="D37" s="86"/>
      <c r="E37" s="86"/>
      <c r="F37" s="87"/>
      <c r="G37" s="81">
        <f>'收入支出明细表（基础数据表）'!T95</f>
        <v>0</v>
      </c>
      <c r="H37" s="81">
        <f>'收入支出明细表（基础数据表）'!U95</f>
        <v>0</v>
      </c>
      <c r="I37" s="81">
        <f>'收入支出明细表（基础数据表）'!V95</f>
        <v>0</v>
      </c>
      <c r="J37" s="81">
        <f>'收入支出明细表（基础数据表）'!W95</f>
        <v>0</v>
      </c>
      <c r="K37" s="81">
        <f>'收入支出明细表（基础数据表）'!X95</f>
        <v>0</v>
      </c>
      <c r="L37" s="81">
        <f>'收入支出明细表（基础数据表）'!Y95</f>
        <v>0</v>
      </c>
      <c r="M37" s="81">
        <f>'收入支出明细表（基础数据表）'!Z95</f>
        <v>0</v>
      </c>
      <c r="N37" s="81">
        <f>'收入支出明细表（基础数据表）'!AA95</f>
        <v>0</v>
      </c>
      <c r="O37" s="81">
        <f>'收入支出明细表（基础数据表）'!AB95</f>
        <v>0</v>
      </c>
      <c r="P37" s="81">
        <f>'收入支出明细表（基础数据表）'!AC95</f>
        <v>0</v>
      </c>
      <c r="Q37" s="81">
        <f>'收入支出明细表（基础数据表）'!AD95</f>
        <v>0</v>
      </c>
      <c r="R37" s="81">
        <f>'收入支出明细表（基础数据表）'!AE95</f>
        <v>0</v>
      </c>
      <c r="S37" s="81">
        <f>'收入支出明细表（基础数据表）'!AF95</f>
        <v>0</v>
      </c>
    </row>
    <row r="38" spans="1:19" ht="24" customHeight="1" x14ac:dyDescent="0.25">
      <c r="A38" s="206" t="s">
        <v>147</v>
      </c>
      <c r="B38" s="278" t="s">
        <v>148</v>
      </c>
      <c r="C38" s="278"/>
      <c r="D38" s="79" t="s">
        <v>149</v>
      </c>
      <c r="E38" s="86"/>
      <c r="F38" s="87"/>
      <c r="G38" s="81">
        <f>'收入支出明细表（基础数据表）'!T96</f>
        <v>0</v>
      </c>
      <c r="H38" s="81">
        <f>'收入支出明细表（基础数据表）'!U96</f>
        <v>0</v>
      </c>
      <c r="I38" s="81">
        <f>'收入支出明细表（基础数据表）'!V96</f>
        <v>0</v>
      </c>
      <c r="J38" s="81">
        <f>'收入支出明细表（基础数据表）'!W96</f>
        <v>0</v>
      </c>
      <c r="K38" s="81">
        <f>'收入支出明细表（基础数据表）'!X96</f>
        <v>0</v>
      </c>
      <c r="L38" s="81">
        <f>'收入支出明细表（基础数据表）'!Y96</f>
        <v>0</v>
      </c>
      <c r="M38" s="81">
        <f>'收入支出明细表（基础数据表）'!Z96</f>
        <v>0</v>
      </c>
      <c r="N38" s="81">
        <f>'收入支出明细表（基础数据表）'!AA96</f>
        <v>0</v>
      </c>
      <c r="O38" s="81">
        <f>'收入支出明细表（基础数据表）'!AB96</f>
        <v>0</v>
      </c>
      <c r="P38" s="81">
        <f>'收入支出明细表（基础数据表）'!AC96</f>
        <v>0</v>
      </c>
      <c r="Q38" s="81">
        <f>'收入支出明细表（基础数据表）'!AD96</f>
        <v>0</v>
      </c>
      <c r="R38" s="81">
        <f>'收入支出明细表（基础数据表）'!AE96</f>
        <v>0</v>
      </c>
      <c r="S38" s="81">
        <f>'收入支出明细表（基础数据表）'!AF96</f>
        <v>0</v>
      </c>
    </row>
    <row r="39" spans="1:19" ht="24" customHeight="1" x14ac:dyDescent="0.25">
      <c r="A39" s="206"/>
      <c r="B39" s="206" t="s">
        <v>152</v>
      </c>
      <c r="C39" s="89" t="s">
        <v>153</v>
      </c>
      <c r="D39" s="79" t="s">
        <v>149</v>
      </c>
      <c r="E39" s="80"/>
      <c r="F39" s="80"/>
      <c r="G39" s="81">
        <f>'收入支出明细表（基础数据表）'!T99</f>
        <v>0</v>
      </c>
      <c r="H39" s="81">
        <f>'收入支出明细表（基础数据表）'!U99</f>
        <v>0</v>
      </c>
      <c r="I39" s="81">
        <f>'收入支出明细表（基础数据表）'!V99</f>
        <v>0</v>
      </c>
      <c r="J39" s="81">
        <f>'收入支出明细表（基础数据表）'!W99</f>
        <v>0</v>
      </c>
      <c r="K39" s="81">
        <f>'收入支出明细表（基础数据表）'!X99</f>
        <v>0</v>
      </c>
      <c r="L39" s="81">
        <f>'收入支出明细表（基础数据表）'!Y99</f>
        <v>0</v>
      </c>
      <c r="M39" s="81">
        <f>'收入支出明细表（基础数据表）'!Z99</f>
        <v>0</v>
      </c>
      <c r="N39" s="81">
        <f>'收入支出明细表（基础数据表）'!AA99</f>
        <v>0</v>
      </c>
      <c r="O39" s="81">
        <f>'收入支出明细表（基础数据表）'!AB99</f>
        <v>0</v>
      </c>
      <c r="P39" s="81">
        <f>'收入支出明细表（基础数据表）'!AC99</f>
        <v>0</v>
      </c>
      <c r="Q39" s="81">
        <f>'收入支出明细表（基础数据表）'!AD99</f>
        <v>0</v>
      </c>
      <c r="R39" s="81">
        <f>'收入支出明细表（基础数据表）'!AE99</f>
        <v>0</v>
      </c>
      <c r="S39" s="81">
        <f>'收入支出明细表（基础数据表）'!AF99</f>
        <v>0</v>
      </c>
    </row>
    <row r="40" spans="1:19" ht="24" customHeight="1" x14ac:dyDescent="0.25">
      <c r="A40" s="206"/>
      <c r="B40" s="206"/>
      <c r="C40" s="86" t="s">
        <v>154</v>
      </c>
      <c r="D40" s="79" t="s">
        <v>149</v>
      </c>
      <c r="E40" s="86"/>
      <c r="F40" s="87">
        <v>0.13</v>
      </c>
      <c r="G40" s="81">
        <f>'收入支出明细表（基础数据表）'!T102</f>
        <v>0</v>
      </c>
      <c r="H40" s="81">
        <f>'收入支出明细表（基础数据表）'!U102</f>
        <v>0</v>
      </c>
      <c r="I40" s="81">
        <f>'收入支出明细表（基础数据表）'!V102</f>
        <v>0</v>
      </c>
      <c r="J40" s="81">
        <f>'收入支出明细表（基础数据表）'!W102</f>
        <v>0</v>
      </c>
      <c r="K40" s="81">
        <f>'收入支出明细表（基础数据表）'!X102</f>
        <v>0</v>
      </c>
      <c r="L40" s="81">
        <f>'收入支出明细表（基础数据表）'!Y102</f>
        <v>0</v>
      </c>
      <c r="M40" s="81">
        <f>'收入支出明细表（基础数据表）'!Z102</f>
        <v>0</v>
      </c>
      <c r="N40" s="81">
        <f>'收入支出明细表（基础数据表）'!AA102</f>
        <v>0</v>
      </c>
      <c r="O40" s="81">
        <f>'收入支出明细表（基础数据表）'!AB102</f>
        <v>0</v>
      </c>
      <c r="P40" s="81">
        <f>'收入支出明细表（基础数据表）'!AC102</f>
        <v>0</v>
      </c>
      <c r="Q40" s="81">
        <f>'收入支出明细表（基础数据表）'!AD102</f>
        <v>0</v>
      </c>
      <c r="R40" s="81">
        <f>'收入支出明细表（基础数据表）'!AE102</f>
        <v>0</v>
      </c>
      <c r="S40" s="81">
        <f>'收入支出明细表（基础数据表）'!AF102</f>
        <v>0</v>
      </c>
    </row>
    <row r="41" spans="1:19" ht="22.05" customHeight="1" x14ac:dyDescent="0.25">
      <c r="A41" s="206"/>
      <c r="B41" s="206"/>
      <c r="C41" s="88" t="s">
        <v>156</v>
      </c>
      <c r="D41" s="79" t="s">
        <v>149</v>
      </c>
      <c r="E41" s="86"/>
      <c r="F41" s="87">
        <v>0.06</v>
      </c>
      <c r="G41" s="81">
        <f>'收入支出明细表（基础数据表）'!T105</f>
        <v>0</v>
      </c>
      <c r="H41" s="81">
        <f>'收入支出明细表（基础数据表）'!U105</f>
        <v>0</v>
      </c>
      <c r="I41" s="81">
        <f>'收入支出明细表（基础数据表）'!V105</f>
        <v>0</v>
      </c>
      <c r="J41" s="81">
        <f>'收入支出明细表（基础数据表）'!W105</f>
        <v>0</v>
      </c>
      <c r="K41" s="81">
        <f>'收入支出明细表（基础数据表）'!X105</f>
        <v>0</v>
      </c>
      <c r="L41" s="81">
        <f>'收入支出明细表（基础数据表）'!Y105</f>
        <v>0</v>
      </c>
      <c r="M41" s="81">
        <f>'收入支出明细表（基础数据表）'!Z105</f>
        <v>0</v>
      </c>
      <c r="N41" s="81">
        <f>'收入支出明细表（基础数据表）'!AA105</f>
        <v>0</v>
      </c>
      <c r="O41" s="81">
        <f>'收入支出明细表（基础数据表）'!AB105</f>
        <v>0</v>
      </c>
      <c r="P41" s="81">
        <f>'收入支出明细表（基础数据表）'!AC105</f>
        <v>0</v>
      </c>
      <c r="Q41" s="81">
        <f>'收入支出明细表（基础数据表）'!AD105</f>
        <v>0</v>
      </c>
      <c r="R41" s="81">
        <f>'收入支出明细表（基础数据表）'!AE105</f>
        <v>0</v>
      </c>
      <c r="S41" s="81">
        <f>'收入支出明细表（基础数据表）'!AF105</f>
        <v>0</v>
      </c>
    </row>
    <row r="42" spans="1:19" ht="22.05" customHeight="1" x14ac:dyDescent="0.25">
      <c r="A42" s="206"/>
      <c r="B42" s="206"/>
      <c r="C42" s="88" t="s">
        <v>158</v>
      </c>
      <c r="D42" s="79" t="s">
        <v>149</v>
      </c>
      <c r="E42" s="86"/>
      <c r="F42" s="87">
        <v>0.06</v>
      </c>
      <c r="G42" s="81">
        <f>'收入支出明细表（基础数据表）'!T108</f>
        <v>0</v>
      </c>
      <c r="H42" s="81">
        <f>'收入支出明细表（基础数据表）'!U108</f>
        <v>0</v>
      </c>
      <c r="I42" s="81">
        <f>'收入支出明细表（基础数据表）'!V108</f>
        <v>0</v>
      </c>
      <c r="J42" s="81">
        <f>'收入支出明细表（基础数据表）'!W108</f>
        <v>0</v>
      </c>
      <c r="K42" s="81">
        <f>'收入支出明细表（基础数据表）'!X108</f>
        <v>0</v>
      </c>
      <c r="L42" s="81">
        <f>'收入支出明细表（基础数据表）'!Y108</f>
        <v>0</v>
      </c>
      <c r="M42" s="81">
        <f>'收入支出明细表（基础数据表）'!Z108</f>
        <v>0</v>
      </c>
      <c r="N42" s="81">
        <f>'收入支出明细表（基础数据表）'!AA108</f>
        <v>0</v>
      </c>
      <c r="O42" s="81">
        <f>'收入支出明细表（基础数据表）'!AB108</f>
        <v>0</v>
      </c>
      <c r="P42" s="81">
        <f>'收入支出明细表（基础数据表）'!AC108</f>
        <v>0</v>
      </c>
      <c r="Q42" s="81">
        <f>'收入支出明细表（基础数据表）'!AD108</f>
        <v>0</v>
      </c>
      <c r="R42" s="81">
        <f>'收入支出明细表（基础数据表）'!AE108</f>
        <v>0</v>
      </c>
      <c r="S42" s="81">
        <f>'收入支出明细表（基础数据表）'!AF108</f>
        <v>0</v>
      </c>
    </row>
    <row r="43" spans="1:19" ht="22.05" customHeight="1" x14ac:dyDescent="0.25">
      <c r="A43" s="206"/>
      <c r="B43" s="206"/>
      <c r="C43" s="88" t="s">
        <v>160</v>
      </c>
      <c r="D43" s="79" t="s">
        <v>149</v>
      </c>
      <c r="E43" s="86"/>
      <c r="F43" s="87">
        <v>0.06</v>
      </c>
      <c r="G43" s="81">
        <f>'收入支出明细表（基础数据表）'!T111</f>
        <v>0</v>
      </c>
      <c r="H43" s="81">
        <f>'收入支出明细表（基础数据表）'!U111</f>
        <v>0</v>
      </c>
      <c r="I43" s="81">
        <f>'收入支出明细表（基础数据表）'!V111</f>
        <v>0</v>
      </c>
      <c r="J43" s="81">
        <f>'收入支出明细表（基础数据表）'!W111</f>
        <v>0</v>
      </c>
      <c r="K43" s="81">
        <f>'收入支出明细表（基础数据表）'!X111</f>
        <v>0</v>
      </c>
      <c r="L43" s="81">
        <f>'收入支出明细表（基础数据表）'!Y111</f>
        <v>0</v>
      </c>
      <c r="M43" s="81">
        <f>'收入支出明细表（基础数据表）'!Z111</f>
        <v>0</v>
      </c>
      <c r="N43" s="81">
        <f>'收入支出明细表（基础数据表）'!AA111</f>
        <v>0</v>
      </c>
      <c r="O43" s="81">
        <f>'收入支出明细表（基础数据表）'!AB111</f>
        <v>0</v>
      </c>
      <c r="P43" s="81">
        <f>'收入支出明细表（基础数据表）'!AC111</f>
        <v>0</v>
      </c>
      <c r="Q43" s="81">
        <f>'收入支出明细表（基础数据表）'!AD111</f>
        <v>0</v>
      </c>
      <c r="R43" s="81">
        <f>'收入支出明细表（基础数据表）'!AE111</f>
        <v>0</v>
      </c>
      <c r="S43" s="81">
        <f>'收入支出明细表（基础数据表）'!AF111</f>
        <v>0</v>
      </c>
    </row>
    <row r="44" spans="1:19" ht="22.05" customHeight="1" x14ac:dyDescent="0.25">
      <c r="A44" s="206"/>
      <c r="B44" s="206"/>
      <c r="C44" s="88" t="s">
        <v>161</v>
      </c>
      <c r="D44" s="79" t="s">
        <v>149</v>
      </c>
      <c r="E44" s="86"/>
      <c r="F44" s="87">
        <v>0.09</v>
      </c>
      <c r="G44" s="81">
        <f>'收入支出明细表（基础数据表）'!T114</f>
        <v>0</v>
      </c>
      <c r="H44" s="81">
        <f>'收入支出明细表（基础数据表）'!U114</f>
        <v>0</v>
      </c>
      <c r="I44" s="81">
        <f>'收入支出明细表（基础数据表）'!V114</f>
        <v>0</v>
      </c>
      <c r="J44" s="81">
        <f>'收入支出明细表（基础数据表）'!W114</f>
        <v>0</v>
      </c>
      <c r="K44" s="81">
        <f>'收入支出明细表（基础数据表）'!X114</f>
        <v>0</v>
      </c>
      <c r="L44" s="81">
        <f>'收入支出明细表（基础数据表）'!Y114</f>
        <v>0</v>
      </c>
      <c r="M44" s="81">
        <f>'收入支出明细表（基础数据表）'!Z114</f>
        <v>0</v>
      </c>
      <c r="N44" s="81">
        <f>'收入支出明细表（基础数据表）'!AA114</f>
        <v>0</v>
      </c>
      <c r="O44" s="81">
        <f>'收入支出明细表（基础数据表）'!AB114</f>
        <v>0</v>
      </c>
      <c r="P44" s="81">
        <f>'收入支出明细表（基础数据表）'!AC114</f>
        <v>0</v>
      </c>
      <c r="Q44" s="81">
        <f>'收入支出明细表（基础数据表）'!AD114</f>
        <v>0</v>
      </c>
      <c r="R44" s="81">
        <f>'收入支出明细表（基础数据表）'!AE114</f>
        <v>0</v>
      </c>
      <c r="S44" s="81">
        <f>'收入支出明细表（基础数据表）'!AF114</f>
        <v>0</v>
      </c>
    </row>
    <row r="45" spans="1:19" ht="22.05" customHeight="1" x14ac:dyDescent="0.25">
      <c r="A45" s="206"/>
      <c r="B45" s="206"/>
      <c r="C45" s="88" t="s">
        <v>163</v>
      </c>
      <c r="D45" s="79" t="s">
        <v>149</v>
      </c>
      <c r="E45" s="86"/>
      <c r="F45" s="87">
        <v>0.09</v>
      </c>
      <c r="G45" s="81">
        <f>'收入支出明细表（基础数据表）'!T117</f>
        <v>0</v>
      </c>
      <c r="H45" s="81">
        <f>'收入支出明细表（基础数据表）'!U117</f>
        <v>0</v>
      </c>
      <c r="I45" s="81">
        <f>'收入支出明细表（基础数据表）'!V117</f>
        <v>0</v>
      </c>
      <c r="J45" s="81">
        <f>'收入支出明细表（基础数据表）'!W117</f>
        <v>0</v>
      </c>
      <c r="K45" s="81">
        <f>'收入支出明细表（基础数据表）'!X117</f>
        <v>0</v>
      </c>
      <c r="L45" s="81">
        <f>'收入支出明细表（基础数据表）'!Y117</f>
        <v>0</v>
      </c>
      <c r="M45" s="81">
        <f>'收入支出明细表（基础数据表）'!Z117</f>
        <v>0</v>
      </c>
      <c r="N45" s="81">
        <f>'收入支出明细表（基础数据表）'!AA117</f>
        <v>0</v>
      </c>
      <c r="O45" s="81">
        <f>'收入支出明细表（基础数据表）'!AB117</f>
        <v>0</v>
      </c>
      <c r="P45" s="81">
        <f>'收入支出明细表（基础数据表）'!AC117</f>
        <v>0</v>
      </c>
      <c r="Q45" s="81">
        <f>'收入支出明细表（基础数据表）'!AD117</f>
        <v>0</v>
      </c>
      <c r="R45" s="81">
        <f>'收入支出明细表（基础数据表）'!AE117</f>
        <v>0</v>
      </c>
      <c r="S45" s="81">
        <f>'收入支出明细表（基础数据表）'!AF117</f>
        <v>0</v>
      </c>
    </row>
    <row r="46" spans="1:19" ht="22.05" customHeight="1" x14ac:dyDescent="0.25">
      <c r="A46" s="206"/>
      <c r="B46" s="206"/>
      <c r="C46" s="86" t="s">
        <v>125</v>
      </c>
      <c r="D46" s="86"/>
      <c r="E46" s="86"/>
      <c r="F46" s="87"/>
      <c r="G46" s="81">
        <f>'收入支出明细表（基础数据表）'!T120</f>
        <v>0</v>
      </c>
      <c r="H46" s="81">
        <f>'收入支出明细表（基础数据表）'!U120</f>
        <v>0</v>
      </c>
      <c r="I46" s="81">
        <f>'收入支出明细表（基础数据表）'!V120</f>
        <v>0</v>
      </c>
      <c r="J46" s="81">
        <f>'收入支出明细表（基础数据表）'!W120</f>
        <v>0</v>
      </c>
      <c r="K46" s="81">
        <f>'收入支出明细表（基础数据表）'!X120</f>
        <v>0</v>
      </c>
      <c r="L46" s="81">
        <f>'收入支出明细表（基础数据表）'!Y120</f>
        <v>0</v>
      </c>
      <c r="M46" s="81">
        <f>'收入支出明细表（基础数据表）'!Z120</f>
        <v>0</v>
      </c>
      <c r="N46" s="81">
        <f>'收入支出明细表（基础数据表）'!AA120</f>
        <v>0</v>
      </c>
      <c r="O46" s="81">
        <f>'收入支出明细表（基础数据表）'!AB120</f>
        <v>0</v>
      </c>
      <c r="P46" s="81">
        <f>'收入支出明细表（基础数据表）'!AC120</f>
        <v>0</v>
      </c>
      <c r="Q46" s="81">
        <f>'收入支出明细表（基础数据表）'!AD120</f>
        <v>0</v>
      </c>
      <c r="R46" s="81">
        <f>'收入支出明细表（基础数据表）'!AE120</f>
        <v>0</v>
      </c>
      <c r="S46" s="81">
        <f>'收入支出明细表（基础数据表）'!AF120</f>
        <v>0</v>
      </c>
    </row>
    <row r="47" spans="1:19" ht="22.05" customHeight="1" x14ac:dyDescent="0.25">
      <c r="A47" s="206"/>
      <c r="B47" s="280" t="s">
        <v>166</v>
      </c>
      <c r="C47" s="89" t="s">
        <v>167</v>
      </c>
      <c r="D47" s="79" t="s">
        <v>149</v>
      </c>
      <c r="E47" s="80"/>
      <c r="F47" s="87"/>
      <c r="G47" s="81">
        <f>'收入支出明细表（基础数据表）'!T121</f>
        <v>0</v>
      </c>
      <c r="H47" s="81">
        <f>'收入支出明细表（基础数据表）'!U121</f>
        <v>0</v>
      </c>
      <c r="I47" s="81">
        <f>'收入支出明细表（基础数据表）'!V121</f>
        <v>0</v>
      </c>
      <c r="J47" s="81">
        <f>'收入支出明细表（基础数据表）'!W121</f>
        <v>0</v>
      </c>
      <c r="K47" s="81">
        <f>'收入支出明细表（基础数据表）'!X121</f>
        <v>0</v>
      </c>
      <c r="L47" s="81">
        <f>'收入支出明细表（基础数据表）'!Y121</f>
        <v>0</v>
      </c>
      <c r="M47" s="81">
        <f>'收入支出明细表（基础数据表）'!Z121</f>
        <v>0</v>
      </c>
      <c r="N47" s="81">
        <f>'收入支出明细表（基础数据表）'!AA121</f>
        <v>0</v>
      </c>
      <c r="O47" s="81">
        <f>'收入支出明细表（基础数据表）'!AB121</f>
        <v>0</v>
      </c>
      <c r="P47" s="81">
        <f>'收入支出明细表（基础数据表）'!AC121</f>
        <v>0</v>
      </c>
      <c r="Q47" s="81">
        <f>'收入支出明细表（基础数据表）'!AD121</f>
        <v>0</v>
      </c>
      <c r="R47" s="81">
        <f>'收入支出明细表（基础数据表）'!AE121</f>
        <v>0</v>
      </c>
      <c r="S47" s="81">
        <f>'收入支出明细表（基础数据表）'!AF121</f>
        <v>0</v>
      </c>
    </row>
    <row r="48" spans="1:19" ht="22.05" customHeight="1" x14ac:dyDescent="0.25">
      <c r="A48" s="206"/>
      <c r="B48" s="280"/>
      <c r="C48" s="83" t="s">
        <v>154</v>
      </c>
      <c r="D48" s="79" t="s">
        <v>149</v>
      </c>
      <c r="E48" s="80"/>
      <c r="F48" s="87">
        <v>0.13</v>
      </c>
      <c r="G48" s="81">
        <f>'收入支出明细表（基础数据表）'!T124</f>
        <v>0</v>
      </c>
      <c r="H48" s="81">
        <f>'收入支出明细表（基础数据表）'!U124</f>
        <v>0</v>
      </c>
      <c r="I48" s="81">
        <f>'收入支出明细表（基础数据表）'!V124</f>
        <v>0</v>
      </c>
      <c r="J48" s="81">
        <f>'收入支出明细表（基础数据表）'!W124</f>
        <v>0</v>
      </c>
      <c r="K48" s="81">
        <f>'收入支出明细表（基础数据表）'!X124</f>
        <v>0</v>
      </c>
      <c r="L48" s="81">
        <f>'收入支出明细表（基础数据表）'!Y124</f>
        <v>0</v>
      </c>
      <c r="M48" s="81">
        <f>'收入支出明细表（基础数据表）'!Z124</f>
        <v>0</v>
      </c>
      <c r="N48" s="81">
        <f>'收入支出明细表（基础数据表）'!AA124</f>
        <v>0</v>
      </c>
      <c r="O48" s="81">
        <f>'收入支出明细表（基础数据表）'!AB124</f>
        <v>0</v>
      </c>
      <c r="P48" s="81">
        <f>'收入支出明细表（基础数据表）'!AC124</f>
        <v>0</v>
      </c>
      <c r="Q48" s="81">
        <f>'收入支出明细表（基础数据表）'!AD124</f>
        <v>0</v>
      </c>
      <c r="R48" s="81">
        <f>'收入支出明细表（基础数据表）'!AE124</f>
        <v>0</v>
      </c>
      <c r="S48" s="81">
        <f>'收入支出明细表（基础数据表）'!AF124</f>
        <v>0</v>
      </c>
    </row>
    <row r="49" spans="1:19" ht="22.05" customHeight="1" x14ac:dyDescent="0.25">
      <c r="A49" s="206"/>
      <c r="B49" s="280"/>
      <c r="C49" s="83" t="s">
        <v>156</v>
      </c>
      <c r="D49" s="79" t="s">
        <v>149</v>
      </c>
      <c r="E49" s="80"/>
      <c r="F49" s="87">
        <v>0.06</v>
      </c>
      <c r="G49" s="81">
        <f>'收入支出明细表（基础数据表）'!T127</f>
        <v>0</v>
      </c>
      <c r="H49" s="81">
        <f>'收入支出明细表（基础数据表）'!U127</f>
        <v>0</v>
      </c>
      <c r="I49" s="81">
        <f>'收入支出明细表（基础数据表）'!V127</f>
        <v>0</v>
      </c>
      <c r="J49" s="81">
        <f>'收入支出明细表（基础数据表）'!W127</f>
        <v>0</v>
      </c>
      <c r="K49" s="81">
        <f>'收入支出明细表（基础数据表）'!X127</f>
        <v>0</v>
      </c>
      <c r="L49" s="81">
        <f>'收入支出明细表（基础数据表）'!Y127</f>
        <v>0</v>
      </c>
      <c r="M49" s="81">
        <f>'收入支出明细表（基础数据表）'!Z127</f>
        <v>0</v>
      </c>
      <c r="N49" s="81">
        <f>'收入支出明细表（基础数据表）'!AA127</f>
        <v>0</v>
      </c>
      <c r="O49" s="81">
        <f>'收入支出明细表（基础数据表）'!AB127</f>
        <v>0</v>
      </c>
      <c r="P49" s="81">
        <f>'收入支出明细表（基础数据表）'!AC127</f>
        <v>0</v>
      </c>
      <c r="Q49" s="81">
        <f>'收入支出明细表（基础数据表）'!AD127</f>
        <v>0</v>
      </c>
      <c r="R49" s="81">
        <f>'收入支出明细表（基础数据表）'!AE127</f>
        <v>0</v>
      </c>
      <c r="S49" s="81">
        <f>'收入支出明细表（基础数据表）'!AF127</f>
        <v>0</v>
      </c>
    </row>
    <row r="50" spans="1:19" ht="22.05" customHeight="1" x14ac:dyDescent="0.25">
      <c r="A50" s="206"/>
      <c r="B50" s="280"/>
      <c r="C50" s="83" t="s">
        <v>169</v>
      </c>
      <c r="D50" s="79" t="s">
        <v>149</v>
      </c>
      <c r="E50" s="86"/>
      <c r="F50" s="87">
        <v>0.09</v>
      </c>
      <c r="G50" s="81">
        <f>'收入支出明细表（基础数据表）'!T130</f>
        <v>0</v>
      </c>
      <c r="H50" s="81">
        <f>'收入支出明细表（基础数据表）'!U130</f>
        <v>0</v>
      </c>
      <c r="I50" s="81">
        <f>'收入支出明细表（基础数据表）'!V130</f>
        <v>0</v>
      </c>
      <c r="J50" s="81">
        <f>'收入支出明细表（基础数据表）'!W130</f>
        <v>0</v>
      </c>
      <c r="K50" s="81">
        <f>'收入支出明细表（基础数据表）'!X130</f>
        <v>0</v>
      </c>
      <c r="L50" s="81">
        <f>'收入支出明细表（基础数据表）'!Y130</f>
        <v>0</v>
      </c>
      <c r="M50" s="81">
        <f>'收入支出明细表（基础数据表）'!Z130</f>
        <v>0</v>
      </c>
      <c r="N50" s="81">
        <f>'收入支出明细表（基础数据表）'!AA130</f>
        <v>0</v>
      </c>
      <c r="O50" s="81">
        <f>'收入支出明细表（基础数据表）'!AB130</f>
        <v>0</v>
      </c>
      <c r="P50" s="81">
        <f>'收入支出明细表（基础数据表）'!AC130</f>
        <v>0</v>
      </c>
      <c r="Q50" s="81">
        <f>'收入支出明细表（基础数据表）'!AD130</f>
        <v>0</v>
      </c>
      <c r="R50" s="81">
        <f>'收入支出明细表（基础数据表）'!AE130</f>
        <v>0</v>
      </c>
      <c r="S50" s="81">
        <f>'收入支出明细表（基础数据表）'!AF130</f>
        <v>0</v>
      </c>
    </row>
    <row r="51" spans="1:19" ht="22.05" customHeight="1" x14ac:dyDescent="0.25">
      <c r="A51" s="206"/>
      <c r="B51" s="280"/>
      <c r="C51" s="83" t="s">
        <v>170</v>
      </c>
      <c r="D51" s="79" t="s">
        <v>149</v>
      </c>
      <c r="E51" s="86"/>
      <c r="F51" s="87">
        <v>0.06</v>
      </c>
      <c r="G51" s="81">
        <f>'收入支出明细表（基础数据表）'!T133</f>
        <v>0</v>
      </c>
      <c r="H51" s="81">
        <f>'收入支出明细表（基础数据表）'!U133</f>
        <v>0</v>
      </c>
      <c r="I51" s="81">
        <f>'收入支出明细表（基础数据表）'!V133</f>
        <v>0</v>
      </c>
      <c r="J51" s="81">
        <f>'收入支出明细表（基础数据表）'!W133</f>
        <v>0</v>
      </c>
      <c r="K51" s="81">
        <f>'收入支出明细表（基础数据表）'!X133</f>
        <v>0</v>
      </c>
      <c r="L51" s="81">
        <f>'收入支出明细表（基础数据表）'!Y133</f>
        <v>0</v>
      </c>
      <c r="M51" s="81">
        <f>'收入支出明细表（基础数据表）'!Z133</f>
        <v>0</v>
      </c>
      <c r="N51" s="81">
        <f>'收入支出明细表（基础数据表）'!AA133</f>
        <v>0</v>
      </c>
      <c r="O51" s="81">
        <f>'收入支出明细表（基础数据表）'!AB133</f>
        <v>0</v>
      </c>
      <c r="P51" s="81">
        <f>'收入支出明细表（基础数据表）'!AC133</f>
        <v>0</v>
      </c>
      <c r="Q51" s="81">
        <f>'收入支出明细表（基础数据表）'!AD133</f>
        <v>0</v>
      </c>
      <c r="R51" s="81">
        <f>'收入支出明细表（基础数据表）'!AE133</f>
        <v>0</v>
      </c>
      <c r="S51" s="81">
        <f>'收入支出明细表（基础数据表）'!AF133</f>
        <v>0</v>
      </c>
    </row>
    <row r="52" spans="1:19" ht="22.05" customHeight="1" x14ac:dyDescent="0.25">
      <c r="A52" s="206"/>
      <c r="B52" s="280"/>
      <c r="C52" s="83" t="s">
        <v>171</v>
      </c>
      <c r="D52" s="79" t="s">
        <v>149</v>
      </c>
      <c r="E52" s="86"/>
      <c r="F52" s="87">
        <v>0.09</v>
      </c>
      <c r="G52" s="81">
        <f>'收入支出明细表（基础数据表）'!T136</f>
        <v>0</v>
      </c>
      <c r="H52" s="81">
        <f>'收入支出明细表（基础数据表）'!U136</f>
        <v>0</v>
      </c>
      <c r="I52" s="81">
        <f>'收入支出明细表（基础数据表）'!V136</f>
        <v>0</v>
      </c>
      <c r="J52" s="81">
        <f>'收入支出明细表（基础数据表）'!W136</f>
        <v>0</v>
      </c>
      <c r="K52" s="81">
        <f>'收入支出明细表（基础数据表）'!X136</f>
        <v>0</v>
      </c>
      <c r="L52" s="81">
        <f>'收入支出明细表（基础数据表）'!Y136</f>
        <v>0</v>
      </c>
      <c r="M52" s="81">
        <f>'收入支出明细表（基础数据表）'!Z136</f>
        <v>0</v>
      </c>
      <c r="N52" s="81">
        <f>'收入支出明细表（基础数据表）'!AA136</f>
        <v>0</v>
      </c>
      <c r="O52" s="81">
        <f>'收入支出明细表（基础数据表）'!AB136</f>
        <v>0</v>
      </c>
      <c r="P52" s="81">
        <f>'收入支出明细表（基础数据表）'!AC136</f>
        <v>0</v>
      </c>
      <c r="Q52" s="81">
        <f>'收入支出明细表（基础数据表）'!AD136</f>
        <v>0</v>
      </c>
      <c r="R52" s="81">
        <f>'收入支出明细表（基础数据表）'!AE136</f>
        <v>0</v>
      </c>
      <c r="S52" s="81">
        <f>'收入支出明细表（基础数据表）'!AF136</f>
        <v>0</v>
      </c>
    </row>
    <row r="53" spans="1:19" ht="22.05" customHeight="1" x14ac:dyDescent="0.25">
      <c r="A53" s="206"/>
      <c r="B53" s="280"/>
      <c r="C53" s="79" t="s">
        <v>125</v>
      </c>
      <c r="D53" s="86"/>
      <c r="E53" s="86"/>
      <c r="F53" s="87"/>
      <c r="G53" s="81">
        <f>'收入支出明细表（基础数据表）'!T139</f>
        <v>0</v>
      </c>
      <c r="H53" s="81">
        <f>'收入支出明细表（基础数据表）'!U139</f>
        <v>0</v>
      </c>
      <c r="I53" s="81">
        <f>'收入支出明细表（基础数据表）'!V139</f>
        <v>0</v>
      </c>
      <c r="J53" s="81">
        <f>'收入支出明细表（基础数据表）'!W139</f>
        <v>0</v>
      </c>
      <c r="K53" s="81">
        <f>'收入支出明细表（基础数据表）'!X139</f>
        <v>0</v>
      </c>
      <c r="L53" s="81">
        <f>'收入支出明细表（基础数据表）'!Y139</f>
        <v>0</v>
      </c>
      <c r="M53" s="81">
        <f>'收入支出明细表（基础数据表）'!Z139</f>
        <v>0</v>
      </c>
      <c r="N53" s="81">
        <f>'收入支出明细表（基础数据表）'!AA139</f>
        <v>0</v>
      </c>
      <c r="O53" s="81">
        <f>'收入支出明细表（基础数据表）'!AB139</f>
        <v>0</v>
      </c>
      <c r="P53" s="81">
        <f>'收入支出明细表（基础数据表）'!AC139</f>
        <v>0</v>
      </c>
      <c r="Q53" s="81">
        <f>'收入支出明细表（基础数据表）'!AD139</f>
        <v>0</v>
      </c>
      <c r="R53" s="81">
        <f>'收入支出明细表（基础数据表）'!AE139</f>
        <v>0</v>
      </c>
      <c r="S53" s="81">
        <f>'收入支出明细表（基础数据表）'!AF139</f>
        <v>0</v>
      </c>
    </row>
    <row r="54" spans="1:19" ht="22.05" customHeight="1" x14ac:dyDescent="0.25">
      <c r="A54" s="206" t="s">
        <v>172</v>
      </c>
      <c r="B54" s="214" t="s">
        <v>173</v>
      </c>
      <c r="C54" s="89" t="s">
        <v>174</v>
      </c>
      <c r="D54" s="79" t="s">
        <v>149</v>
      </c>
      <c r="E54" s="80"/>
      <c r="F54" s="84"/>
      <c r="G54" s="81">
        <f>'收入支出明细表（基础数据表）'!T140</f>
        <v>0</v>
      </c>
      <c r="H54" s="81">
        <f>'收入支出明细表（基础数据表）'!U140</f>
        <v>0</v>
      </c>
      <c r="I54" s="81">
        <f>'收入支出明细表（基础数据表）'!V140</f>
        <v>0</v>
      </c>
      <c r="J54" s="81">
        <f>'收入支出明细表（基础数据表）'!W140</f>
        <v>0</v>
      </c>
      <c r="K54" s="81">
        <f>'收入支出明细表（基础数据表）'!X140</f>
        <v>0</v>
      </c>
      <c r="L54" s="81">
        <f>'收入支出明细表（基础数据表）'!Y140</f>
        <v>0</v>
      </c>
      <c r="M54" s="81">
        <f>'收入支出明细表（基础数据表）'!Z140</f>
        <v>0</v>
      </c>
      <c r="N54" s="81">
        <f>'收入支出明细表（基础数据表）'!AA140</f>
        <v>0</v>
      </c>
      <c r="O54" s="81">
        <f>'收入支出明细表（基础数据表）'!AB140</f>
        <v>0</v>
      </c>
      <c r="P54" s="81">
        <f>'收入支出明细表（基础数据表）'!AC140</f>
        <v>0</v>
      </c>
      <c r="Q54" s="81">
        <f>'收入支出明细表（基础数据表）'!AD140</f>
        <v>0</v>
      </c>
      <c r="R54" s="81">
        <f>'收入支出明细表（基础数据表）'!AE140</f>
        <v>0</v>
      </c>
      <c r="S54" s="81">
        <f>'收入支出明细表（基础数据表）'!AF140</f>
        <v>0</v>
      </c>
    </row>
    <row r="55" spans="1:19" ht="22.05" customHeight="1" x14ac:dyDescent="0.25">
      <c r="A55" s="206"/>
      <c r="B55" s="214"/>
      <c r="C55" s="88" t="s">
        <v>175</v>
      </c>
      <c r="D55" s="79" t="s">
        <v>149</v>
      </c>
      <c r="E55" s="86"/>
      <c r="F55" s="84"/>
      <c r="G55" s="81">
        <f>'收入支出明细表（基础数据表）'!T143</f>
        <v>0</v>
      </c>
      <c r="H55" s="81">
        <f>'收入支出明细表（基础数据表）'!U143</f>
        <v>0</v>
      </c>
      <c r="I55" s="81">
        <f>'收入支出明细表（基础数据表）'!V143</f>
        <v>0</v>
      </c>
      <c r="J55" s="81">
        <f>'收入支出明细表（基础数据表）'!W143</f>
        <v>0</v>
      </c>
      <c r="K55" s="81">
        <f>'收入支出明细表（基础数据表）'!X143</f>
        <v>0</v>
      </c>
      <c r="L55" s="81">
        <f>'收入支出明细表（基础数据表）'!Y143</f>
        <v>0</v>
      </c>
      <c r="M55" s="81">
        <f>'收入支出明细表（基础数据表）'!Z143</f>
        <v>0</v>
      </c>
      <c r="N55" s="81">
        <f>'收入支出明细表（基础数据表）'!AA143</f>
        <v>0</v>
      </c>
      <c r="O55" s="81">
        <f>'收入支出明细表（基础数据表）'!AB143</f>
        <v>0</v>
      </c>
      <c r="P55" s="81">
        <f>'收入支出明细表（基础数据表）'!AC143</f>
        <v>0</v>
      </c>
      <c r="Q55" s="81">
        <f>'收入支出明细表（基础数据表）'!AD143</f>
        <v>0</v>
      </c>
      <c r="R55" s="81">
        <f>'收入支出明细表（基础数据表）'!AE143</f>
        <v>0</v>
      </c>
      <c r="S55" s="81">
        <f>'收入支出明细表（基础数据表）'!AF143</f>
        <v>0</v>
      </c>
    </row>
    <row r="56" spans="1:19" ht="22.05" customHeight="1" x14ac:dyDescent="0.25">
      <c r="A56" s="206"/>
      <c r="B56" s="214"/>
      <c r="C56" s="83" t="s">
        <v>176</v>
      </c>
      <c r="D56" s="79" t="s">
        <v>149</v>
      </c>
      <c r="E56" s="79"/>
      <c r="F56" s="84">
        <v>0.06</v>
      </c>
      <c r="G56" s="81">
        <f>'收入支出明细表（基础数据表）'!T146</f>
        <v>0</v>
      </c>
      <c r="H56" s="81">
        <f>'收入支出明细表（基础数据表）'!U146</f>
        <v>0</v>
      </c>
      <c r="I56" s="81">
        <f>'收入支出明细表（基础数据表）'!V146</f>
        <v>0</v>
      </c>
      <c r="J56" s="81">
        <f>'收入支出明细表（基础数据表）'!W146</f>
        <v>0</v>
      </c>
      <c r="K56" s="81">
        <f>'收入支出明细表（基础数据表）'!X146</f>
        <v>0</v>
      </c>
      <c r="L56" s="81">
        <f>'收入支出明细表（基础数据表）'!Y146</f>
        <v>0</v>
      </c>
      <c r="M56" s="81">
        <f>'收入支出明细表（基础数据表）'!Z146</f>
        <v>0</v>
      </c>
      <c r="N56" s="81">
        <f>'收入支出明细表（基础数据表）'!AA146</f>
        <v>0</v>
      </c>
      <c r="O56" s="81">
        <f>'收入支出明细表（基础数据表）'!AB146</f>
        <v>0</v>
      </c>
      <c r="P56" s="81">
        <f>'收入支出明细表（基础数据表）'!AC146</f>
        <v>0</v>
      </c>
      <c r="Q56" s="81">
        <f>'收入支出明细表（基础数据表）'!AD146</f>
        <v>0</v>
      </c>
      <c r="R56" s="81">
        <f>'收入支出明细表（基础数据表）'!AE146</f>
        <v>0</v>
      </c>
      <c r="S56" s="81">
        <f>'收入支出明细表（基础数据表）'!AF146</f>
        <v>0</v>
      </c>
    </row>
    <row r="57" spans="1:19" ht="22.05" customHeight="1" x14ac:dyDescent="0.25">
      <c r="A57" s="206"/>
      <c r="B57" s="214"/>
      <c r="C57" s="83" t="s">
        <v>178</v>
      </c>
      <c r="D57" s="79" t="s">
        <v>149</v>
      </c>
      <c r="E57" s="79"/>
      <c r="F57" s="84">
        <v>0.09</v>
      </c>
      <c r="G57" s="81">
        <f>'收入支出明细表（基础数据表）'!T149</f>
        <v>0</v>
      </c>
      <c r="H57" s="81">
        <f>'收入支出明细表（基础数据表）'!U149</f>
        <v>0</v>
      </c>
      <c r="I57" s="81">
        <f>'收入支出明细表（基础数据表）'!V149</f>
        <v>0</v>
      </c>
      <c r="J57" s="81">
        <f>'收入支出明细表（基础数据表）'!W149</f>
        <v>0</v>
      </c>
      <c r="K57" s="81">
        <f>'收入支出明细表（基础数据表）'!X149</f>
        <v>0</v>
      </c>
      <c r="L57" s="81">
        <f>'收入支出明细表（基础数据表）'!Y149</f>
        <v>0</v>
      </c>
      <c r="M57" s="81">
        <f>'收入支出明细表（基础数据表）'!Z149</f>
        <v>0</v>
      </c>
      <c r="N57" s="81">
        <f>'收入支出明细表（基础数据表）'!AA149</f>
        <v>0</v>
      </c>
      <c r="O57" s="81">
        <f>'收入支出明细表（基础数据表）'!AB149</f>
        <v>0</v>
      </c>
      <c r="P57" s="81">
        <f>'收入支出明细表（基础数据表）'!AC149</f>
        <v>0</v>
      </c>
      <c r="Q57" s="81">
        <f>'收入支出明细表（基础数据表）'!AD149</f>
        <v>0</v>
      </c>
      <c r="R57" s="81">
        <f>'收入支出明细表（基础数据表）'!AE149</f>
        <v>0</v>
      </c>
      <c r="S57" s="81">
        <f>'收入支出明细表（基础数据表）'!AF149</f>
        <v>0</v>
      </c>
    </row>
    <row r="58" spans="1:19" ht="22.05" customHeight="1" x14ac:dyDescent="0.25">
      <c r="A58" s="206"/>
      <c r="B58" s="214"/>
      <c r="C58" s="83" t="s">
        <v>179</v>
      </c>
      <c r="D58" s="79" t="s">
        <v>149</v>
      </c>
      <c r="E58" s="79"/>
      <c r="F58" s="84">
        <v>0.06</v>
      </c>
      <c r="G58" s="81">
        <f>'收入支出明细表（基础数据表）'!T152</f>
        <v>0</v>
      </c>
      <c r="H58" s="81">
        <f>'收入支出明细表（基础数据表）'!U152</f>
        <v>0</v>
      </c>
      <c r="I58" s="81">
        <f>'收入支出明细表（基础数据表）'!V152</f>
        <v>0</v>
      </c>
      <c r="J58" s="81">
        <f>'收入支出明细表（基础数据表）'!W152</f>
        <v>0</v>
      </c>
      <c r="K58" s="81">
        <f>'收入支出明细表（基础数据表）'!X152</f>
        <v>0</v>
      </c>
      <c r="L58" s="81">
        <f>'收入支出明细表（基础数据表）'!Y152</f>
        <v>0</v>
      </c>
      <c r="M58" s="81">
        <f>'收入支出明细表（基础数据表）'!Z152</f>
        <v>0</v>
      </c>
      <c r="N58" s="81">
        <f>'收入支出明细表（基础数据表）'!AA152</f>
        <v>0</v>
      </c>
      <c r="O58" s="81">
        <f>'收入支出明细表（基础数据表）'!AB152</f>
        <v>0</v>
      </c>
      <c r="P58" s="81">
        <f>'收入支出明细表（基础数据表）'!AC152</f>
        <v>0</v>
      </c>
      <c r="Q58" s="81">
        <f>'收入支出明细表（基础数据表）'!AD152</f>
        <v>0</v>
      </c>
      <c r="R58" s="81">
        <f>'收入支出明细表（基础数据表）'!AE152</f>
        <v>0</v>
      </c>
      <c r="S58" s="81">
        <f>'收入支出明细表（基础数据表）'!AF152</f>
        <v>0</v>
      </c>
    </row>
    <row r="59" spans="1:19" ht="22.05" customHeight="1" x14ac:dyDescent="0.25">
      <c r="A59" s="206"/>
      <c r="B59" s="214"/>
      <c r="C59" s="83" t="s">
        <v>181</v>
      </c>
      <c r="D59" s="79" t="s">
        <v>149</v>
      </c>
      <c r="E59" s="79"/>
      <c r="F59" s="84">
        <v>0.09</v>
      </c>
      <c r="G59" s="81">
        <f>'收入支出明细表（基础数据表）'!T155</f>
        <v>0</v>
      </c>
      <c r="H59" s="81">
        <f>'收入支出明细表（基础数据表）'!U155</f>
        <v>0</v>
      </c>
      <c r="I59" s="81">
        <f>'收入支出明细表（基础数据表）'!V155</f>
        <v>0</v>
      </c>
      <c r="J59" s="81">
        <f>'收入支出明细表（基础数据表）'!W155</f>
        <v>0</v>
      </c>
      <c r="K59" s="81">
        <f>'收入支出明细表（基础数据表）'!X155</f>
        <v>0</v>
      </c>
      <c r="L59" s="81">
        <f>'收入支出明细表（基础数据表）'!Y155</f>
        <v>0</v>
      </c>
      <c r="M59" s="81">
        <f>'收入支出明细表（基础数据表）'!Z155</f>
        <v>0</v>
      </c>
      <c r="N59" s="81">
        <f>'收入支出明细表（基础数据表）'!AA155</f>
        <v>0</v>
      </c>
      <c r="O59" s="81">
        <f>'收入支出明细表（基础数据表）'!AB155</f>
        <v>0</v>
      </c>
      <c r="P59" s="81">
        <f>'收入支出明细表（基础数据表）'!AC155</f>
        <v>0</v>
      </c>
      <c r="Q59" s="81">
        <f>'收入支出明细表（基础数据表）'!AD155</f>
        <v>0</v>
      </c>
      <c r="R59" s="81">
        <f>'收入支出明细表（基础数据表）'!AE155</f>
        <v>0</v>
      </c>
      <c r="S59" s="81">
        <f>'收入支出明细表（基础数据表）'!AF155</f>
        <v>0</v>
      </c>
    </row>
    <row r="60" spans="1:19" ht="22.05" customHeight="1" x14ac:dyDescent="0.25">
      <c r="A60" s="206"/>
      <c r="B60" s="214"/>
      <c r="C60" s="83" t="s">
        <v>182</v>
      </c>
      <c r="D60" s="79" t="s">
        <v>149</v>
      </c>
      <c r="E60" s="79"/>
      <c r="F60" s="84">
        <v>0.13</v>
      </c>
      <c r="G60" s="81">
        <f>'收入支出明细表（基础数据表）'!T158</f>
        <v>0</v>
      </c>
      <c r="H60" s="81">
        <f>'收入支出明细表（基础数据表）'!U158</f>
        <v>0</v>
      </c>
      <c r="I60" s="81">
        <f>'收入支出明细表（基础数据表）'!V158</f>
        <v>0</v>
      </c>
      <c r="J60" s="81">
        <f>'收入支出明细表（基础数据表）'!W158</f>
        <v>0</v>
      </c>
      <c r="K60" s="81">
        <f>'收入支出明细表（基础数据表）'!X158</f>
        <v>0</v>
      </c>
      <c r="L60" s="81">
        <f>'收入支出明细表（基础数据表）'!Y158</f>
        <v>0</v>
      </c>
      <c r="M60" s="81">
        <f>'收入支出明细表（基础数据表）'!Z158</f>
        <v>0</v>
      </c>
      <c r="N60" s="81">
        <f>'收入支出明细表（基础数据表）'!AA158</f>
        <v>0</v>
      </c>
      <c r="O60" s="81">
        <f>'收入支出明细表（基础数据表）'!AB158</f>
        <v>0</v>
      </c>
      <c r="P60" s="81">
        <f>'收入支出明细表（基础数据表）'!AC158</f>
        <v>0</v>
      </c>
      <c r="Q60" s="81">
        <f>'收入支出明细表（基础数据表）'!AD158</f>
        <v>0</v>
      </c>
      <c r="R60" s="81">
        <f>'收入支出明细表（基础数据表）'!AE158</f>
        <v>0</v>
      </c>
      <c r="S60" s="81">
        <f>'收入支出明细表（基础数据表）'!AF158</f>
        <v>0</v>
      </c>
    </row>
    <row r="61" spans="1:19" ht="22.05" customHeight="1" x14ac:dyDescent="0.25">
      <c r="A61" s="206"/>
      <c r="B61" s="214"/>
      <c r="C61" s="88" t="s">
        <v>184</v>
      </c>
      <c r="D61" s="79" t="s">
        <v>149</v>
      </c>
      <c r="E61" s="86"/>
      <c r="F61" s="84">
        <v>0.13</v>
      </c>
      <c r="G61" s="81">
        <f>'收入支出明细表（基础数据表）'!T161</f>
        <v>0</v>
      </c>
      <c r="H61" s="81">
        <f>'收入支出明细表（基础数据表）'!U161</f>
        <v>0</v>
      </c>
      <c r="I61" s="81">
        <f>'收入支出明细表（基础数据表）'!V161</f>
        <v>0</v>
      </c>
      <c r="J61" s="81">
        <f>'收入支出明细表（基础数据表）'!W161</f>
        <v>0</v>
      </c>
      <c r="K61" s="81">
        <f>'收入支出明细表（基础数据表）'!X161</f>
        <v>0</v>
      </c>
      <c r="L61" s="81">
        <f>'收入支出明细表（基础数据表）'!Y161</f>
        <v>0</v>
      </c>
      <c r="M61" s="81">
        <f>'收入支出明细表（基础数据表）'!Z161</f>
        <v>0</v>
      </c>
      <c r="N61" s="81">
        <f>'收入支出明细表（基础数据表）'!AA161</f>
        <v>0</v>
      </c>
      <c r="O61" s="81">
        <f>'收入支出明细表（基础数据表）'!AB161</f>
        <v>0</v>
      </c>
      <c r="P61" s="81">
        <f>'收入支出明细表（基础数据表）'!AC161</f>
        <v>0</v>
      </c>
      <c r="Q61" s="81">
        <f>'收入支出明细表（基础数据表）'!AD161</f>
        <v>0</v>
      </c>
      <c r="R61" s="81">
        <f>'收入支出明细表（基础数据表）'!AE161</f>
        <v>0</v>
      </c>
      <c r="S61" s="81">
        <f>'收入支出明细表（基础数据表）'!AF161</f>
        <v>0</v>
      </c>
    </row>
    <row r="62" spans="1:19" ht="22.05" customHeight="1" x14ac:dyDescent="0.25">
      <c r="A62" s="206"/>
      <c r="B62" s="214"/>
      <c r="C62" s="88" t="s">
        <v>185</v>
      </c>
      <c r="D62" s="79" t="s">
        <v>149</v>
      </c>
      <c r="E62" s="86"/>
      <c r="F62" s="84">
        <v>0.13</v>
      </c>
      <c r="G62" s="81">
        <f>'收入支出明细表（基础数据表）'!T164</f>
        <v>0</v>
      </c>
      <c r="H62" s="81">
        <f>'收入支出明细表（基础数据表）'!U164</f>
        <v>0</v>
      </c>
      <c r="I62" s="81">
        <f>'收入支出明细表（基础数据表）'!V164</f>
        <v>0</v>
      </c>
      <c r="J62" s="81">
        <f>'收入支出明细表（基础数据表）'!W164</f>
        <v>0</v>
      </c>
      <c r="K62" s="81">
        <f>'收入支出明细表（基础数据表）'!X164</f>
        <v>0</v>
      </c>
      <c r="L62" s="81">
        <f>'收入支出明细表（基础数据表）'!Y164</f>
        <v>0</v>
      </c>
      <c r="M62" s="81">
        <f>'收入支出明细表（基础数据表）'!Z164</f>
        <v>0</v>
      </c>
      <c r="N62" s="81">
        <f>'收入支出明细表（基础数据表）'!AA164</f>
        <v>0</v>
      </c>
      <c r="O62" s="81">
        <f>'收入支出明细表（基础数据表）'!AB164</f>
        <v>0</v>
      </c>
      <c r="P62" s="81">
        <f>'收入支出明细表（基础数据表）'!AC164</f>
        <v>0</v>
      </c>
      <c r="Q62" s="81">
        <f>'收入支出明细表（基础数据表）'!AD164</f>
        <v>0</v>
      </c>
      <c r="R62" s="81">
        <f>'收入支出明细表（基础数据表）'!AE164</f>
        <v>0</v>
      </c>
      <c r="S62" s="81">
        <f>'收入支出明细表（基础数据表）'!AF164</f>
        <v>0</v>
      </c>
    </row>
    <row r="63" spans="1:19" ht="22.05" customHeight="1" x14ac:dyDescent="0.25">
      <c r="A63" s="206"/>
      <c r="B63" s="214"/>
      <c r="C63" s="88" t="s">
        <v>187</v>
      </c>
      <c r="D63" s="79" t="s">
        <v>149</v>
      </c>
      <c r="E63" s="86"/>
      <c r="F63" s="84">
        <v>0.13</v>
      </c>
      <c r="G63" s="81">
        <f>'收入支出明细表（基础数据表）'!T167</f>
        <v>0</v>
      </c>
      <c r="H63" s="81">
        <f>'收入支出明细表（基础数据表）'!U167</f>
        <v>0</v>
      </c>
      <c r="I63" s="81">
        <f>'收入支出明细表（基础数据表）'!V167</f>
        <v>0</v>
      </c>
      <c r="J63" s="81">
        <f>'收入支出明细表（基础数据表）'!W167</f>
        <v>0</v>
      </c>
      <c r="K63" s="81">
        <f>'收入支出明细表（基础数据表）'!X167</f>
        <v>0</v>
      </c>
      <c r="L63" s="81">
        <f>'收入支出明细表（基础数据表）'!Y167</f>
        <v>0</v>
      </c>
      <c r="M63" s="81">
        <f>'收入支出明细表（基础数据表）'!Z167</f>
        <v>0</v>
      </c>
      <c r="N63" s="81">
        <f>'收入支出明细表（基础数据表）'!AA167</f>
        <v>0</v>
      </c>
      <c r="O63" s="81">
        <f>'收入支出明细表（基础数据表）'!AB167</f>
        <v>0</v>
      </c>
      <c r="P63" s="81">
        <f>'收入支出明细表（基础数据表）'!AC167</f>
        <v>0</v>
      </c>
      <c r="Q63" s="81">
        <f>'收入支出明细表（基础数据表）'!AD167</f>
        <v>0</v>
      </c>
      <c r="R63" s="81">
        <f>'收入支出明细表（基础数据表）'!AE167</f>
        <v>0</v>
      </c>
      <c r="S63" s="81">
        <f>'收入支出明细表（基础数据表）'!AF167</f>
        <v>0</v>
      </c>
    </row>
    <row r="64" spans="1:19" ht="22.05" customHeight="1" x14ac:dyDescent="0.25">
      <c r="A64" s="206"/>
      <c r="B64" s="214"/>
      <c r="C64" s="86" t="s">
        <v>125</v>
      </c>
      <c r="D64" s="86"/>
      <c r="E64" s="86"/>
      <c r="F64" s="87"/>
      <c r="G64" s="81">
        <f>'收入支出明细表（基础数据表）'!T170</f>
        <v>0</v>
      </c>
      <c r="H64" s="81">
        <f>'收入支出明细表（基础数据表）'!U170</f>
        <v>0</v>
      </c>
      <c r="I64" s="81">
        <f>'收入支出明细表（基础数据表）'!V170</f>
        <v>0</v>
      </c>
      <c r="J64" s="81">
        <f>'收入支出明细表（基础数据表）'!W170</f>
        <v>0</v>
      </c>
      <c r="K64" s="81">
        <f>'收入支出明细表（基础数据表）'!X170</f>
        <v>0</v>
      </c>
      <c r="L64" s="81">
        <f>'收入支出明细表（基础数据表）'!Y170</f>
        <v>0</v>
      </c>
      <c r="M64" s="81">
        <f>'收入支出明细表（基础数据表）'!Z170</f>
        <v>0</v>
      </c>
      <c r="N64" s="81">
        <f>'收入支出明细表（基础数据表）'!AA170</f>
        <v>0</v>
      </c>
      <c r="O64" s="81">
        <f>'收入支出明细表（基础数据表）'!AB170</f>
        <v>0</v>
      </c>
      <c r="P64" s="81">
        <f>'收入支出明细表（基础数据表）'!AC170</f>
        <v>0</v>
      </c>
      <c r="Q64" s="81">
        <f>'收入支出明细表（基础数据表）'!AD170</f>
        <v>0</v>
      </c>
      <c r="R64" s="81">
        <f>'收入支出明细表（基础数据表）'!AE170</f>
        <v>0</v>
      </c>
      <c r="S64" s="81">
        <f>'收入支出明细表（基础数据表）'!AF170</f>
        <v>0</v>
      </c>
    </row>
    <row r="65" spans="1:19" ht="22.05" customHeight="1" x14ac:dyDescent="0.25">
      <c r="A65" s="206"/>
      <c r="B65" s="214" t="s">
        <v>190</v>
      </c>
      <c r="C65" s="89" t="s">
        <v>191</v>
      </c>
      <c r="D65" s="79" t="s">
        <v>149</v>
      </c>
      <c r="E65" s="80"/>
      <c r="F65" s="87"/>
      <c r="G65" s="81">
        <f>'收入支出明细表（基础数据表）'!T171</f>
        <v>0</v>
      </c>
      <c r="H65" s="81">
        <f>'收入支出明细表（基础数据表）'!U171</f>
        <v>0</v>
      </c>
      <c r="I65" s="81">
        <f>'收入支出明细表（基础数据表）'!V171</f>
        <v>0</v>
      </c>
      <c r="J65" s="81">
        <f>'收入支出明细表（基础数据表）'!W171</f>
        <v>0</v>
      </c>
      <c r="K65" s="81">
        <f>'收入支出明细表（基础数据表）'!X171</f>
        <v>0</v>
      </c>
      <c r="L65" s="81">
        <f>'收入支出明细表（基础数据表）'!Y171</f>
        <v>0</v>
      </c>
      <c r="M65" s="81">
        <f>'收入支出明细表（基础数据表）'!Z171</f>
        <v>0</v>
      </c>
      <c r="N65" s="81">
        <f>'收入支出明细表（基础数据表）'!AA171</f>
        <v>0</v>
      </c>
      <c r="O65" s="81">
        <f>'收入支出明细表（基础数据表）'!AB171</f>
        <v>0</v>
      </c>
      <c r="P65" s="81">
        <f>'收入支出明细表（基础数据表）'!AC171</f>
        <v>0</v>
      </c>
      <c r="Q65" s="81">
        <f>'收入支出明细表（基础数据表）'!AD171</f>
        <v>0</v>
      </c>
      <c r="R65" s="81">
        <f>'收入支出明细表（基础数据表）'!AE171</f>
        <v>0</v>
      </c>
      <c r="S65" s="81">
        <f>'收入支出明细表（基础数据表）'!AF171</f>
        <v>0</v>
      </c>
    </row>
    <row r="66" spans="1:19" ht="22.05" customHeight="1" x14ac:dyDescent="0.25">
      <c r="A66" s="206"/>
      <c r="B66" s="214"/>
      <c r="C66" s="88" t="s">
        <v>193</v>
      </c>
      <c r="D66" s="79" t="s">
        <v>149</v>
      </c>
      <c r="E66" s="80"/>
      <c r="F66" s="91">
        <v>0.06</v>
      </c>
      <c r="G66" s="81">
        <f>'收入支出明细表（基础数据表）'!T174</f>
        <v>0</v>
      </c>
      <c r="H66" s="81">
        <f>'收入支出明细表（基础数据表）'!U174</f>
        <v>0</v>
      </c>
      <c r="I66" s="81">
        <f>'收入支出明细表（基础数据表）'!V174</f>
        <v>0</v>
      </c>
      <c r="J66" s="81">
        <f>'收入支出明细表（基础数据表）'!W174</f>
        <v>0</v>
      </c>
      <c r="K66" s="81">
        <f>'收入支出明细表（基础数据表）'!X174</f>
        <v>0</v>
      </c>
      <c r="L66" s="81">
        <f>'收入支出明细表（基础数据表）'!Y174</f>
        <v>0</v>
      </c>
      <c r="M66" s="81">
        <f>'收入支出明细表（基础数据表）'!Z174</f>
        <v>0</v>
      </c>
      <c r="N66" s="81">
        <f>'收入支出明细表（基础数据表）'!AA174</f>
        <v>0</v>
      </c>
      <c r="O66" s="81">
        <f>'收入支出明细表（基础数据表）'!AB174</f>
        <v>0</v>
      </c>
      <c r="P66" s="81">
        <f>'收入支出明细表（基础数据表）'!AC174</f>
        <v>0</v>
      </c>
      <c r="Q66" s="81">
        <f>'收入支出明细表（基础数据表）'!AD174</f>
        <v>0</v>
      </c>
      <c r="R66" s="81">
        <f>'收入支出明细表（基础数据表）'!AE174</f>
        <v>0</v>
      </c>
      <c r="S66" s="81">
        <f>'收入支出明细表（基础数据表）'!AF174</f>
        <v>0</v>
      </c>
    </row>
    <row r="67" spans="1:19" ht="22.05" customHeight="1" x14ac:dyDescent="0.25">
      <c r="A67" s="206"/>
      <c r="B67" s="214"/>
      <c r="C67" s="88" t="s">
        <v>194</v>
      </c>
      <c r="D67" s="79" t="s">
        <v>149</v>
      </c>
      <c r="E67" s="80"/>
      <c r="F67" s="91">
        <v>0.13</v>
      </c>
      <c r="G67" s="81">
        <f>'收入支出明细表（基础数据表）'!T177</f>
        <v>0</v>
      </c>
      <c r="H67" s="81">
        <f>'收入支出明细表（基础数据表）'!U177</f>
        <v>0</v>
      </c>
      <c r="I67" s="81">
        <f>'收入支出明细表（基础数据表）'!V177</f>
        <v>0</v>
      </c>
      <c r="J67" s="81">
        <f>'收入支出明细表（基础数据表）'!W177</f>
        <v>0</v>
      </c>
      <c r="K67" s="81">
        <f>'收入支出明细表（基础数据表）'!X177</f>
        <v>0</v>
      </c>
      <c r="L67" s="81">
        <f>'收入支出明细表（基础数据表）'!Y177</f>
        <v>0</v>
      </c>
      <c r="M67" s="81">
        <f>'收入支出明细表（基础数据表）'!Z177</f>
        <v>0</v>
      </c>
      <c r="N67" s="81">
        <f>'收入支出明细表（基础数据表）'!AA177</f>
        <v>0</v>
      </c>
      <c r="O67" s="81">
        <f>'收入支出明细表（基础数据表）'!AB177</f>
        <v>0</v>
      </c>
      <c r="P67" s="81">
        <f>'收入支出明细表（基础数据表）'!AC177</f>
        <v>0</v>
      </c>
      <c r="Q67" s="81">
        <f>'收入支出明细表（基础数据表）'!AD177</f>
        <v>0</v>
      </c>
      <c r="R67" s="81">
        <f>'收入支出明细表（基础数据表）'!AE177</f>
        <v>0</v>
      </c>
      <c r="S67" s="81">
        <f>'收入支出明细表（基础数据表）'!AF177</f>
        <v>0</v>
      </c>
    </row>
    <row r="68" spans="1:19" ht="22.05" customHeight="1" x14ac:dyDescent="0.25">
      <c r="A68" s="206"/>
      <c r="B68" s="214"/>
      <c r="C68" s="88" t="s">
        <v>195</v>
      </c>
      <c r="D68" s="79" t="s">
        <v>149</v>
      </c>
      <c r="E68" s="80"/>
      <c r="F68" s="91">
        <v>0.13</v>
      </c>
      <c r="G68" s="81">
        <f>'收入支出明细表（基础数据表）'!T180</f>
        <v>0</v>
      </c>
      <c r="H68" s="81">
        <f>'收入支出明细表（基础数据表）'!U180</f>
        <v>0</v>
      </c>
      <c r="I68" s="81">
        <f>'收入支出明细表（基础数据表）'!V180</f>
        <v>0</v>
      </c>
      <c r="J68" s="81">
        <f>'收入支出明细表（基础数据表）'!W180</f>
        <v>0</v>
      </c>
      <c r="K68" s="81">
        <f>'收入支出明细表（基础数据表）'!X180</f>
        <v>0</v>
      </c>
      <c r="L68" s="81">
        <f>'收入支出明细表（基础数据表）'!Y180</f>
        <v>0</v>
      </c>
      <c r="M68" s="81">
        <f>'收入支出明细表（基础数据表）'!Z180</f>
        <v>0</v>
      </c>
      <c r="N68" s="81">
        <f>'收入支出明细表（基础数据表）'!AA180</f>
        <v>0</v>
      </c>
      <c r="O68" s="81">
        <f>'收入支出明细表（基础数据表）'!AB180</f>
        <v>0</v>
      </c>
      <c r="P68" s="81">
        <f>'收入支出明细表（基础数据表）'!AC180</f>
        <v>0</v>
      </c>
      <c r="Q68" s="81">
        <f>'收入支出明细表（基础数据表）'!AD180</f>
        <v>0</v>
      </c>
      <c r="R68" s="81">
        <f>'收入支出明细表（基础数据表）'!AE180</f>
        <v>0</v>
      </c>
      <c r="S68" s="81">
        <f>'收入支出明细表（基础数据表）'!AF180</f>
        <v>0</v>
      </c>
    </row>
    <row r="69" spans="1:19" ht="22.05" customHeight="1" x14ac:dyDescent="0.25">
      <c r="A69" s="206"/>
      <c r="B69" s="214"/>
      <c r="C69" s="88" t="s">
        <v>196</v>
      </c>
      <c r="D69" s="79" t="s">
        <v>149</v>
      </c>
      <c r="E69" s="86"/>
      <c r="F69" s="91">
        <v>0.09</v>
      </c>
      <c r="G69" s="81">
        <f>'收入支出明细表（基础数据表）'!T183</f>
        <v>0</v>
      </c>
      <c r="H69" s="81">
        <f>'收入支出明细表（基础数据表）'!U183</f>
        <v>0</v>
      </c>
      <c r="I69" s="81">
        <f>'收入支出明细表（基础数据表）'!V183</f>
        <v>0</v>
      </c>
      <c r="J69" s="81">
        <f>'收入支出明细表（基础数据表）'!W183</f>
        <v>0</v>
      </c>
      <c r="K69" s="81">
        <f>'收入支出明细表（基础数据表）'!X183</f>
        <v>0</v>
      </c>
      <c r="L69" s="81">
        <f>'收入支出明细表（基础数据表）'!Y183</f>
        <v>0</v>
      </c>
      <c r="M69" s="81">
        <f>'收入支出明细表（基础数据表）'!Z183</f>
        <v>0</v>
      </c>
      <c r="N69" s="81">
        <f>'收入支出明细表（基础数据表）'!AA183</f>
        <v>0</v>
      </c>
      <c r="O69" s="81">
        <f>'收入支出明细表（基础数据表）'!AB183</f>
        <v>0</v>
      </c>
      <c r="P69" s="81">
        <f>'收入支出明细表（基础数据表）'!AC183</f>
        <v>0</v>
      </c>
      <c r="Q69" s="81">
        <f>'收入支出明细表（基础数据表）'!AD183</f>
        <v>0</v>
      </c>
      <c r="R69" s="81">
        <f>'收入支出明细表（基础数据表）'!AE183</f>
        <v>0</v>
      </c>
      <c r="S69" s="81">
        <f>'收入支出明细表（基础数据表）'!AF183</f>
        <v>0</v>
      </c>
    </row>
    <row r="70" spans="1:19" ht="22.05" customHeight="1" x14ac:dyDescent="0.25">
      <c r="A70" s="206"/>
      <c r="B70" s="214"/>
      <c r="C70" s="88" t="s">
        <v>197</v>
      </c>
      <c r="D70" s="79" t="s">
        <v>149</v>
      </c>
      <c r="E70" s="86"/>
      <c r="F70" s="91">
        <v>0.06</v>
      </c>
      <c r="G70" s="81">
        <f>'收入支出明细表（基础数据表）'!T186</f>
        <v>0</v>
      </c>
      <c r="H70" s="81">
        <f>'收入支出明细表（基础数据表）'!U186</f>
        <v>0</v>
      </c>
      <c r="I70" s="81">
        <f>'收入支出明细表（基础数据表）'!V186</f>
        <v>0</v>
      </c>
      <c r="J70" s="81">
        <f>'收入支出明细表（基础数据表）'!W186</f>
        <v>0</v>
      </c>
      <c r="K70" s="81">
        <f>'收入支出明细表（基础数据表）'!X186</f>
        <v>0</v>
      </c>
      <c r="L70" s="81">
        <f>'收入支出明细表（基础数据表）'!Y186</f>
        <v>0</v>
      </c>
      <c r="M70" s="81">
        <f>'收入支出明细表（基础数据表）'!Z186</f>
        <v>0</v>
      </c>
      <c r="N70" s="81">
        <f>'收入支出明细表（基础数据表）'!AA186</f>
        <v>0</v>
      </c>
      <c r="O70" s="81">
        <f>'收入支出明细表（基础数据表）'!AB186</f>
        <v>0</v>
      </c>
      <c r="P70" s="81">
        <f>'收入支出明细表（基础数据表）'!AC186</f>
        <v>0</v>
      </c>
      <c r="Q70" s="81">
        <f>'收入支出明细表（基础数据表）'!AD186</f>
        <v>0</v>
      </c>
      <c r="R70" s="81">
        <f>'收入支出明细表（基础数据表）'!AE186</f>
        <v>0</v>
      </c>
      <c r="S70" s="81">
        <f>'收入支出明细表（基础数据表）'!AF186</f>
        <v>0</v>
      </c>
    </row>
    <row r="71" spans="1:19" ht="22.05" customHeight="1" x14ac:dyDescent="0.25">
      <c r="A71" s="206"/>
      <c r="B71" s="214"/>
      <c r="C71" s="86" t="s">
        <v>125</v>
      </c>
      <c r="D71" s="86"/>
      <c r="E71" s="86"/>
      <c r="F71" s="91"/>
      <c r="G71" s="81">
        <f>'收入支出明细表（基础数据表）'!T189</f>
        <v>0</v>
      </c>
      <c r="H71" s="81">
        <f>'收入支出明细表（基础数据表）'!U189</f>
        <v>0</v>
      </c>
      <c r="I71" s="81">
        <f>'收入支出明细表（基础数据表）'!V189</f>
        <v>0</v>
      </c>
      <c r="J71" s="81">
        <f>'收入支出明细表（基础数据表）'!W189</f>
        <v>0</v>
      </c>
      <c r="K71" s="81">
        <f>'收入支出明细表（基础数据表）'!X189</f>
        <v>0</v>
      </c>
      <c r="L71" s="81">
        <f>'收入支出明细表（基础数据表）'!Y189</f>
        <v>0</v>
      </c>
      <c r="M71" s="81">
        <f>'收入支出明细表（基础数据表）'!Z189</f>
        <v>0</v>
      </c>
      <c r="N71" s="81">
        <f>'收入支出明细表（基础数据表）'!AA189</f>
        <v>0</v>
      </c>
      <c r="O71" s="81">
        <f>'收入支出明细表（基础数据表）'!AB189</f>
        <v>0</v>
      </c>
      <c r="P71" s="81">
        <f>'收入支出明细表（基础数据表）'!AC189</f>
        <v>0</v>
      </c>
      <c r="Q71" s="81">
        <f>'收入支出明细表（基础数据表）'!AD189</f>
        <v>0</v>
      </c>
      <c r="R71" s="81">
        <f>'收入支出明细表（基础数据表）'!AE189</f>
        <v>0</v>
      </c>
      <c r="S71" s="81">
        <f>'收入支出明细表（基础数据表）'!AF189</f>
        <v>0</v>
      </c>
    </row>
    <row r="72" spans="1:19" ht="22.05" customHeight="1" x14ac:dyDescent="0.25">
      <c r="A72" s="206"/>
      <c r="B72" s="214" t="s">
        <v>198</v>
      </c>
      <c r="C72" s="89" t="s">
        <v>199</v>
      </c>
      <c r="D72" s="79" t="s">
        <v>149</v>
      </c>
      <c r="E72" s="80"/>
      <c r="F72" s="91"/>
      <c r="G72" s="81">
        <f>'收入支出明细表（基础数据表）'!T190</f>
        <v>0</v>
      </c>
      <c r="H72" s="81">
        <f>'收入支出明细表（基础数据表）'!U190</f>
        <v>0</v>
      </c>
      <c r="I72" s="81">
        <f>'收入支出明细表（基础数据表）'!V190</f>
        <v>0</v>
      </c>
      <c r="J72" s="81">
        <f>'收入支出明细表（基础数据表）'!W190</f>
        <v>0</v>
      </c>
      <c r="K72" s="81">
        <f>'收入支出明细表（基础数据表）'!X190</f>
        <v>0</v>
      </c>
      <c r="L72" s="81">
        <f>'收入支出明细表（基础数据表）'!Y190</f>
        <v>0</v>
      </c>
      <c r="M72" s="81">
        <f>'收入支出明细表（基础数据表）'!Z190</f>
        <v>0</v>
      </c>
      <c r="N72" s="81">
        <f>'收入支出明细表（基础数据表）'!AA190</f>
        <v>0</v>
      </c>
      <c r="O72" s="81">
        <f>'收入支出明细表（基础数据表）'!AB190</f>
        <v>0</v>
      </c>
      <c r="P72" s="81">
        <f>'收入支出明细表（基础数据表）'!AC190</f>
        <v>0</v>
      </c>
      <c r="Q72" s="81">
        <f>'收入支出明细表（基础数据表）'!AD190</f>
        <v>0</v>
      </c>
      <c r="R72" s="81">
        <f>'收入支出明细表（基础数据表）'!AE190</f>
        <v>0</v>
      </c>
      <c r="S72" s="81">
        <f>'收入支出明细表（基础数据表）'!AF190</f>
        <v>0</v>
      </c>
    </row>
    <row r="73" spans="1:19" ht="22.05" customHeight="1" x14ac:dyDescent="0.25">
      <c r="A73" s="206"/>
      <c r="B73" s="214"/>
      <c r="C73" s="88" t="s">
        <v>200</v>
      </c>
      <c r="D73" s="79" t="s">
        <v>149</v>
      </c>
      <c r="E73" s="86"/>
      <c r="F73" s="91"/>
      <c r="G73" s="81">
        <f>'收入支出明细表（基础数据表）'!T193</f>
        <v>0</v>
      </c>
      <c r="H73" s="81">
        <f>'收入支出明细表（基础数据表）'!U193</f>
        <v>0</v>
      </c>
      <c r="I73" s="81">
        <f>'收入支出明细表（基础数据表）'!V193</f>
        <v>0</v>
      </c>
      <c r="J73" s="81">
        <f>'收入支出明细表（基础数据表）'!W193</f>
        <v>0</v>
      </c>
      <c r="K73" s="81">
        <f>'收入支出明细表（基础数据表）'!X193</f>
        <v>0</v>
      </c>
      <c r="L73" s="81">
        <f>'收入支出明细表（基础数据表）'!Y193</f>
        <v>0</v>
      </c>
      <c r="M73" s="81">
        <f>'收入支出明细表（基础数据表）'!Z193</f>
        <v>0</v>
      </c>
      <c r="N73" s="81">
        <f>'收入支出明细表（基础数据表）'!AA193</f>
        <v>0</v>
      </c>
      <c r="O73" s="81">
        <f>'收入支出明细表（基础数据表）'!AB193</f>
        <v>0</v>
      </c>
      <c r="P73" s="81">
        <f>'收入支出明细表（基础数据表）'!AC193</f>
        <v>0</v>
      </c>
      <c r="Q73" s="81">
        <f>'收入支出明细表（基础数据表）'!AD193</f>
        <v>0</v>
      </c>
      <c r="R73" s="81">
        <f>'收入支出明细表（基础数据表）'!AE193</f>
        <v>0</v>
      </c>
      <c r="S73" s="81">
        <f>'收入支出明细表（基础数据表）'!AF193</f>
        <v>0</v>
      </c>
    </row>
    <row r="74" spans="1:19" ht="22.05" customHeight="1" x14ac:dyDescent="0.25">
      <c r="A74" s="206"/>
      <c r="B74" s="214"/>
      <c r="C74" s="88" t="s">
        <v>202</v>
      </c>
      <c r="D74" s="79" t="s">
        <v>149</v>
      </c>
      <c r="E74" s="86"/>
      <c r="F74" s="91">
        <v>0.06</v>
      </c>
      <c r="G74" s="81">
        <f>'收入支出明细表（基础数据表）'!T196</f>
        <v>0</v>
      </c>
      <c r="H74" s="81">
        <f>'收入支出明细表（基础数据表）'!U196</f>
        <v>0</v>
      </c>
      <c r="I74" s="81">
        <f>'收入支出明细表（基础数据表）'!V196</f>
        <v>0</v>
      </c>
      <c r="J74" s="81">
        <f>'收入支出明细表（基础数据表）'!W196</f>
        <v>0</v>
      </c>
      <c r="K74" s="81">
        <f>'收入支出明细表（基础数据表）'!X196</f>
        <v>0</v>
      </c>
      <c r="L74" s="81">
        <f>'收入支出明细表（基础数据表）'!Y196</f>
        <v>0</v>
      </c>
      <c r="M74" s="81">
        <f>'收入支出明细表（基础数据表）'!Z196</f>
        <v>0</v>
      </c>
      <c r="N74" s="81">
        <f>'收入支出明细表（基础数据表）'!AA196</f>
        <v>0</v>
      </c>
      <c r="O74" s="81">
        <f>'收入支出明细表（基础数据表）'!AB196</f>
        <v>0</v>
      </c>
      <c r="P74" s="81">
        <f>'收入支出明细表（基础数据表）'!AC196</f>
        <v>0</v>
      </c>
      <c r="Q74" s="81">
        <f>'收入支出明细表（基础数据表）'!AD196</f>
        <v>0</v>
      </c>
      <c r="R74" s="81">
        <f>'收入支出明细表（基础数据表）'!AE196</f>
        <v>0</v>
      </c>
      <c r="S74" s="81">
        <f>'收入支出明细表（基础数据表）'!AF196</f>
        <v>0</v>
      </c>
    </row>
    <row r="75" spans="1:19" ht="22.05" customHeight="1" x14ac:dyDescent="0.25">
      <c r="A75" s="206"/>
      <c r="B75" s="214"/>
      <c r="C75" s="88" t="s">
        <v>203</v>
      </c>
      <c r="D75" s="79" t="s">
        <v>149</v>
      </c>
      <c r="E75" s="86"/>
      <c r="F75" s="91">
        <v>0.06</v>
      </c>
      <c r="G75" s="81">
        <f>'收入支出明细表（基础数据表）'!T199</f>
        <v>0</v>
      </c>
      <c r="H75" s="81">
        <f>'收入支出明细表（基础数据表）'!U199</f>
        <v>0</v>
      </c>
      <c r="I75" s="81">
        <f>'收入支出明细表（基础数据表）'!V199</f>
        <v>0</v>
      </c>
      <c r="J75" s="81">
        <f>'收入支出明细表（基础数据表）'!W199</f>
        <v>0</v>
      </c>
      <c r="K75" s="81">
        <f>'收入支出明细表（基础数据表）'!X199</f>
        <v>0</v>
      </c>
      <c r="L75" s="81">
        <f>'收入支出明细表（基础数据表）'!Y199</f>
        <v>0</v>
      </c>
      <c r="M75" s="81">
        <f>'收入支出明细表（基础数据表）'!Z199</f>
        <v>0</v>
      </c>
      <c r="N75" s="81">
        <f>'收入支出明细表（基础数据表）'!AA199</f>
        <v>0</v>
      </c>
      <c r="O75" s="81">
        <f>'收入支出明细表（基础数据表）'!AB199</f>
        <v>0</v>
      </c>
      <c r="P75" s="81">
        <f>'收入支出明细表（基础数据表）'!AC199</f>
        <v>0</v>
      </c>
      <c r="Q75" s="81">
        <f>'收入支出明细表（基础数据表）'!AD199</f>
        <v>0</v>
      </c>
      <c r="R75" s="81">
        <f>'收入支出明细表（基础数据表）'!AE199</f>
        <v>0</v>
      </c>
      <c r="S75" s="81">
        <f>'收入支出明细表（基础数据表）'!AF199</f>
        <v>0</v>
      </c>
    </row>
    <row r="76" spans="1:19" ht="22.05" customHeight="1" x14ac:dyDescent="0.25">
      <c r="A76" s="206"/>
      <c r="B76" s="214"/>
      <c r="C76" s="88" t="s">
        <v>204</v>
      </c>
      <c r="D76" s="79" t="s">
        <v>149</v>
      </c>
      <c r="E76" s="86"/>
      <c r="F76" s="91"/>
      <c r="G76" s="81">
        <f>'收入支出明细表（基础数据表）'!T202</f>
        <v>0</v>
      </c>
      <c r="H76" s="81">
        <f>'收入支出明细表（基础数据表）'!U202</f>
        <v>0</v>
      </c>
      <c r="I76" s="81">
        <f>'收入支出明细表（基础数据表）'!V202</f>
        <v>0</v>
      </c>
      <c r="J76" s="81">
        <f>'收入支出明细表（基础数据表）'!W202</f>
        <v>0</v>
      </c>
      <c r="K76" s="81">
        <f>'收入支出明细表（基础数据表）'!X202</f>
        <v>0</v>
      </c>
      <c r="L76" s="81">
        <f>'收入支出明细表（基础数据表）'!Y202</f>
        <v>0</v>
      </c>
      <c r="M76" s="81">
        <f>'收入支出明细表（基础数据表）'!Z202</f>
        <v>0</v>
      </c>
      <c r="N76" s="81">
        <f>'收入支出明细表（基础数据表）'!AA202</f>
        <v>0</v>
      </c>
      <c r="O76" s="81">
        <f>'收入支出明细表（基础数据表）'!AB202</f>
        <v>0</v>
      </c>
      <c r="P76" s="81">
        <f>'收入支出明细表（基础数据表）'!AC202</f>
        <v>0</v>
      </c>
      <c r="Q76" s="81">
        <f>'收入支出明细表（基础数据表）'!AD202</f>
        <v>0</v>
      </c>
      <c r="R76" s="81">
        <f>'收入支出明细表（基础数据表）'!AE202</f>
        <v>0</v>
      </c>
      <c r="S76" s="81">
        <f>'收入支出明细表（基础数据表）'!AF202</f>
        <v>0</v>
      </c>
    </row>
    <row r="77" spans="1:19" ht="22.05" customHeight="1" x14ac:dyDescent="0.25">
      <c r="A77" s="206"/>
      <c r="B77" s="214"/>
      <c r="C77" s="88" t="s">
        <v>206</v>
      </c>
      <c r="D77" s="79" t="s">
        <v>149</v>
      </c>
      <c r="E77" s="86"/>
      <c r="F77" s="91">
        <v>0.06</v>
      </c>
      <c r="G77" s="81">
        <f>'收入支出明细表（基础数据表）'!T205</f>
        <v>0</v>
      </c>
      <c r="H77" s="81">
        <f>'收入支出明细表（基础数据表）'!U205</f>
        <v>0</v>
      </c>
      <c r="I77" s="81">
        <f>'收入支出明细表（基础数据表）'!V205</f>
        <v>0</v>
      </c>
      <c r="J77" s="81">
        <f>'收入支出明细表（基础数据表）'!W205</f>
        <v>0</v>
      </c>
      <c r="K77" s="81">
        <f>'收入支出明细表（基础数据表）'!X205</f>
        <v>0</v>
      </c>
      <c r="L77" s="81">
        <f>'收入支出明细表（基础数据表）'!Y205</f>
        <v>0</v>
      </c>
      <c r="M77" s="81">
        <f>'收入支出明细表（基础数据表）'!Z205</f>
        <v>0</v>
      </c>
      <c r="N77" s="81">
        <f>'收入支出明细表（基础数据表）'!AA205</f>
        <v>0</v>
      </c>
      <c r="O77" s="81">
        <f>'收入支出明细表（基础数据表）'!AB205</f>
        <v>0</v>
      </c>
      <c r="P77" s="81">
        <f>'收入支出明细表（基础数据表）'!AC205</f>
        <v>0</v>
      </c>
      <c r="Q77" s="81">
        <f>'收入支出明细表（基础数据表）'!AD205</f>
        <v>0</v>
      </c>
      <c r="R77" s="81">
        <f>'收入支出明细表（基础数据表）'!AE205</f>
        <v>0</v>
      </c>
      <c r="S77" s="81">
        <f>'收入支出明细表（基础数据表）'!AF205</f>
        <v>0</v>
      </c>
    </row>
    <row r="78" spans="1:19" ht="22.05" customHeight="1" x14ac:dyDescent="0.25">
      <c r="A78" s="206"/>
      <c r="B78" s="214"/>
      <c r="C78" s="88" t="s">
        <v>207</v>
      </c>
      <c r="D78" s="79" t="s">
        <v>149</v>
      </c>
      <c r="E78" s="86"/>
      <c r="F78" s="91">
        <v>0.06</v>
      </c>
      <c r="G78" s="81">
        <f>'收入支出明细表（基础数据表）'!T208</f>
        <v>0</v>
      </c>
      <c r="H78" s="81">
        <f>'收入支出明细表（基础数据表）'!U208</f>
        <v>0</v>
      </c>
      <c r="I78" s="81">
        <f>'收入支出明细表（基础数据表）'!V208</f>
        <v>0</v>
      </c>
      <c r="J78" s="81">
        <f>'收入支出明细表（基础数据表）'!W208</f>
        <v>0</v>
      </c>
      <c r="K78" s="81">
        <f>'收入支出明细表（基础数据表）'!X208</f>
        <v>0</v>
      </c>
      <c r="L78" s="81">
        <f>'收入支出明细表（基础数据表）'!Y208</f>
        <v>0</v>
      </c>
      <c r="M78" s="81">
        <f>'收入支出明细表（基础数据表）'!Z208</f>
        <v>0</v>
      </c>
      <c r="N78" s="81">
        <f>'收入支出明细表（基础数据表）'!AA208</f>
        <v>0</v>
      </c>
      <c r="O78" s="81">
        <f>'收入支出明细表（基础数据表）'!AB208</f>
        <v>0</v>
      </c>
      <c r="P78" s="81">
        <f>'收入支出明细表（基础数据表）'!AC208</f>
        <v>0</v>
      </c>
      <c r="Q78" s="81">
        <f>'收入支出明细表（基础数据表）'!AD208</f>
        <v>0</v>
      </c>
      <c r="R78" s="81">
        <f>'收入支出明细表（基础数据表）'!AE208</f>
        <v>0</v>
      </c>
      <c r="S78" s="81">
        <f>'收入支出明细表（基础数据表）'!AF208</f>
        <v>0</v>
      </c>
    </row>
    <row r="79" spans="1:19" ht="22.05" customHeight="1" x14ac:dyDescent="0.25">
      <c r="A79" s="206"/>
      <c r="B79" s="214"/>
      <c r="C79" s="88" t="s">
        <v>208</v>
      </c>
      <c r="D79" s="79" t="s">
        <v>149</v>
      </c>
      <c r="E79" s="86"/>
      <c r="F79" s="91">
        <v>0.06</v>
      </c>
      <c r="G79" s="81">
        <f>'收入支出明细表（基础数据表）'!T211</f>
        <v>0</v>
      </c>
      <c r="H79" s="81">
        <f>'收入支出明细表（基础数据表）'!U211</f>
        <v>0</v>
      </c>
      <c r="I79" s="81">
        <f>'收入支出明细表（基础数据表）'!V211</f>
        <v>0</v>
      </c>
      <c r="J79" s="81">
        <f>'收入支出明细表（基础数据表）'!W211</f>
        <v>0</v>
      </c>
      <c r="K79" s="81">
        <f>'收入支出明细表（基础数据表）'!X211</f>
        <v>0</v>
      </c>
      <c r="L79" s="81">
        <f>'收入支出明细表（基础数据表）'!Y211</f>
        <v>0</v>
      </c>
      <c r="M79" s="81">
        <f>'收入支出明细表（基础数据表）'!Z211</f>
        <v>0</v>
      </c>
      <c r="N79" s="81">
        <f>'收入支出明细表（基础数据表）'!AA211</f>
        <v>0</v>
      </c>
      <c r="O79" s="81">
        <f>'收入支出明细表（基础数据表）'!AB211</f>
        <v>0</v>
      </c>
      <c r="P79" s="81">
        <f>'收入支出明细表（基础数据表）'!AC211</f>
        <v>0</v>
      </c>
      <c r="Q79" s="81">
        <f>'收入支出明细表（基础数据表）'!AD211</f>
        <v>0</v>
      </c>
      <c r="R79" s="81">
        <f>'收入支出明细表（基础数据表）'!AE211</f>
        <v>0</v>
      </c>
      <c r="S79" s="81">
        <f>'收入支出明细表（基础数据表）'!AF211</f>
        <v>0</v>
      </c>
    </row>
    <row r="80" spans="1:19" ht="22.05" customHeight="1" x14ac:dyDescent="0.25">
      <c r="A80" s="206"/>
      <c r="B80" s="214"/>
      <c r="C80" s="86" t="s">
        <v>125</v>
      </c>
      <c r="D80" s="86"/>
      <c r="E80" s="86"/>
      <c r="F80" s="86"/>
      <c r="G80" s="81">
        <f>'收入支出明细表（基础数据表）'!T214</f>
        <v>0</v>
      </c>
      <c r="H80" s="81">
        <f>'收入支出明细表（基础数据表）'!U214</f>
        <v>0</v>
      </c>
      <c r="I80" s="81">
        <f>'收入支出明细表（基础数据表）'!V214</f>
        <v>0</v>
      </c>
      <c r="J80" s="81">
        <f>'收入支出明细表（基础数据表）'!W214</f>
        <v>0</v>
      </c>
      <c r="K80" s="81">
        <f>'收入支出明细表（基础数据表）'!X214</f>
        <v>0</v>
      </c>
      <c r="L80" s="81">
        <f>'收入支出明细表（基础数据表）'!Y214</f>
        <v>0</v>
      </c>
      <c r="M80" s="81">
        <f>'收入支出明细表（基础数据表）'!Z214</f>
        <v>0</v>
      </c>
      <c r="N80" s="81">
        <f>'收入支出明细表（基础数据表）'!AA214</f>
        <v>0</v>
      </c>
      <c r="O80" s="81">
        <f>'收入支出明细表（基础数据表）'!AB214</f>
        <v>0</v>
      </c>
      <c r="P80" s="81">
        <f>'收入支出明细表（基础数据表）'!AC214</f>
        <v>0</v>
      </c>
      <c r="Q80" s="81">
        <f>'收入支出明细表（基础数据表）'!AD214</f>
        <v>0</v>
      </c>
      <c r="R80" s="81">
        <f>'收入支出明细表（基础数据表）'!AE214</f>
        <v>0</v>
      </c>
      <c r="S80" s="81">
        <f>'收入支出明细表（基础数据表）'!AF214</f>
        <v>0</v>
      </c>
    </row>
    <row r="81" spans="1:19" ht="22.05" customHeight="1" x14ac:dyDescent="0.25">
      <c r="A81" s="206" t="s">
        <v>211</v>
      </c>
      <c r="B81" s="206"/>
      <c r="C81" s="89" t="s">
        <v>212</v>
      </c>
      <c r="D81" s="79" t="s">
        <v>149</v>
      </c>
      <c r="E81" s="80"/>
      <c r="F81" s="87"/>
      <c r="G81" s="81">
        <f>'收入支出明细表（基础数据表）'!T215</f>
        <v>0</v>
      </c>
      <c r="H81" s="81">
        <f>'收入支出明细表（基础数据表）'!U215</f>
        <v>0</v>
      </c>
      <c r="I81" s="81">
        <f>'收入支出明细表（基础数据表）'!V215</f>
        <v>0</v>
      </c>
      <c r="J81" s="81">
        <f>'收入支出明细表（基础数据表）'!W215</f>
        <v>0</v>
      </c>
      <c r="K81" s="81">
        <f>'收入支出明细表（基础数据表）'!X215</f>
        <v>0</v>
      </c>
      <c r="L81" s="81">
        <f>'收入支出明细表（基础数据表）'!Y215</f>
        <v>0</v>
      </c>
      <c r="M81" s="81">
        <f>'收入支出明细表（基础数据表）'!Z215</f>
        <v>0</v>
      </c>
      <c r="N81" s="81">
        <f>'收入支出明细表（基础数据表）'!AA215</f>
        <v>0</v>
      </c>
      <c r="O81" s="81">
        <f>'收入支出明细表（基础数据表）'!AB215</f>
        <v>0</v>
      </c>
      <c r="P81" s="81">
        <f>'收入支出明细表（基础数据表）'!AC215</f>
        <v>0</v>
      </c>
      <c r="Q81" s="81">
        <f>'收入支出明细表（基础数据表）'!AD215</f>
        <v>0</v>
      </c>
      <c r="R81" s="81">
        <f>'收入支出明细表（基础数据表）'!AE215</f>
        <v>0</v>
      </c>
      <c r="S81" s="81">
        <f>'收入支出明细表（基础数据表）'!AF215</f>
        <v>0</v>
      </c>
    </row>
    <row r="82" spans="1:19" ht="22.05" customHeight="1" x14ac:dyDescent="0.25">
      <c r="A82" s="206"/>
      <c r="B82" s="206"/>
      <c r="C82" s="88" t="s">
        <v>213</v>
      </c>
      <c r="D82" s="79" t="s">
        <v>149</v>
      </c>
      <c r="E82" s="92"/>
      <c r="F82" s="87"/>
      <c r="G82" s="81">
        <f>'收入支出明细表（基础数据表）'!T218</f>
        <v>0</v>
      </c>
      <c r="H82" s="81">
        <f>'收入支出明细表（基础数据表）'!U218</f>
        <v>0</v>
      </c>
      <c r="I82" s="81">
        <f>'收入支出明细表（基础数据表）'!V218</f>
        <v>0</v>
      </c>
      <c r="J82" s="81">
        <f>'收入支出明细表（基础数据表）'!W218</f>
        <v>0</v>
      </c>
      <c r="K82" s="81">
        <f>'收入支出明细表（基础数据表）'!X218</f>
        <v>0</v>
      </c>
      <c r="L82" s="81">
        <f>'收入支出明细表（基础数据表）'!Y218</f>
        <v>0</v>
      </c>
      <c r="M82" s="81">
        <f>'收入支出明细表（基础数据表）'!Z218</f>
        <v>0</v>
      </c>
      <c r="N82" s="81">
        <f>'收入支出明细表（基础数据表）'!AA218</f>
        <v>0</v>
      </c>
      <c r="O82" s="81">
        <f>'收入支出明细表（基础数据表）'!AB218</f>
        <v>0</v>
      </c>
      <c r="P82" s="81">
        <f>'收入支出明细表（基础数据表）'!AC218</f>
        <v>0</v>
      </c>
      <c r="Q82" s="81">
        <f>'收入支出明细表（基础数据表）'!AD218</f>
        <v>0</v>
      </c>
      <c r="R82" s="81">
        <f>'收入支出明细表（基础数据表）'!AE218</f>
        <v>0</v>
      </c>
      <c r="S82" s="81">
        <f>'收入支出明细表（基础数据表）'!AF218</f>
        <v>0</v>
      </c>
    </row>
    <row r="83" spans="1:19" ht="22.05" customHeight="1" x14ac:dyDescent="0.25">
      <c r="A83" s="206"/>
      <c r="B83" s="206"/>
      <c r="C83" s="93" t="s">
        <v>215</v>
      </c>
      <c r="D83" s="79" t="s">
        <v>149</v>
      </c>
      <c r="E83" s="86"/>
      <c r="F83" s="91"/>
      <c r="G83" s="81">
        <f>'收入支出明细表（基础数据表）'!T221</f>
        <v>0</v>
      </c>
      <c r="H83" s="81">
        <f>'收入支出明细表（基础数据表）'!U221</f>
        <v>0</v>
      </c>
      <c r="I83" s="81">
        <f>'收入支出明细表（基础数据表）'!V221</f>
        <v>0</v>
      </c>
      <c r="J83" s="81">
        <f>'收入支出明细表（基础数据表）'!W221</f>
        <v>0</v>
      </c>
      <c r="K83" s="81">
        <f>'收入支出明细表（基础数据表）'!X221</f>
        <v>0</v>
      </c>
      <c r="L83" s="81">
        <f>'收入支出明细表（基础数据表）'!Y221</f>
        <v>0</v>
      </c>
      <c r="M83" s="81">
        <f>'收入支出明细表（基础数据表）'!Z221</f>
        <v>0</v>
      </c>
      <c r="N83" s="81">
        <f>'收入支出明细表（基础数据表）'!AA221</f>
        <v>0</v>
      </c>
      <c r="O83" s="81">
        <f>'收入支出明细表（基础数据表）'!AB221</f>
        <v>0</v>
      </c>
      <c r="P83" s="81">
        <f>'收入支出明细表（基础数据表）'!AC221</f>
        <v>0</v>
      </c>
      <c r="Q83" s="81">
        <f>'收入支出明细表（基础数据表）'!AD221</f>
        <v>0</v>
      </c>
      <c r="R83" s="81">
        <f>'收入支出明细表（基础数据表）'!AE221</f>
        <v>0</v>
      </c>
      <c r="S83" s="81">
        <f>'收入支出明细表（基础数据表）'!AF221</f>
        <v>0</v>
      </c>
    </row>
    <row r="84" spans="1:19" s="74" customFormat="1" ht="85.95" customHeight="1" x14ac:dyDescent="0.25">
      <c r="A84" s="279"/>
      <c r="B84" s="279"/>
      <c r="C84" s="279"/>
      <c r="D84" s="279"/>
      <c r="E84" s="279"/>
      <c r="F84" s="279"/>
    </row>
    <row r="85" spans="1:19" s="74" customFormat="1" ht="30" customHeight="1" x14ac:dyDescent="0.25"/>
    <row r="86" spans="1:19" x14ac:dyDescent="0.25">
      <c r="C86" s="74"/>
    </row>
  </sheetData>
  <autoFilter ref="A2:X84" xr:uid="{00000000-0009-0000-0000-000004000000}"/>
  <mergeCells count="16">
    <mergeCell ref="A1:S1"/>
    <mergeCell ref="A2:C2"/>
    <mergeCell ref="B3:C3"/>
    <mergeCell ref="B38:C38"/>
    <mergeCell ref="A84:F84"/>
    <mergeCell ref="A3:A37"/>
    <mergeCell ref="A38:A53"/>
    <mergeCell ref="A54:A80"/>
    <mergeCell ref="B4:B15"/>
    <mergeCell ref="B16:B37"/>
    <mergeCell ref="B39:B46"/>
    <mergeCell ref="B47:B53"/>
    <mergeCell ref="B54:B64"/>
    <mergeCell ref="B65:B71"/>
    <mergeCell ref="B72:B80"/>
    <mergeCell ref="A81:B83"/>
  </mergeCells>
  <phoneticPr fontId="45" type="noConversion"/>
  <dataValidations count="2">
    <dataValidation type="list" allowBlank="1" showInputMessage="1" showErrorMessage="1" sqref="B1" xr:uid="{00000000-0002-0000-0400-000000000000}">
      <formula1>"分年填写,只填合计"</formula1>
    </dataValidation>
    <dataValidation type="list" allowBlank="1" showInputMessage="1" showErrorMessage="1" sqref="C2 D2" xr:uid="{00000000-0002-0000-0400-000001000000}">
      <formula1>"25%,20%,15%,12.5%,10%"</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6">
    <outlinePr summaryBelow="0"/>
    <pageSetUpPr fitToPage="1"/>
  </sheetPr>
  <dimension ref="A1:U41"/>
  <sheetViews>
    <sheetView showGridLines="0" view="pageBreakPreview" zoomScale="86" zoomScaleNormal="100" workbookViewId="0">
      <selection activeCell="E1" sqref="E1:P2"/>
    </sheetView>
  </sheetViews>
  <sheetFormatPr defaultColWidth="9" defaultRowHeight="15.6" x14ac:dyDescent="0.25"/>
  <cols>
    <col min="1" max="1" width="6.44140625" style="39" customWidth="1"/>
    <col min="2" max="2" width="31.109375" style="39" customWidth="1"/>
    <col min="3" max="3" width="15.21875" style="39" customWidth="1"/>
    <col min="4" max="5" width="17.6640625" style="39" customWidth="1"/>
    <col min="6" max="6" width="18.6640625" style="39" customWidth="1"/>
    <col min="7" max="7" width="19" style="39" customWidth="1"/>
    <col min="8" max="8" width="17.77734375" style="39" customWidth="1"/>
    <col min="9" max="9" width="19.33203125" style="39" customWidth="1"/>
    <col min="10" max="11" width="18" style="39" customWidth="1"/>
    <col min="12" max="12" width="23" style="39" customWidth="1"/>
    <col min="13" max="13" width="23" style="40" customWidth="1"/>
    <col min="14" max="15" width="23" style="39" customWidth="1"/>
    <col min="16" max="16" width="17.6640625" style="41" customWidth="1"/>
    <col min="17" max="17" width="55.77734375" style="39" customWidth="1"/>
    <col min="18" max="20" width="9" style="39"/>
    <col min="21" max="21" width="9.77734375" style="39" customWidth="1"/>
    <col min="22" max="16384" width="9" style="39"/>
  </cols>
  <sheetData>
    <row r="1" spans="1:20" s="38" customFormat="1" ht="35.700000000000003" customHeight="1" x14ac:dyDescent="0.25">
      <c r="B1" s="42" t="s">
        <v>219</v>
      </c>
      <c r="C1" s="43" t="s">
        <v>220</v>
      </c>
      <c r="D1" s="43" t="s">
        <v>221</v>
      </c>
      <c r="E1" s="282"/>
      <c r="F1" s="282"/>
      <c r="G1" s="282"/>
      <c r="H1" s="282"/>
      <c r="I1" s="282"/>
      <c r="J1" s="282"/>
      <c r="K1" s="282"/>
      <c r="L1" s="282"/>
      <c r="M1" s="282"/>
      <c r="N1" s="282"/>
      <c r="O1" s="282"/>
      <c r="P1" s="282"/>
      <c r="Q1" s="71"/>
    </row>
    <row r="2" spans="1:20" s="38" customFormat="1" ht="61.05" customHeight="1" x14ac:dyDescent="0.25">
      <c r="B2" s="42" t="s">
        <v>222</v>
      </c>
      <c r="C2" s="44">
        <v>0.05</v>
      </c>
      <c r="D2" s="45"/>
      <c r="E2" s="282"/>
      <c r="F2" s="282"/>
      <c r="G2" s="282"/>
      <c r="H2" s="282"/>
      <c r="I2" s="282"/>
      <c r="J2" s="282"/>
      <c r="K2" s="282"/>
      <c r="L2" s="282"/>
      <c r="M2" s="282"/>
      <c r="N2" s="282"/>
      <c r="O2" s="282"/>
      <c r="P2" s="282"/>
      <c r="Q2" s="71"/>
    </row>
    <row r="3" spans="1:20" s="38" customFormat="1" ht="35.700000000000003" customHeight="1" x14ac:dyDescent="0.25">
      <c r="B3" s="281" t="s">
        <v>223</v>
      </c>
      <c r="C3" s="281"/>
      <c r="D3" s="281"/>
      <c r="E3" s="281"/>
      <c r="F3" s="281"/>
      <c r="G3" s="281"/>
      <c r="H3" s="281"/>
      <c r="I3" s="281"/>
      <c r="J3" s="281"/>
      <c r="K3" s="281"/>
      <c r="L3" s="281"/>
      <c r="M3" s="281"/>
      <c r="N3" s="281"/>
      <c r="O3" s="281"/>
      <c r="P3" s="281"/>
    </row>
    <row r="4" spans="1:20" s="38" customFormat="1" ht="36.9" customHeight="1" x14ac:dyDescent="0.25">
      <c r="A4" s="39"/>
      <c r="B4" s="42" t="s">
        <v>25</v>
      </c>
      <c r="C4" s="42" t="s">
        <v>79</v>
      </c>
      <c r="D4" s="42" t="s">
        <v>80</v>
      </c>
      <c r="E4" s="42" t="s">
        <v>81</v>
      </c>
      <c r="F4" s="42" t="s">
        <v>82</v>
      </c>
      <c r="G4" s="42" t="s">
        <v>83</v>
      </c>
      <c r="H4" s="42" t="s">
        <v>84</v>
      </c>
      <c r="I4" s="42" t="s">
        <v>85</v>
      </c>
      <c r="J4" s="42" t="s">
        <v>86</v>
      </c>
      <c r="K4" s="42" t="s">
        <v>87</v>
      </c>
      <c r="L4" s="42" t="s">
        <v>88</v>
      </c>
      <c r="M4" s="42" t="s">
        <v>89</v>
      </c>
      <c r="N4" s="42" t="s">
        <v>90</v>
      </c>
      <c r="O4" s="43" t="s">
        <v>224</v>
      </c>
      <c r="P4" s="39"/>
      <c r="Q4" s="39"/>
      <c r="R4" s="39"/>
      <c r="S4" s="39"/>
      <c r="T4" s="72"/>
    </row>
    <row r="5" spans="1:20" s="38" customFormat="1" ht="25.95" customHeight="1" x14ac:dyDescent="0.25">
      <c r="B5" s="42" t="s">
        <v>225</v>
      </c>
      <c r="C5" s="46">
        <f>SUM(D5:O5)</f>
        <v>0</v>
      </c>
      <c r="D5" s="47">
        <f>'收入支出明细表（基础数据表）'!H4</f>
        <v>0</v>
      </c>
      <c r="E5" s="47">
        <f>'收入支出明细表（基础数据表）'!I4</f>
        <v>0</v>
      </c>
      <c r="F5" s="47">
        <f>'收入支出明细表（基础数据表）'!J4</f>
        <v>0</v>
      </c>
      <c r="G5" s="47">
        <f>'收入支出明细表（基础数据表）'!K4</f>
        <v>0</v>
      </c>
      <c r="H5" s="47">
        <f>'收入支出明细表（基础数据表）'!L4</f>
        <v>0</v>
      </c>
      <c r="I5" s="47">
        <f>'收入支出明细表（基础数据表）'!M4</f>
        <v>0</v>
      </c>
      <c r="J5" s="47">
        <f>'收入支出明细表（基础数据表）'!N4</f>
        <v>0</v>
      </c>
      <c r="K5" s="47">
        <f>'收入支出明细表（基础数据表）'!O4</f>
        <v>0</v>
      </c>
      <c r="L5" s="47">
        <f>'收入支出明细表（基础数据表）'!P4</f>
        <v>0</v>
      </c>
      <c r="M5" s="47">
        <f>'收入支出明细表（基础数据表）'!Q4</f>
        <v>0</v>
      </c>
      <c r="N5" s="47">
        <f>'收入支出明细表（基础数据表）'!R4</f>
        <v>0</v>
      </c>
      <c r="O5" s="66">
        <f>'收入支出明细表（基础数据表）'!S4</f>
        <v>0</v>
      </c>
    </row>
    <row r="6" spans="1:20" s="38" customFormat="1" ht="25.95" customHeight="1" x14ac:dyDescent="0.25">
      <c r="B6" s="42" t="s">
        <v>226</v>
      </c>
      <c r="C6" s="46">
        <f>SUM(D6:O6)</f>
        <v>0</v>
      </c>
      <c r="D6" s="47">
        <f>'收入支出明细表（基础数据表）'!H141+'收入支出明细表（基础数据表）'!H172+'收入支出明细表（基础数据表）'!H191+'收入支出明细表（基础数据表）'!H216</f>
        <v>0</v>
      </c>
      <c r="E6" s="47">
        <f>'收入支出明细表（基础数据表）'!I141+'收入支出明细表（基础数据表）'!I172+'收入支出明细表（基础数据表）'!I191+'收入支出明细表（基础数据表）'!I216</f>
        <v>0</v>
      </c>
      <c r="F6" s="47">
        <f>'收入支出明细表（基础数据表）'!J141+'收入支出明细表（基础数据表）'!J172+'收入支出明细表（基础数据表）'!J191+'收入支出明细表（基础数据表）'!J216</f>
        <v>0</v>
      </c>
      <c r="G6" s="47">
        <f>'收入支出明细表（基础数据表）'!K141+'收入支出明细表（基础数据表）'!K172+'收入支出明细表（基础数据表）'!K191+'收入支出明细表（基础数据表）'!K216</f>
        <v>0</v>
      </c>
      <c r="H6" s="47">
        <f>'收入支出明细表（基础数据表）'!L141+'收入支出明细表（基础数据表）'!L172+'收入支出明细表（基础数据表）'!L191+'收入支出明细表（基础数据表）'!L216</f>
        <v>0</v>
      </c>
      <c r="I6" s="47">
        <f>'收入支出明细表（基础数据表）'!M141+'收入支出明细表（基础数据表）'!M172+'收入支出明细表（基础数据表）'!M191+'收入支出明细表（基础数据表）'!M216</f>
        <v>0</v>
      </c>
      <c r="J6" s="47">
        <f>'收入支出明细表（基础数据表）'!N141+'收入支出明细表（基础数据表）'!N172+'收入支出明细表（基础数据表）'!N191+'收入支出明细表（基础数据表）'!N216</f>
        <v>0</v>
      </c>
      <c r="K6" s="47">
        <f>'收入支出明细表（基础数据表）'!O141+'收入支出明细表（基础数据表）'!O172+'收入支出明细表（基础数据表）'!O191+'收入支出明细表（基础数据表）'!O216</f>
        <v>0</v>
      </c>
      <c r="L6" s="47">
        <f>'收入支出明细表（基础数据表）'!P141+'收入支出明细表（基础数据表）'!P172+'收入支出明细表（基础数据表）'!P191+'收入支出明细表（基础数据表）'!P216</f>
        <v>0</v>
      </c>
      <c r="M6" s="47">
        <f>'收入支出明细表（基础数据表）'!Q141+'收入支出明细表（基础数据表）'!Q172+'收入支出明细表（基础数据表）'!Q191+'收入支出明细表（基础数据表）'!Q216</f>
        <v>0</v>
      </c>
      <c r="N6" s="47">
        <f>'收入支出明细表（基础数据表）'!R141+'收入支出明细表（基础数据表）'!R172+'收入支出明细表（基础数据表）'!R191+'收入支出明细表（基础数据表）'!R216</f>
        <v>0</v>
      </c>
      <c r="O6" s="66">
        <f>'收入支出明细表（基础数据表）'!S141+'收入支出明细表（基础数据表）'!S172+'收入支出明细表（基础数据表）'!S191+'收入支出明细表（基础数据表）'!S216</f>
        <v>0</v>
      </c>
    </row>
    <row r="7" spans="1:20" s="38" customFormat="1" ht="25.95" customHeight="1" x14ac:dyDescent="0.25">
      <c r="B7" s="42" t="s">
        <v>227</v>
      </c>
      <c r="C7" s="46">
        <f>SUM(D7:O7)</f>
        <v>0</v>
      </c>
      <c r="D7" s="47">
        <f>'收入支出明细表（基础数据表）'!H100+'收入支出明细表（基础数据表）'!H122</f>
        <v>0</v>
      </c>
      <c r="E7" s="47">
        <f>'收入支出明细表（基础数据表）'!I100+'收入支出明细表（基础数据表）'!I122</f>
        <v>0</v>
      </c>
      <c r="F7" s="47">
        <f>'收入支出明细表（基础数据表）'!J100+'收入支出明细表（基础数据表）'!J122</f>
        <v>0</v>
      </c>
      <c r="G7" s="47">
        <f>'收入支出明细表（基础数据表）'!K100+'收入支出明细表（基础数据表）'!K122</f>
        <v>0</v>
      </c>
      <c r="H7" s="47">
        <f>'收入支出明细表（基础数据表）'!L100+'收入支出明细表（基础数据表）'!L122</f>
        <v>0</v>
      </c>
      <c r="I7" s="47">
        <f>'收入支出明细表（基础数据表）'!M100+'收入支出明细表（基础数据表）'!M122</f>
        <v>0</v>
      </c>
      <c r="J7" s="47">
        <f>'收入支出明细表（基础数据表）'!N100+'收入支出明细表（基础数据表）'!N122</f>
        <v>0</v>
      </c>
      <c r="K7" s="47">
        <f>'收入支出明细表（基础数据表）'!O100+'收入支出明细表（基础数据表）'!O122</f>
        <v>0</v>
      </c>
      <c r="L7" s="47">
        <f>'收入支出明细表（基础数据表）'!P100+'收入支出明细表（基础数据表）'!P122</f>
        <v>0</v>
      </c>
      <c r="M7" s="47">
        <f>'收入支出明细表（基础数据表）'!Q100+'收入支出明细表（基础数据表）'!Q122</f>
        <v>0</v>
      </c>
      <c r="N7" s="47">
        <f>'收入支出明细表（基础数据表）'!R100+'收入支出明细表（基础数据表）'!R122</f>
        <v>0</v>
      </c>
      <c r="O7" s="66">
        <f>'收入支出明细表（基础数据表）'!S100+'收入支出明细表（基础数据表）'!S122</f>
        <v>0</v>
      </c>
    </row>
    <row r="8" spans="1:20" s="38" customFormat="1" ht="25.95" customHeight="1" x14ac:dyDescent="0.25">
      <c r="B8" s="42" t="s">
        <v>228</v>
      </c>
      <c r="C8" s="48">
        <f>C36</f>
        <v>0</v>
      </c>
      <c r="D8" s="48">
        <f t="shared" ref="D8:O8" si="0">D36</f>
        <v>0</v>
      </c>
      <c r="E8" s="48">
        <f t="shared" si="0"/>
        <v>0</v>
      </c>
      <c r="F8" s="48">
        <f t="shared" si="0"/>
        <v>0</v>
      </c>
      <c r="G8" s="48">
        <f t="shared" si="0"/>
        <v>0</v>
      </c>
      <c r="H8" s="48">
        <f t="shared" si="0"/>
        <v>0</v>
      </c>
      <c r="I8" s="48">
        <f t="shared" si="0"/>
        <v>0</v>
      </c>
      <c r="J8" s="48">
        <f t="shared" si="0"/>
        <v>0</v>
      </c>
      <c r="K8" s="48">
        <f t="shared" si="0"/>
        <v>0</v>
      </c>
      <c r="L8" s="48">
        <f t="shared" si="0"/>
        <v>0</v>
      </c>
      <c r="M8" s="48">
        <f t="shared" si="0"/>
        <v>0</v>
      </c>
      <c r="N8" s="48">
        <f t="shared" si="0"/>
        <v>0</v>
      </c>
      <c r="O8" s="67">
        <f t="shared" si="0"/>
        <v>0</v>
      </c>
    </row>
    <row r="9" spans="1:20" s="38" customFormat="1" ht="25.95" customHeight="1" x14ac:dyDescent="0.25">
      <c r="B9" s="42" t="s">
        <v>229</v>
      </c>
      <c r="C9" s="48">
        <f>SUM(C6:C8)</f>
        <v>0</v>
      </c>
      <c r="D9" s="48">
        <f t="shared" ref="D9:O9" si="1">SUM(D6:D8)</f>
        <v>0</v>
      </c>
      <c r="E9" s="48">
        <f t="shared" si="1"/>
        <v>0</v>
      </c>
      <c r="F9" s="48">
        <f t="shared" si="1"/>
        <v>0</v>
      </c>
      <c r="G9" s="48">
        <f t="shared" si="1"/>
        <v>0</v>
      </c>
      <c r="H9" s="48">
        <f t="shared" si="1"/>
        <v>0</v>
      </c>
      <c r="I9" s="48">
        <f t="shared" si="1"/>
        <v>0</v>
      </c>
      <c r="J9" s="48">
        <f t="shared" si="1"/>
        <v>0</v>
      </c>
      <c r="K9" s="48">
        <f t="shared" si="1"/>
        <v>0</v>
      </c>
      <c r="L9" s="48">
        <f t="shared" si="1"/>
        <v>0</v>
      </c>
      <c r="M9" s="48">
        <f t="shared" si="1"/>
        <v>0</v>
      </c>
      <c r="N9" s="48">
        <f t="shared" si="1"/>
        <v>0</v>
      </c>
      <c r="O9" s="67">
        <f t="shared" si="1"/>
        <v>0</v>
      </c>
    </row>
    <row r="10" spans="1:20" s="38" customFormat="1" ht="25.95" customHeight="1" x14ac:dyDescent="0.25">
      <c r="B10" s="42" t="s">
        <v>230</v>
      </c>
      <c r="C10" s="48">
        <f>SUM(D10:O10)</f>
        <v>0</v>
      </c>
      <c r="D10" s="48">
        <f>D5-D9</f>
        <v>0</v>
      </c>
      <c r="E10" s="48">
        <f>E5-E9</f>
        <v>0</v>
      </c>
      <c r="F10" s="48">
        <f>F5-F9</f>
        <v>0</v>
      </c>
      <c r="G10" s="48">
        <f>G5-G9</f>
        <v>0</v>
      </c>
      <c r="H10" s="48">
        <f t="shared" ref="H10:O10" si="2">H5-H9</f>
        <v>0</v>
      </c>
      <c r="I10" s="48">
        <f t="shared" si="2"/>
        <v>0</v>
      </c>
      <c r="J10" s="48">
        <f t="shared" si="2"/>
        <v>0</v>
      </c>
      <c r="K10" s="48">
        <f t="shared" si="2"/>
        <v>0</v>
      </c>
      <c r="L10" s="48">
        <f t="shared" si="2"/>
        <v>0</v>
      </c>
      <c r="M10" s="48">
        <f t="shared" si="2"/>
        <v>0</v>
      </c>
      <c r="N10" s="48">
        <f t="shared" si="2"/>
        <v>0</v>
      </c>
      <c r="O10" s="67">
        <f t="shared" si="2"/>
        <v>0</v>
      </c>
    </row>
    <row r="11" spans="1:20" s="38" customFormat="1" ht="25.95" customHeight="1" x14ac:dyDescent="0.25">
      <c r="B11" s="42" t="s">
        <v>231</v>
      </c>
      <c r="C11" s="48">
        <f>N11</f>
        <v>0</v>
      </c>
      <c r="D11" s="48">
        <f>SUM($D10:D10)</f>
        <v>0</v>
      </c>
      <c r="E11" s="48">
        <f>SUM($D10:E10)</f>
        <v>0</v>
      </c>
      <c r="F11" s="48">
        <f>SUM($D10:F10)</f>
        <v>0</v>
      </c>
      <c r="G11" s="48">
        <f>SUM($D10:G10)</f>
        <v>0</v>
      </c>
      <c r="H11" s="48">
        <f>SUM($D10:H10)</f>
        <v>0</v>
      </c>
      <c r="I11" s="48">
        <f>SUM($D10:I10)</f>
        <v>0</v>
      </c>
      <c r="J11" s="48">
        <f>SUM($D10:J10)</f>
        <v>0</v>
      </c>
      <c r="K11" s="48">
        <f>SUM($D10:K10)</f>
        <v>0</v>
      </c>
      <c r="L11" s="48">
        <f>SUM($D10:L10)</f>
        <v>0</v>
      </c>
      <c r="M11" s="48">
        <f>SUM($D10:M10)</f>
        <v>0</v>
      </c>
      <c r="N11" s="48">
        <f>SUM($D10:N10)</f>
        <v>0</v>
      </c>
      <c r="O11" s="67">
        <f>SUM($D10:O10)</f>
        <v>0</v>
      </c>
    </row>
    <row r="12" spans="1:20" s="38" customFormat="1" ht="35.700000000000003" customHeight="1" x14ac:dyDescent="0.25">
      <c r="B12" s="49"/>
      <c r="C12" s="50"/>
      <c r="D12" s="50"/>
      <c r="E12" s="50"/>
      <c r="F12" s="50"/>
      <c r="G12" s="50"/>
      <c r="H12" s="50"/>
      <c r="I12" s="50"/>
      <c r="J12" s="50"/>
      <c r="K12" s="50"/>
      <c r="L12" s="50"/>
      <c r="M12" s="50"/>
      <c r="N12" s="50"/>
      <c r="O12" s="50"/>
      <c r="P12" s="50"/>
    </row>
    <row r="13" spans="1:20" s="38" customFormat="1" ht="35.700000000000003" customHeight="1" x14ac:dyDescent="0.25">
      <c r="B13" s="49"/>
      <c r="C13" s="50"/>
      <c r="D13" s="50"/>
      <c r="E13" s="50"/>
      <c r="F13" s="50"/>
      <c r="G13" s="50"/>
      <c r="H13" s="50"/>
      <c r="I13" s="50"/>
      <c r="J13" s="50"/>
      <c r="K13" s="50"/>
      <c r="L13" s="50"/>
      <c r="M13" s="50"/>
      <c r="N13" s="50"/>
      <c r="O13" s="50"/>
      <c r="P13" s="50"/>
    </row>
    <row r="14" spans="1:20" s="38" customFormat="1" ht="35.700000000000003" customHeight="1" x14ac:dyDescent="0.25">
      <c r="B14" s="281" t="s">
        <v>232</v>
      </c>
      <c r="C14" s="281"/>
      <c r="D14" s="281"/>
      <c r="E14" s="281"/>
      <c r="F14" s="281"/>
      <c r="G14" s="281"/>
      <c r="H14" s="281"/>
      <c r="I14" s="281"/>
      <c r="J14" s="281"/>
      <c r="K14" s="281"/>
      <c r="L14" s="281"/>
      <c r="M14" s="281"/>
      <c r="N14" s="281"/>
      <c r="O14" s="281"/>
      <c r="P14" s="281"/>
    </row>
    <row r="15" spans="1:20" s="38" customFormat="1" ht="16.2" x14ac:dyDescent="0.25">
      <c r="B15" s="42" t="s">
        <v>233</v>
      </c>
      <c r="C15" s="42" t="s">
        <v>79</v>
      </c>
      <c r="D15" s="42" t="s">
        <v>234</v>
      </c>
      <c r="E15" s="42" t="s">
        <v>81</v>
      </c>
      <c r="F15" s="42" t="s">
        <v>82</v>
      </c>
      <c r="G15" s="42" t="s">
        <v>83</v>
      </c>
      <c r="H15" s="42" t="s">
        <v>84</v>
      </c>
      <c r="I15" s="42" t="s">
        <v>85</v>
      </c>
      <c r="J15" s="42" t="s">
        <v>86</v>
      </c>
      <c r="K15" s="42" t="s">
        <v>87</v>
      </c>
      <c r="L15" s="42" t="s">
        <v>88</v>
      </c>
      <c r="M15" s="42" t="s">
        <v>89</v>
      </c>
      <c r="N15" s="42" t="s">
        <v>90</v>
      </c>
      <c r="O15" s="43" t="s">
        <v>224</v>
      </c>
    </row>
    <row r="16" spans="1:20" s="38" customFormat="1" ht="16.2" x14ac:dyDescent="0.25">
      <c r="B16" s="42" t="s">
        <v>235</v>
      </c>
      <c r="C16" s="51"/>
      <c r="D16" s="52">
        <f t="shared" ref="D16:O16" si="3">IF(D24&lt;=0,1,0)</f>
        <v>1</v>
      </c>
      <c r="E16" s="52">
        <f t="shared" si="3"/>
        <v>1</v>
      </c>
      <c r="F16" s="52">
        <f t="shared" si="3"/>
        <v>1</v>
      </c>
      <c r="G16" s="52">
        <f t="shared" si="3"/>
        <v>1</v>
      </c>
      <c r="H16" s="52">
        <f t="shared" si="3"/>
        <v>1</v>
      </c>
      <c r="I16" s="52">
        <f t="shared" si="3"/>
        <v>1</v>
      </c>
      <c r="J16" s="52">
        <f t="shared" si="3"/>
        <v>1</v>
      </c>
      <c r="K16" s="52">
        <f t="shared" si="3"/>
        <v>1</v>
      </c>
      <c r="L16" s="52">
        <f t="shared" si="3"/>
        <v>1</v>
      </c>
      <c r="M16" s="52">
        <f t="shared" si="3"/>
        <v>1</v>
      </c>
      <c r="N16" s="52">
        <f t="shared" si="3"/>
        <v>1</v>
      </c>
      <c r="O16" s="68">
        <f t="shared" si="3"/>
        <v>1</v>
      </c>
    </row>
    <row r="17" spans="1:20" s="38" customFormat="1" ht="16.2" x14ac:dyDescent="0.25">
      <c r="B17" s="42" t="s">
        <v>236</v>
      </c>
      <c r="C17" s="51"/>
      <c r="D17" s="52">
        <f t="shared" ref="D17:O17" si="4">IF(D11&lt;=0,1,0)</f>
        <v>1</v>
      </c>
      <c r="E17" s="52">
        <f t="shared" si="4"/>
        <v>1</v>
      </c>
      <c r="F17" s="52">
        <f t="shared" si="4"/>
        <v>1</v>
      </c>
      <c r="G17" s="52">
        <f t="shared" si="4"/>
        <v>1</v>
      </c>
      <c r="H17" s="52">
        <f t="shared" si="4"/>
        <v>1</v>
      </c>
      <c r="I17" s="52">
        <f t="shared" si="4"/>
        <v>1</v>
      </c>
      <c r="J17" s="52">
        <f t="shared" si="4"/>
        <v>1</v>
      </c>
      <c r="K17" s="52">
        <f t="shared" si="4"/>
        <v>1</v>
      </c>
      <c r="L17" s="52">
        <f t="shared" si="4"/>
        <v>1</v>
      </c>
      <c r="M17" s="52">
        <f t="shared" si="4"/>
        <v>1</v>
      </c>
      <c r="N17" s="52">
        <f t="shared" si="4"/>
        <v>1</v>
      </c>
      <c r="O17" s="68">
        <f t="shared" si="4"/>
        <v>1</v>
      </c>
    </row>
    <row r="18" spans="1:20" s="38" customFormat="1" ht="16.2" x14ac:dyDescent="0.25">
      <c r="A18" s="39"/>
      <c r="B18" s="42" t="s">
        <v>25</v>
      </c>
      <c r="C18" s="53"/>
      <c r="D18" s="53">
        <v>0</v>
      </c>
      <c r="E18" s="53">
        <v>1</v>
      </c>
      <c r="F18" s="53">
        <v>2</v>
      </c>
      <c r="G18" s="53">
        <v>3</v>
      </c>
      <c r="H18" s="53">
        <v>4</v>
      </c>
      <c r="I18" s="53">
        <v>5</v>
      </c>
      <c r="J18" s="53">
        <v>6</v>
      </c>
      <c r="K18" s="53">
        <v>7</v>
      </c>
      <c r="L18" s="53">
        <v>8</v>
      </c>
      <c r="M18" s="53">
        <v>9</v>
      </c>
      <c r="N18" s="53">
        <v>10</v>
      </c>
      <c r="O18" s="69">
        <v>11</v>
      </c>
      <c r="P18" s="39"/>
      <c r="Q18" s="39"/>
      <c r="R18" s="39"/>
      <c r="S18" s="39"/>
      <c r="T18" s="72"/>
    </row>
    <row r="19" spans="1:20" s="38" customFormat="1" ht="16.2" x14ac:dyDescent="0.25">
      <c r="B19" s="42" t="s">
        <v>237</v>
      </c>
      <c r="C19" s="54">
        <f>SUM(D19:O19)</f>
        <v>0</v>
      </c>
      <c r="D19" s="54">
        <f>D5/(1+$C$2)^D18</f>
        <v>0</v>
      </c>
      <c r="E19" s="54">
        <f t="shared" ref="E19:O19" si="5">E5/(1+$C$2)^E18</f>
        <v>0</v>
      </c>
      <c r="F19" s="54">
        <f t="shared" si="5"/>
        <v>0</v>
      </c>
      <c r="G19" s="54">
        <f t="shared" si="5"/>
        <v>0</v>
      </c>
      <c r="H19" s="54">
        <f t="shared" si="5"/>
        <v>0</v>
      </c>
      <c r="I19" s="54">
        <f t="shared" si="5"/>
        <v>0</v>
      </c>
      <c r="J19" s="54">
        <f t="shared" si="5"/>
        <v>0</v>
      </c>
      <c r="K19" s="54">
        <f t="shared" si="5"/>
        <v>0</v>
      </c>
      <c r="L19" s="54">
        <f t="shared" si="5"/>
        <v>0</v>
      </c>
      <c r="M19" s="54">
        <f t="shared" si="5"/>
        <v>0</v>
      </c>
      <c r="N19" s="54">
        <f t="shared" si="5"/>
        <v>0</v>
      </c>
      <c r="O19" s="70">
        <f t="shared" si="5"/>
        <v>0</v>
      </c>
    </row>
    <row r="20" spans="1:20" s="38" customFormat="1" ht="22.05" customHeight="1" x14ac:dyDescent="0.25">
      <c r="B20" s="42" t="s">
        <v>238</v>
      </c>
      <c r="C20" s="48">
        <f>SUM(D20:O20)</f>
        <v>0</v>
      </c>
      <c r="D20" s="48">
        <f>D9/(1+$C$2)^D18</f>
        <v>0</v>
      </c>
      <c r="E20" s="48">
        <f t="shared" ref="E20:O20" si="6">E9/(1+$C$2)^E18</f>
        <v>0</v>
      </c>
      <c r="F20" s="48">
        <f t="shared" si="6"/>
        <v>0</v>
      </c>
      <c r="G20" s="48">
        <f t="shared" si="6"/>
        <v>0</v>
      </c>
      <c r="H20" s="48">
        <f t="shared" si="6"/>
        <v>0</v>
      </c>
      <c r="I20" s="48">
        <f t="shared" si="6"/>
        <v>0</v>
      </c>
      <c r="J20" s="48">
        <f t="shared" si="6"/>
        <v>0</v>
      </c>
      <c r="K20" s="48">
        <f t="shared" si="6"/>
        <v>0</v>
      </c>
      <c r="L20" s="48">
        <f t="shared" si="6"/>
        <v>0</v>
      </c>
      <c r="M20" s="48">
        <f t="shared" si="6"/>
        <v>0</v>
      </c>
      <c r="N20" s="48">
        <f t="shared" si="6"/>
        <v>0</v>
      </c>
      <c r="O20" s="67">
        <f t="shared" si="6"/>
        <v>0</v>
      </c>
    </row>
    <row r="21" spans="1:20" s="38" customFormat="1" ht="22.05" customHeight="1" x14ac:dyDescent="0.25">
      <c r="B21" s="42" t="s">
        <v>230</v>
      </c>
      <c r="C21" s="48">
        <f>C10</f>
        <v>0</v>
      </c>
      <c r="D21" s="48">
        <f t="shared" ref="D21:O21" si="7">D10</f>
        <v>0</v>
      </c>
      <c r="E21" s="48">
        <f t="shared" si="7"/>
        <v>0</v>
      </c>
      <c r="F21" s="48">
        <f t="shared" si="7"/>
        <v>0</v>
      </c>
      <c r="G21" s="48">
        <f t="shared" si="7"/>
        <v>0</v>
      </c>
      <c r="H21" s="48">
        <f t="shared" si="7"/>
        <v>0</v>
      </c>
      <c r="I21" s="48">
        <f t="shared" si="7"/>
        <v>0</v>
      </c>
      <c r="J21" s="48">
        <f t="shared" si="7"/>
        <v>0</v>
      </c>
      <c r="K21" s="48">
        <f t="shared" si="7"/>
        <v>0</v>
      </c>
      <c r="L21" s="48">
        <f t="shared" si="7"/>
        <v>0</v>
      </c>
      <c r="M21" s="48">
        <f t="shared" si="7"/>
        <v>0</v>
      </c>
      <c r="N21" s="48">
        <f t="shared" si="7"/>
        <v>0</v>
      </c>
      <c r="O21" s="48">
        <f t="shared" si="7"/>
        <v>0</v>
      </c>
    </row>
    <row r="22" spans="1:20" s="38" customFormat="1" ht="22.05" customHeight="1" x14ac:dyDescent="0.25">
      <c r="B22" s="42" t="s">
        <v>239</v>
      </c>
      <c r="C22" s="48">
        <f>SUM(D22:O22)</f>
        <v>0</v>
      </c>
      <c r="D22" s="48">
        <f>D10/(1+$C$2)^D18</f>
        <v>0</v>
      </c>
      <c r="E22" s="48">
        <f>E10/(1+$C$2)^E18</f>
        <v>0</v>
      </c>
      <c r="F22" s="48">
        <f t="shared" ref="F22:O22" si="8">F10/(1+$C$2)^F18</f>
        <v>0</v>
      </c>
      <c r="G22" s="48">
        <f t="shared" si="8"/>
        <v>0</v>
      </c>
      <c r="H22" s="48">
        <f t="shared" si="8"/>
        <v>0</v>
      </c>
      <c r="I22" s="48">
        <f t="shared" si="8"/>
        <v>0</v>
      </c>
      <c r="J22" s="48">
        <f t="shared" si="8"/>
        <v>0</v>
      </c>
      <c r="K22" s="48">
        <f t="shared" si="8"/>
        <v>0</v>
      </c>
      <c r="L22" s="48">
        <f t="shared" si="8"/>
        <v>0</v>
      </c>
      <c r="M22" s="48">
        <f t="shared" si="8"/>
        <v>0</v>
      </c>
      <c r="N22" s="48">
        <f t="shared" si="8"/>
        <v>0</v>
      </c>
      <c r="O22" s="48">
        <f t="shared" si="8"/>
        <v>0</v>
      </c>
    </row>
    <row r="23" spans="1:20" s="38" customFormat="1" ht="22.05" customHeight="1" x14ac:dyDescent="0.25">
      <c r="B23" s="42" t="s">
        <v>231</v>
      </c>
      <c r="C23" s="48">
        <f>C11</f>
        <v>0</v>
      </c>
      <c r="D23" s="48">
        <f t="shared" ref="D23:O23" si="9">D11</f>
        <v>0</v>
      </c>
      <c r="E23" s="48">
        <f t="shared" si="9"/>
        <v>0</v>
      </c>
      <c r="F23" s="48">
        <f t="shared" si="9"/>
        <v>0</v>
      </c>
      <c r="G23" s="48">
        <f t="shared" si="9"/>
        <v>0</v>
      </c>
      <c r="H23" s="48">
        <f t="shared" si="9"/>
        <v>0</v>
      </c>
      <c r="I23" s="48">
        <f t="shared" si="9"/>
        <v>0</v>
      </c>
      <c r="J23" s="48">
        <f t="shared" si="9"/>
        <v>0</v>
      </c>
      <c r="K23" s="48">
        <f t="shared" si="9"/>
        <v>0</v>
      </c>
      <c r="L23" s="48">
        <f t="shared" si="9"/>
        <v>0</v>
      </c>
      <c r="M23" s="48">
        <f t="shared" si="9"/>
        <v>0</v>
      </c>
      <c r="N23" s="48">
        <f t="shared" si="9"/>
        <v>0</v>
      </c>
      <c r="O23" s="48">
        <f t="shared" si="9"/>
        <v>0</v>
      </c>
    </row>
    <row r="24" spans="1:20" s="38" customFormat="1" ht="22.05" customHeight="1" x14ac:dyDescent="0.25">
      <c r="B24" s="42" t="s">
        <v>240</v>
      </c>
      <c r="C24" s="48">
        <f>N24</f>
        <v>0</v>
      </c>
      <c r="D24" s="48">
        <f>SUM($D22:D22)</f>
        <v>0</v>
      </c>
      <c r="E24" s="48">
        <f>SUM($D22:E22)</f>
        <v>0</v>
      </c>
      <c r="F24" s="48">
        <f>SUM($D22:F22)</f>
        <v>0</v>
      </c>
      <c r="G24" s="48">
        <f>SUM($D22:G22)</f>
        <v>0</v>
      </c>
      <c r="H24" s="48">
        <f>SUM($D22:H22)</f>
        <v>0</v>
      </c>
      <c r="I24" s="48">
        <f>SUM($D22:I22)</f>
        <v>0</v>
      </c>
      <c r="J24" s="48">
        <f>SUM($D22:J22)</f>
        <v>0</v>
      </c>
      <c r="K24" s="48">
        <f>SUM($D22:K22)</f>
        <v>0</v>
      </c>
      <c r="L24" s="48">
        <f>SUM($D22:L22)</f>
        <v>0</v>
      </c>
      <c r="M24" s="48">
        <f>SUM($D22:M22)</f>
        <v>0</v>
      </c>
      <c r="N24" s="48">
        <f>SUM($D22:N22)</f>
        <v>0</v>
      </c>
      <c r="O24" s="67">
        <f>SUM($D22:O22)</f>
        <v>0</v>
      </c>
    </row>
    <row r="25" spans="1:20" s="38" customFormat="1" ht="22.05" customHeight="1" x14ac:dyDescent="0.25">
      <c r="B25" s="42" t="s">
        <v>241</v>
      </c>
      <c r="C25" s="48">
        <f>SUM(D25:O25)</f>
        <v>0</v>
      </c>
      <c r="D25" s="48">
        <f t="shared" ref="D25:O25" si="10">D7/(1+$C$2)^D18</f>
        <v>0</v>
      </c>
      <c r="E25" s="48">
        <f t="shared" si="10"/>
        <v>0</v>
      </c>
      <c r="F25" s="48">
        <f t="shared" si="10"/>
        <v>0</v>
      </c>
      <c r="G25" s="48">
        <f t="shared" si="10"/>
        <v>0</v>
      </c>
      <c r="H25" s="48">
        <f t="shared" si="10"/>
        <v>0</v>
      </c>
      <c r="I25" s="48">
        <f t="shared" si="10"/>
        <v>0</v>
      </c>
      <c r="J25" s="48">
        <f t="shared" si="10"/>
        <v>0</v>
      </c>
      <c r="K25" s="48">
        <f t="shared" si="10"/>
        <v>0</v>
      </c>
      <c r="L25" s="48">
        <f t="shared" si="10"/>
        <v>0</v>
      </c>
      <c r="M25" s="48">
        <f t="shared" si="10"/>
        <v>0</v>
      </c>
      <c r="N25" s="48">
        <f t="shared" si="10"/>
        <v>0</v>
      </c>
      <c r="O25" s="67">
        <f t="shared" si="10"/>
        <v>0</v>
      </c>
    </row>
    <row r="26" spans="1:20" s="38" customFormat="1" ht="22.05" customHeight="1" x14ac:dyDescent="0.25">
      <c r="B26" s="42" t="s">
        <v>242</v>
      </c>
      <c r="C26" s="48">
        <f>C25</f>
        <v>0</v>
      </c>
      <c r="D26" s="48">
        <f>SUM($D25:D25)</f>
        <v>0</v>
      </c>
      <c r="E26" s="48">
        <f>SUM($D25:E25)</f>
        <v>0</v>
      </c>
      <c r="F26" s="48">
        <f>SUM($D25:F25)</f>
        <v>0</v>
      </c>
      <c r="G26" s="48">
        <f>SUM($D25:G25)</f>
        <v>0</v>
      </c>
      <c r="H26" s="48">
        <f>SUM($D25:H25)</f>
        <v>0</v>
      </c>
      <c r="I26" s="48">
        <f>SUM($D25:I25)</f>
        <v>0</v>
      </c>
      <c r="J26" s="48">
        <f>SUM($D25:J25)</f>
        <v>0</v>
      </c>
      <c r="K26" s="48">
        <f>SUM($D25:K25)</f>
        <v>0</v>
      </c>
      <c r="L26" s="48">
        <f>SUM($D25:L25)</f>
        <v>0</v>
      </c>
      <c r="M26" s="48">
        <f>SUM($D25:M25)</f>
        <v>0</v>
      </c>
      <c r="N26" s="48">
        <f>SUM($D25:N25)</f>
        <v>0</v>
      </c>
      <c r="O26" s="67">
        <f>SUM($D25:O25)</f>
        <v>0</v>
      </c>
    </row>
    <row r="27" spans="1:20" s="38" customFormat="1" ht="22.05" customHeight="1" x14ac:dyDescent="0.25">
      <c r="B27" s="42" t="s">
        <v>243</v>
      </c>
      <c r="C27" s="48">
        <f>SUM(D27:O27)</f>
        <v>0</v>
      </c>
      <c r="D27" s="48">
        <f>D6/(1+$C$2)^D18</f>
        <v>0</v>
      </c>
      <c r="E27" s="48">
        <f t="shared" ref="E27:O27" si="11">E6/(1+$C$2)^E18</f>
        <v>0</v>
      </c>
      <c r="F27" s="48">
        <f t="shared" si="11"/>
        <v>0</v>
      </c>
      <c r="G27" s="48">
        <f t="shared" si="11"/>
        <v>0</v>
      </c>
      <c r="H27" s="48">
        <f t="shared" si="11"/>
        <v>0</v>
      </c>
      <c r="I27" s="48">
        <f t="shared" si="11"/>
        <v>0</v>
      </c>
      <c r="J27" s="48">
        <f t="shared" si="11"/>
        <v>0</v>
      </c>
      <c r="K27" s="48">
        <f t="shared" si="11"/>
        <v>0</v>
      </c>
      <c r="L27" s="48">
        <f t="shared" si="11"/>
        <v>0</v>
      </c>
      <c r="M27" s="48">
        <f t="shared" si="11"/>
        <v>0</v>
      </c>
      <c r="N27" s="48">
        <f t="shared" si="11"/>
        <v>0</v>
      </c>
      <c r="O27" s="67">
        <f t="shared" si="11"/>
        <v>0</v>
      </c>
    </row>
    <row r="28" spans="1:20" s="38" customFormat="1" ht="22.05" customHeight="1" x14ac:dyDescent="0.25">
      <c r="B28" s="42" t="s">
        <v>244</v>
      </c>
      <c r="C28" s="48">
        <f>C27</f>
        <v>0</v>
      </c>
      <c r="D28" s="48">
        <f>SUM($D27:D27)</f>
        <v>0</v>
      </c>
      <c r="E28" s="48">
        <f>SUM($D27:E27)</f>
        <v>0</v>
      </c>
      <c r="F28" s="48">
        <f>SUM($D27:F27)</f>
        <v>0</v>
      </c>
      <c r="G28" s="48">
        <f>SUM($D27:G27)</f>
        <v>0</v>
      </c>
      <c r="H28" s="48">
        <f>SUM($D27:H27)</f>
        <v>0</v>
      </c>
      <c r="I28" s="48">
        <f>SUM($D27:I27)</f>
        <v>0</v>
      </c>
      <c r="J28" s="48">
        <f>SUM($D27:J27)</f>
        <v>0</v>
      </c>
      <c r="K28" s="48">
        <f>SUM($D27:K27)</f>
        <v>0</v>
      </c>
      <c r="L28" s="48">
        <f>SUM($D27:L27)</f>
        <v>0</v>
      </c>
      <c r="M28" s="48">
        <f>SUM($D27:M27)</f>
        <v>0</v>
      </c>
      <c r="N28" s="48">
        <f>SUM($D27:N27)</f>
        <v>0</v>
      </c>
      <c r="O28" s="67">
        <f>SUM($D27:O27)</f>
        <v>0</v>
      </c>
    </row>
    <row r="29" spans="1:20" s="38" customFormat="1" ht="35.700000000000003" customHeight="1" x14ac:dyDescent="0.25">
      <c r="B29" s="55"/>
      <c r="C29" s="55"/>
      <c r="D29" s="56"/>
      <c r="E29" s="56"/>
      <c r="F29" s="55"/>
      <c r="G29" s="55"/>
      <c r="H29" s="55"/>
      <c r="I29" s="55"/>
      <c r="J29" s="55"/>
      <c r="K29" s="55"/>
      <c r="L29" s="55"/>
      <c r="M29" s="55"/>
      <c r="N29" s="55"/>
      <c r="O29" s="55"/>
      <c r="P29" s="55"/>
    </row>
    <row r="30" spans="1:20" s="38" customFormat="1" ht="35.700000000000003" customHeight="1" x14ac:dyDescent="0.25">
      <c r="B30" s="55"/>
      <c r="C30" s="55"/>
      <c r="D30" s="56"/>
      <c r="E30" s="56"/>
      <c r="F30" s="55"/>
      <c r="G30" s="55"/>
      <c r="H30" s="55"/>
      <c r="I30" s="55"/>
      <c r="J30" s="55"/>
      <c r="K30" s="55"/>
      <c r="L30" s="55"/>
      <c r="M30" s="55"/>
      <c r="N30" s="55"/>
      <c r="O30" s="55"/>
      <c r="P30" s="55"/>
    </row>
    <row r="31" spans="1:20" s="38" customFormat="1" ht="35.700000000000003" customHeight="1" x14ac:dyDescent="0.25">
      <c r="B31" s="281" t="s">
        <v>245</v>
      </c>
      <c r="C31" s="281"/>
      <c r="D31" s="281"/>
      <c r="E31" s="281"/>
      <c r="F31" s="281"/>
      <c r="G31" s="281"/>
      <c r="H31" s="281"/>
      <c r="I31" s="281"/>
      <c r="J31" s="281"/>
      <c r="K31" s="281"/>
      <c r="L31" s="281"/>
      <c r="M31" s="281"/>
      <c r="N31" s="281"/>
      <c r="O31" s="281"/>
      <c r="P31" s="281"/>
    </row>
    <row r="32" spans="1:20" s="38" customFormat="1" ht="35.700000000000003" customHeight="1" x14ac:dyDescent="0.25">
      <c r="B32" s="57" t="s">
        <v>246</v>
      </c>
      <c r="C32" s="57" t="s">
        <v>92</v>
      </c>
      <c r="D32" s="57" t="s">
        <v>234</v>
      </c>
      <c r="E32" s="57" t="s">
        <v>81</v>
      </c>
      <c r="F32" s="57" t="s">
        <v>82</v>
      </c>
      <c r="G32" s="57" t="s">
        <v>83</v>
      </c>
      <c r="H32" s="57" t="s">
        <v>84</v>
      </c>
      <c r="I32" s="57" t="s">
        <v>85</v>
      </c>
      <c r="J32" s="57" t="s">
        <v>86</v>
      </c>
      <c r="K32" s="57" t="s">
        <v>87</v>
      </c>
      <c r="L32" s="57" t="s">
        <v>88</v>
      </c>
      <c r="M32" s="57" t="s">
        <v>89</v>
      </c>
      <c r="N32" s="57" t="s">
        <v>90</v>
      </c>
      <c r="O32" s="58" t="s">
        <v>224</v>
      </c>
    </row>
    <row r="33" spans="2:21" s="38" customFormat="1" ht="28.05" customHeight="1" x14ac:dyDescent="0.25">
      <c r="B33" s="58" t="s">
        <v>104</v>
      </c>
      <c r="C33" s="59">
        <f>'收入支出明细表（基础数据表）'!T3</f>
        <v>0</v>
      </c>
      <c r="D33" s="59">
        <f>'收入支出明细表（基础数据表）'!U3</f>
        <v>0</v>
      </c>
      <c r="E33" s="59">
        <f>'收入支出明细表（基础数据表）'!V3</f>
        <v>0</v>
      </c>
      <c r="F33" s="59">
        <f>'收入支出明细表（基础数据表）'!W3</f>
        <v>0</v>
      </c>
      <c r="G33" s="59">
        <f>'收入支出明细表（基础数据表）'!X3</f>
        <v>0</v>
      </c>
      <c r="H33" s="59">
        <f>'收入支出明细表（基础数据表）'!Y3</f>
        <v>0</v>
      </c>
      <c r="I33" s="59">
        <f>'收入支出明细表（基础数据表）'!Z3</f>
        <v>0</v>
      </c>
      <c r="J33" s="59">
        <f>'收入支出明细表（基础数据表）'!AA3</f>
        <v>0</v>
      </c>
      <c r="K33" s="59">
        <f>'收入支出明细表（基础数据表）'!AB3</f>
        <v>0</v>
      </c>
      <c r="L33" s="59">
        <f>'收入支出明细表（基础数据表）'!AC3</f>
        <v>0</v>
      </c>
      <c r="M33" s="59">
        <f>'收入支出明细表（基础数据表）'!AD3</f>
        <v>0</v>
      </c>
      <c r="N33" s="59">
        <f>'收入支出明细表（基础数据表）'!AE3</f>
        <v>0</v>
      </c>
      <c r="O33" s="59">
        <f>'收入支出明细表（基础数据表）'!AF3</f>
        <v>0</v>
      </c>
    </row>
    <row r="34" spans="2:21" s="38" customFormat="1" ht="28.05" customHeight="1" x14ac:dyDescent="0.25">
      <c r="B34" s="58" t="s">
        <v>247</v>
      </c>
      <c r="C34" s="59">
        <f>'收入支出明细表（基础数据表）'!T140+'收入支出明细表（基础数据表）'!T171+'收入支出明细表（基础数据表）'!T190+折旧及摊销辅助明细表!D4</f>
        <v>0</v>
      </c>
      <c r="D34" s="59">
        <f>'收入支出明细表（基础数据表）'!U140+'收入支出明细表（基础数据表）'!U171+'收入支出明细表（基础数据表）'!U190+折旧及摊销辅助明细表!E4</f>
        <v>0</v>
      </c>
      <c r="E34" s="59">
        <f>'收入支出明细表（基础数据表）'!V140+'收入支出明细表（基础数据表）'!V171+'收入支出明细表（基础数据表）'!V190+折旧及摊销辅助明细表!F4</f>
        <v>0</v>
      </c>
      <c r="F34" s="59">
        <f>'收入支出明细表（基础数据表）'!W140+'收入支出明细表（基础数据表）'!W171+'收入支出明细表（基础数据表）'!W190+折旧及摊销辅助明细表!G4</f>
        <v>0</v>
      </c>
      <c r="G34" s="59">
        <f>'收入支出明细表（基础数据表）'!X140+'收入支出明细表（基础数据表）'!X171+'收入支出明细表（基础数据表）'!X190+折旧及摊销辅助明细表!H4</f>
        <v>0</v>
      </c>
      <c r="H34" s="59">
        <f>'收入支出明细表（基础数据表）'!Y140+'收入支出明细表（基础数据表）'!Y171+'收入支出明细表（基础数据表）'!Y190+折旧及摊销辅助明细表!I4</f>
        <v>0</v>
      </c>
      <c r="I34" s="59">
        <f>'收入支出明细表（基础数据表）'!Z140+'收入支出明细表（基础数据表）'!Z171+'收入支出明细表（基础数据表）'!Z190+折旧及摊销辅助明细表!J4</f>
        <v>0</v>
      </c>
      <c r="J34" s="59">
        <f>'收入支出明细表（基础数据表）'!AA140+'收入支出明细表（基础数据表）'!AA171+'收入支出明细表（基础数据表）'!AA190+折旧及摊销辅助明细表!K4</f>
        <v>0</v>
      </c>
      <c r="K34" s="59">
        <f>'收入支出明细表（基础数据表）'!AB140+'收入支出明细表（基础数据表）'!AB171+'收入支出明细表（基础数据表）'!AB190+折旧及摊销辅助明细表!L4</f>
        <v>0</v>
      </c>
      <c r="L34" s="59">
        <f>'收入支出明细表（基础数据表）'!AC140+'收入支出明细表（基础数据表）'!AC171+'收入支出明细表（基础数据表）'!AC190+折旧及摊销辅助明细表!M4</f>
        <v>0</v>
      </c>
      <c r="M34" s="59">
        <f>'收入支出明细表（基础数据表）'!AD140+'收入支出明细表（基础数据表）'!AD171+'收入支出明细表（基础数据表）'!AD190+折旧及摊销辅助明细表!N4</f>
        <v>0</v>
      </c>
      <c r="N34" s="59">
        <f>'收入支出明细表（基础数据表）'!AE140+'收入支出明细表（基础数据表）'!AE171+'收入支出明细表（基础数据表）'!AE190+折旧及摊销辅助明细表!O4</f>
        <v>0</v>
      </c>
      <c r="O34" s="59">
        <f>'收入支出明细表（基础数据表）'!AF140+'收入支出明细表（基础数据表）'!AF171+'收入支出明细表（基础数据表）'!AF190+折旧及摊销辅助明细表!P4</f>
        <v>0</v>
      </c>
    </row>
    <row r="35" spans="2:21" s="38" customFormat="1" ht="28.05" customHeight="1" x14ac:dyDescent="0.25">
      <c r="B35" s="58" t="s">
        <v>248</v>
      </c>
      <c r="C35" s="59">
        <f>C33-C34</f>
        <v>0</v>
      </c>
      <c r="D35" s="59">
        <f t="shared" ref="D35:O35" si="12">D33-D34</f>
        <v>0</v>
      </c>
      <c r="E35" s="59">
        <f t="shared" si="12"/>
        <v>0</v>
      </c>
      <c r="F35" s="59">
        <f t="shared" si="12"/>
        <v>0</v>
      </c>
      <c r="G35" s="59">
        <f t="shared" si="12"/>
        <v>0</v>
      </c>
      <c r="H35" s="59">
        <f t="shared" si="12"/>
        <v>0</v>
      </c>
      <c r="I35" s="59">
        <f t="shared" si="12"/>
        <v>0</v>
      </c>
      <c r="J35" s="59">
        <f t="shared" si="12"/>
        <v>0</v>
      </c>
      <c r="K35" s="59">
        <f t="shared" si="12"/>
        <v>0</v>
      </c>
      <c r="L35" s="59">
        <f t="shared" si="12"/>
        <v>0</v>
      </c>
      <c r="M35" s="59">
        <f t="shared" si="12"/>
        <v>0</v>
      </c>
      <c r="N35" s="59">
        <f t="shared" si="12"/>
        <v>0</v>
      </c>
      <c r="O35" s="59">
        <f t="shared" si="12"/>
        <v>0</v>
      </c>
    </row>
    <row r="36" spans="2:21" s="38" customFormat="1" ht="28.05" customHeight="1" x14ac:dyDescent="0.25">
      <c r="B36" s="58" t="s">
        <v>228</v>
      </c>
      <c r="C36" s="59">
        <f>C35*$D$2</f>
        <v>0</v>
      </c>
      <c r="D36" s="59">
        <f t="shared" ref="D36:O36" si="13">D35*$D$2</f>
        <v>0</v>
      </c>
      <c r="E36" s="59">
        <f t="shared" si="13"/>
        <v>0</v>
      </c>
      <c r="F36" s="59">
        <f t="shared" si="13"/>
        <v>0</v>
      </c>
      <c r="G36" s="59">
        <f t="shared" si="13"/>
        <v>0</v>
      </c>
      <c r="H36" s="59">
        <f t="shared" si="13"/>
        <v>0</v>
      </c>
      <c r="I36" s="59">
        <f t="shared" si="13"/>
        <v>0</v>
      </c>
      <c r="J36" s="59">
        <f t="shared" si="13"/>
        <v>0</v>
      </c>
      <c r="K36" s="59">
        <f t="shared" si="13"/>
        <v>0</v>
      </c>
      <c r="L36" s="59">
        <f t="shared" si="13"/>
        <v>0</v>
      </c>
      <c r="M36" s="59">
        <f t="shared" si="13"/>
        <v>0</v>
      </c>
      <c r="N36" s="59">
        <f t="shared" si="13"/>
        <v>0</v>
      </c>
      <c r="O36" s="59">
        <f t="shared" si="13"/>
        <v>0</v>
      </c>
    </row>
    <row r="37" spans="2:21" s="38" customFormat="1" ht="28.05" customHeight="1" x14ac:dyDescent="0.25">
      <c r="B37" s="60"/>
      <c r="C37" s="61"/>
      <c r="D37" s="62"/>
      <c r="E37" s="62"/>
      <c r="F37" s="62"/>
      <c r="G37" s="62"/>
      <c r="H37" s="62"/>
      <c r="I37" s="62"/>
      <c r="J37" s="62"/>
      <c r="K37" s="62"/>
      <c r="L37" s="62"/>
      <c r="M37" s="62"/>
      <c r="N37" s="62"/>
      <c r="O37" s="62"/>
      <c r="P37" s="62"/>
    </row>
    <row r="38" spans="2:21" s="38" customFormat="1" ht="35.700000000000003" customHeight="1" x14ac:dyDescent="0.25">
      <c r="B38" s="60"/>
      <c r="C38" s="61"/>
      <c r="D38" s="62"/>
      <c r="E38" s="62"/>
      <c r="F38" s="62"/>
      <c r="G38" s="62"/>
      <c r="H38" s="62"/>
      <c r="I38" s="62"/>
      <c r="J38" s="62"/>
      <c r="K38" s="62"/>
      <c r="L38" s="62"/>
      <c r="M38" s="62"/>
      <c r="N38" s="62"/>
      <c r="O38" s="62"/>
      <c r="P38" s="62"/>
    </row>
    <row r="39" spans="2:21" s="38" customFormat="1" ht="35.700000000000003" customHeight="1" x14ac:dyDescent="0.25">
      <c r="B39" s="60"/>
      <c r="C39" s="61"/>
      <c r="D39" s="62"/>
      <c r="E39" s="62"/>
      <c r="F39" s="62"/>
      <c r="G39" s="62"/>
      <c r="H39" s="62"/>
      <c r="I39" s="62"/>
      <c r="J39" s="61"/>
      <c r="K39" s="61"/>
      <c r="L39" s="61"/>
      <c r="M39" s="61"/>
      <c r="N39" s="61"/>
      <c r="O39" s="55"/>
      <c r="P39" s="55"/>
    </row>
    <row r="40" spans="2:21" s="38" customFormat="1" ht="35.700000000000003" customHeight="1" x14ac:dyDescent="0.25">
      <c r="B40" s="63"/>
      <c r="C40" s="61"/>
      <c r="D40" s="62"/>
      <c r="E40" s="62"/>
      <c r="F40" s="62"/>
      <c r="G40" s="62"/>
      <c r="H40" s="62"/>
      <c r="I40" s="62"/>
      <c r="J40" s="61"/>
      <c r="K40" s="61"/>
      <c r="L40" s="61"/>
      <c r="M40" s="61"/>
      <c r="N40" s="61"/>
      <c r="O40" s="55"/>
      <c r="P40" s="55"/>
    </row>
    <row r="41" spans="2:21" ht="50.7" customHeight="1" x14ac:dyDescent="0.25">
      <c r="B41" s="64"/>
      <c r="C41" s="65"/>
      <c r="D41" s="65"/>
      <c r="E41" s="65"/>
      <c r="F41" s="65"/>
      <c r="G41" s="65"/>
      <c r="H41" s="65"/>
      <c r="I41" s="65"/>
      <c r="J41" s="65"/>
      <c r="K41" s="65"/>
      <c r="L41" s="65"/>
      <c r="M41" s="65"/>
      <c r="N41" s="65"/>
      <c r="O41" s="65"/>
      <c r="P41" s="65"/>
      <c r="U41" s="72"/>
    </row>
  </sheetData>
  <mergeCells count="4">
    <mergeCell ref="B3:P3"/>
    <mergeCell ref="B14:P14"/>
    <mergeCell ref="B31:P31"/>
    <mergeCell ref="E1:P2"/>
  </mergeCells>
  <phoneticPr fontId="45" type="noConversion"/>
  <dataValidations count="1">
    <dataValidation type="list" allowBlank="1" showInputMessage="1" showErrorMessage="1" sqref="C1" xr:uid="{00000000-0002-0000-0500-000000000000}">
      <formula1>"年折现率,月折现率"</formula1>
    </dataValidation>
  </dataValidations>
  <pageMargins left="0.70866141732283505" right="0.70866141732283505" top="0.74803149606299202" bottom="0.74803149606299202" header="0.31496062992126" footer="0.31496062992126"/>
  <pageSetup paperSize="9" scale="24"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7"/>
  <dimension ref="A1:X90"/>
  <sheetViews>
    <sheetView topLeftCell="A3" zoomScale="85" zoomScaleNormal="85" workbookViewId="0">
      <selection activeCell="J15" sqref="J15"/>
    </sheetView>
  </sheetViews>
  <sheetFormatPr defaultColWidth="9" defaultRowHeight="25.2" customHeight="1" x14ac:dyDescent="0.25"/>
  <cols>
    <col min="1" max="1" width="12.77734375" style="1" customWidth="1"/>
    <col min="2" max="2" width="14.21875" style="1" customWidth="1"/>
    <col min="3" max="4" width="14.6640625" style="1" customWidth="1"/>
    <col min="5" max="5" width="14.6640625" style="2" customWidth="1"/>
    <col min="6" max="6" width="14.6640625" style="1" customWidth="1"/>
    <col min="7" max="7" width="12.77734375" style="2" customWidth="1"/>
    <col min="8" max="8" width="12.77734375" style="1" customWidth="1"/>
    <col min="9" max="9" width="12.77734375" style="2" customWidth="1"/>
    <col min="10" max="10" width="12.77734375" style="1" customWidth="1"/>
    <col min="11" max="11" width="12.77734375" style="2" customWidth="1"/>
    <col min="12" max="12" width="12.77734375" style="1" customWidth="1"/>
    <col min="13" max="15" width="12.77734375" style="2" customWidth="1"/>
    <col min="16" max="16" width="12.77734375" style="1" customWidth="1"/>
    <col min="17" max="17" width="12.77734375" style="2" customWidth="1"/>
    <col min="18" max="18" width="12.77734375" style="1" customWidth="1"/>
    <col min="19" max="16384" width="9" style="1"/>
  </cols>
  <sheetData>
    <row r="1" spans="1:24" ht="44.25" customHeight="1" x14ac:dyDescent="0.25">
      <c r="A1" s="283" t="s">
        <v>249</v>
      </c>
      <c r="B1" s="283"/>
      <c r="C1" s="283"/>
      <c r="D1" s="283"/>
      <c r="E1" s="283"/>
      <c r="F1" s="283"/>
      <c r="G1" s="283"/>
      <c r="H1" s="283"/>
      <c r="I1" s="283"/>
      <c r="J1" s="283"/>
      <c r="K1" s="283"/>
      <c r="L1" s="283"/>
      <c r="M1" s="283"/>
      <c r="N1" s="283"/>
      <c r="O1" s="283"/>
      <c r="P1" s="283"/>
      <c r="Q1" s="283"/>
      <c r="R1" s="283"/>
      <c r="S1" s="283"/>
      <c r="T1" s="283"/>
      <c r="U1" s="283"/>
      <c r="V1" s="283"/>
      <c r="W1" s="283"/>
      <c r="X1" s="283"/>
    </row>
    <row r="2" spans="1:24" ht="30" customHeight="1" x14ac:dyDescent="0.25">
      <c r="A2" s="284" t="s">
        <v>250</v>
      </c>
      <c r="B2" s="284"/>
      <c r="D2" s="3"/>
      <c r="E2" s="3"/>
      <c r="F2" s="3"/>
      <c r="G2" s="3"/>
      <c r="H2" s="3"/>
      <c r="I2" s="3"/>
      <c r="J2" s="3"/>
      <c r="K2" s="3"/>
      <c r="L2" s="3"/>
      <c r="M2" s="3"/>
      <c r="N2" s="3"/>
      <c r="O2" s="3"/>
      <c r="P2" s="3"/>
      <c r="Q2" s="3"/>
      <c r="R2" s="3"/>
      <c r="S2" s="3"/>
      <c r="T2" s="3"/>
      <c r="U2" s="3"/>
      <c r="V2" s="3"/>
      <c r="W2" s="3"/>
      <c r="X2" s="3"/>
    </row>
    <row r="3" spans="1:24" ht="56.4" customHeight="1" x14ac:dyDescent="0.25">
      <c r="A3" s="285" t="s">
        <v>251</v>
      </c>
      <c r="B3" s="286"/>
      <c r="C3" s="287"/>
      <c r="D3" s="4" t="s">
        <v>212</v>
      </c>
      <c r="E3" s="4" t="s">
        <v>234</v>
      </c>
      <c r="F3" s="4" t="s">
        <v>81</v>
      </c>
      <c r="G3" s="4" t="s">
        <v>82</v>
      </c>
      <c r="H3" s="4" t="s">
        <v>83</v>
      </c>
      <c r="I3" s="4" t="s">
        <v>84</v>
      </c>
      <c r="J3" s="4" t="s">
        <v>85</v>
      </c>
      <c r="K3" s="4" t="s">
        <v>86</v>
      </c>
      <c r="L3" s="4" t="s">
        <v>87</v>
      </c>
      <c r="M3" s="4" t="s">
        <v>88</v>
      </c>
      <c r="N3" s="4" t="s">
        <v>89</v>
      </c>
      <c r="O3" s="4" t="s">
        <v>90</v>
      </c>
      <c r="P3" s="4" t="s">
        <v>252</v>
      </c>
      <c r="Q3" s="4" t="s">
        <v>253</v>
      </c>
      <c r="R3" s="4" t="s">
        <v>254</v>
      </c>
      <c r="S3" s="4" t="s">
        <v>255</v>
      </c>
      <c r="T3" s="4" t="s">
        <v>256</v>
      </c>
      <c r="U3" s="4" t="s">
        <v>257</v>
      </c>
      <c r="V3" s="4" t="s">
        <v>258</v>
      </c>
      <c r="W3" s="4" t="s">
        <v>259</v>
      </c>
      <c r="X3" s="25" t="s">
        <v>260</v>
      </c>
    </row>
    <row r="4" spans="1:24" ht="25.2" customHeight="1" x14ac:dyDescent="0.25">
      <c r="A4" s="301" t="s">
        <v>261</v>
      </c>
      <c r="B4" s="5" t="s">
        <v>262</v>
      </c>
      <c r="C4" s="6"/>
      <c r="D4" s="7">
        <f>SUM(E4:X4)</f>
        <v>0</v>
      </c>
      <c r="E4" s="7">
        <f t="shared" ref="E4:X4" si="0">E6+E22+E38+E54+E70</f>
        <v>0</v>
      </c>
      <c r="F4" s="7">
        <f t="shared" si="0"/>
        <v>0</v>
      </c>
      <c r="G4" s="7">
        <f t="shared" si="0"/>
        <v>0</v>
      </c>
      <c r="H4" s="7">
        <f t="shared" si="0"/>
        <v>0</v>
      </c>
      <c r="I4" s="7">
        <f t="shared" si="0"/>
        <v>0</v>
      </c>
      <c r="J4" s="7">
        <f t="shared" si="0"/>
        <v>0</v>
      </c>
      <c r="K4" s="7">
        <f t="shared" si="0"/>
        <v>0</v>
      </c>
      <c r="L4" s="7">
        <f t="shared" si="0"/>
        <v>0</v>
      </c>
      <c r="M4" s="7">
        <f t="shared" si="0"/>
        <v>0</v>
      </c>
      <c r="N4" s="7">
        <f t="shared" si="0"/>
        <v>0</v>
      </c>
      <c r="O4" s="7">
        <f t="shared" si="0"/>
        <v>0</v>
      </c>
      <c r="P4" s="7">
        <f t="shared" si="0"/>
        <v>0</v>
      </c>
      <c r="Q4" s="7">
        <f t="shared" si="0"/>
        <v>0</v>
      </c>
      <c r="R4" s="7">
        <f t="shared" si="0"/>
        <v>0</v>
      </c>
      <c r="S4" s="7">
        <f t="shared" si="0"/>
        <v>0</v>
      </c>
      <c r="T4" s="7">
        <f t="shared" si="0"/>
        <v>0</v>
      </c>
      <c r="U4" s="7">
        <f t="shared" si="0"/>
        <v>0</v>
      </c>
      <c r="V4" s="7">
        <f t="shared" si="0"/>
        <v>0</v>
      </c>
      <c r="W4" s="7">
        <f t="shared" si="0"/>
        <v>0</v>
      </c>
      <c r="X4" s="26">
        <f t="shared" si="0"/>
        <v>0</v>
      </c>
    </row>
    <row r="5" spans="1:24" ht="25.2" customHeight="1" x14ac:dyDescent="0.25">
      <c r="A5" s="302"/>
      <c r="B5" s="8"/>
      <c r="C5" s="8"/>
      <c r="D5" s="8"/>
      <c r="E5" s="8"/>
      <c r="F5" s="8"/>
      <c r="G5" s="8"/>
      <c r="H5" s="8"/>
      <c r="I5" s="8"/>
      <c r="J5" s="8"/>
      <c r="K5" s="8"/>
      <c r="L5" s="8"/>
      <c r="M5" s="8"/>
      <c r="N5" s="8"/>
      <c r="O5" s="8"/>
      <c r="P5" s="8"/>
      <c r="Q5" s="8"/>
      <c r="R5" s="8"/>
      <c r="S5" s="8"/>
      <c r="T5" s="8"/>
      <c r="U5" s="8"/>
      <c r="V5" s="8"/>
      <c r="W5" s="8"/>
      <c r="X5" s="27"/>
    </row>
    <row r="6" spans="1:24" ht="25.2" customHeight="1" x14ac:dyDescent="0.25">
      <c r="A6" s="302"/>
      <c r="B6" s="9" t="s">
        <v>263</v>
      </c>
      <c r="C6" s="10"/>
      <c r="D6" s="11">
        <f t="shared" ref="D6:D20" si="1">SUM(E6:X6)</f>
        <v>0</v>
      </c>
      <c r="E6" s="12">
        <f t="shared" ref="E6:X6" si="2">SUM(E10:E20)</f>
        <v>0</v>
      </c>
      <c r="F6" s="12">
        <f t="shared" si="2"/>
        <v>0</v>
      </c>
      <c r="G6" s="12">
        <f t="shared" si="2"/>
        <v>0</v>
      </c>
      <c r="H6" s="12">
        <f t="shared" si="2"/>
        <v>0</v>
      </c>
      <c r="I6" s="12">
        <f t="shared" si="2"/>
        <v>0</v>
      </c>
      <c r="J6" s="12">
        <f t="shared" si="2"/>
        <v>0</v>
      </c>
      <c r="K6" s="12">
        <f t="shared" si="2"/>
        <v>0</v>
      </c>
      <c r="L6" s="12">
        <f t="shared" si="2"/>
        <v>0</v>
      </c>
      <c r="M6" s="12">
        <f t="shared" si="2"/>
        <v>0</v>
      </c>
      <c r="N6" s="12">
        <f t="shared" si="2"/>
        <v>0</v>
      </c>
      <c r="O6" s="12">
        <f t="shared" si="2"/>
        <v>0</v>
      </c>
      <c r="P6" s="12">
        <f t="shared" si="2"/>
        <v>0</v>
      </c>
      <c r="Q6" s="12">
        <f t="shared" si="2"/>
        <v>0</v>
      </c>
      <c r="R6" s="12">
        <f t="shared" si="2"/>
        <v>0</v>
      </c>
      <c r="S6" s="12">
        <f t="shared" si="2"/>
        <v>0</v>
      </c>
      <c r="T6" s="12">
        <f t="shared" si="2"/>
        <v>0</v>
      </c>
      <c r="U6" s="12">
        <f t="shared" si="2"/>
        <v>0</v>
      </c>
      <c r="V6" s="12">
        <f t="shared" si="2"/>
        <v>0</v>
      </c>
      <c r="W6" s="12">
        <f t="shared" si="2"/>
        <v>0</v>
      </c>
      <c r="X6" s="28">
        <f t="shared" si="2"/>
        <v>0</v>
      </c>
    </row>
    <row r="7" spans="1:24" ht="25.2" customHeight="1" x14ac:dyDescent="0.25">
      <c r="A7" s="302"/>
      <c r="B7" s="13" t="s">
        <v>264</v>
      </c>
      <c r="C7" s="14">
        <v>5</v>
      </c>
      <c r="D7" s="288"/>
      <c r="E7" s="289"/>
      <c r="F7" s="289"/>
      <c r="G7" s="289"/>
      <c r="H7" s="289"/>
      <c r="I7" s="289"/>
      <c r="J7" s="289"/>
      <c r="K7" s="289"/>
      <c r="L7" s="289"/>
      <c r="M7" s="289"/>
      <c r="N7" s="289"/>
      <c r="O7" s="289"/>
      <c r="P7" s="289"/>
      <c r="Q7" s="289"/>
      <c r="R7" s="289"/>
      <c r="S7" s="289"/>
      <c r="T7" s="289"/>
      <c r="U7" s="289"/>
      <c r="V7" s="289"/>
      <c r="W7" s="289"/>
      <c r="X7" s="290"/>
    </row>
    <row r="8" spans="1:24" ht="25.2" customHeight="1" x14ac:dyDescent="0.25">
      <c r="A8" s="302"/>
      <c r="B8" s="13" t="s">
        <v>265</v>
      </c>
      <c r="C8" s="15"/>
      <c r="D8" s="15"/>
      <c r="E8" s="16"/>
      <c r="F8" s="16">
        <v>0</v>
      </c>
      <c r="G8" s="16">
        <v>0</v>
      </c>
      <c r="H8" s="16">
        <v>0</v>
      </c>
      <c r="I8" s="16">
        <v>0</v>
      </c>
      <c r="J8" s="16">
        <v>0</v>
      </c>
      <c r="K8" s="16">
        <v>0</v>
      </c>
      <c r="L8" s="16">
        <v>0</v>
      </c>
      <c r="M8" s="16">
        <v>0</v>
      </c>
      <c r="N8" s="16">
        <v>0</v>
      </c>
      <c r="O8" s="16">
        <v>0</v>
      </c>
      <c r="P8" s="24"/>
      <c r="Q8" s="24"/>
      <c r="R8" s="24"/>
      <c r="S8" s="24"/>
      <c r="T8" s="24"/>
      <c r="U8" s="24"/>
      <c r="V8" s="24"/>
      <c r="W8" s="24"/>
      <c r="X8" s="29"/>
    </row>
    <row r="9" spans="1:24" ht="25.2" customHeight="1" x14ac:dyDescent="0.25">
      <c r="A9" s="302"/>
      <c r="B9" s="17" t="s">
        <v>266</v>
      </c>
      <c r="C9" s="18"/>
      <c r="D9" s="19">
        <f>SUM(E9:O9)</f>
        <v>0</v>
      </c>
      <c r="E9" s="16"/>
      <c r="F9" s="16"/>
      <c r="G9" s="16"/>
      <c r="H9" s="16"/>
      <c r="I9" s="16"/>
      <c r="J9" s="16"/>
      <c r="K9" s="16"/>
      <c r="L9" s="16"/>
      <c r="M9" s="16"/>
      <c r="N9" s="16"/>
      <c r="O9" s="16"/>
      <c r="P9" s="24"/>
      <c r="Q9" s="24"/>
      <c r="R9" s="24"/>
      <c r="S9" s="24"/>
      <c r="T9" s="24"/>
      <c r="U9" s="24"/>
      <c r="V9" s="24"/>
      <c r="W9" s="24"/>
      <c r="X9" s="29"/>
    </row>
    <row r="10" spans="1:24" ht="25.2" customHeight="1" x14ac:dyDescent="0.25">
      <c r="A10" s="302"/>
      <c r="B10" s="20" t="s">
        <v>267</v>
      </c>
      <c r="C10" s="18"/>
      <c r="D10" s="19">
        <f t="shared" si="1"/>
        <v>0</v>
      </c>
      <c r="E10" s="21">
        <f>F10*(1-E8/12)</f>
        <v>0</v>
      </c>
      <c r="F10" s="21">
        <f>E9/C7</f>
        <v>0</v>
      </c>
      <c r="G10" s="21">
        <f>IF(SUM(E10:F10)&lt;E9,IF((E9-SUM(E10:F10))&lt;E9/C7,E9-SUM(E10:F10),E9/C7),0)</f>
        <v>0</v>
      </c>
      <c r="H10" s="21">
        <f>IF(SUM(E10:G10)&lt;E9,IF((E9-SUM(E10:G10))&lt;E9/C7,E9-SUM(E10:G10),E9/C7),0)</f>
        <v>0</v>
      </c>
      <c r="I10" s="21">
        <f>IF(SUM(E10:H10)&lt;E9,IF((E9-SUM(E10:H10))&lt;E9/C7,E9-SUM(E10:H10),E9/C7),0)</f>
        <v>0</v>
      </c>
      <c r="J10" s="21">
        <f>IF(SUM(E10:I10)&lt;E9,IF((E9-SUM(E10:I10))&lt;E9/C7,E9-SUM(E10:I10),E9/C7),0)</f>
        <v>0</v>
      </c>
      <c r="K10" s="21">
        <f>IF(SUM(E10:J10)&lt;E9,IF((E9-SUM(E10:J10))&lt;E9/C7,E9-SUM(E10:J10),E9/C7),0)</f>
        <v>0</v>
      </c>
      <c r="L10" s="21">
        <f>IF(SUM(E10:K10)&lt;E9,IF((E9-SUM(E10:K10))&lt;E9/C7,E9-SUM(E10:K10),E9/C7),0)</f>
        <v>0</v>
      </c>
      <c r="M10" s="21">
        <f>IF(SUM(E10:L10)&lt;E9,IF((E9-SUM(E10:L10))&lt;E9/C7,E9-SUM(E10:L10),E9/C7),0)</f>
        <v>0</v>
      </c>
      <c r="N10" s="21">
        <f>IF(SUM(E10:M10)&lt;E9,IF((E9-SUM(E10:M10))&lt;E9/C7,E9-SUM(E10:M10),E9/C7),0)</f>
        <v>0</v>
      </c>
      <c r="O10" s="21">
        <f>IF(SUM(E10:N10)&lt;E9,IF((E9-SUM(E10:N10))&lt;E9/C7,E9-SUM(E10:N10),E9/C7),0)</f>
        <v>0</v>
      </c>
      <c r="P10" s="21">
        <f>IF(SUM(E10:O10)&lt;E9,IF((E9-SUM(E10:O10))&lt;E9/C7,E9-SUM(E10:O10),E9/C7),0)</f>
        <v>0</v>
      </c>
      <c r="Q10" s="21">
        <f>IF(SUM(E10:P10)&lt;E9,IF((E9-SUM(E10:P10))&lt;E9/C7,E9-SUM(E10:P10),E9/C7),0)</f>
        <v>0</v>
      </c>
      <c r="R10" s="21">
        <f>IF(SUM(E10:Q10)&lt;E9,IF((E9-SUM(E10:Q10))&lt;E9/C7,E9-SUM(E10:Q10),E9/C7),0)</f>
        <v>0</v>
      </c>
      <c r="S10" s="21">
        <f>IF(SUM(E10:R10)&lt;E9,IF((E9-SUM(E10:R10))&lt;E9/C7,E9-SUM(E10:R10),E9/C7),0)</f>
        <v>0</v>
      </c>
      <c r="T10" s="21">
        <f>IF(SUM(E10:S10)&lt;E9,IF((E9-SUM(E10:S10))&lt;E9/C7,E9-SUM(E10:S10),E9/C7),0)</f>
        <v>0</v>
      </c>
      <c r="U10" s="21">
        <f>IF(SUM(E10:T10)&lt;E9,IF((E9-SUM(E10:T10))&lt;E9/C7,E9-SUM(E10:T10),E9/C7),0)</f>
        <v>0</v>
      </c>
      <c r="V10" s="21">
        <f>IF(SUM(E10:U10)&lt;E9,IF((E9-SUM(E10:U10))&lt;E9/C7,E9-SUM(E10:U10),E9/C7),0)</f>
        <v>0</v>
      </c>
      <c r="W10" s="21">
        <f>IF(SUM(E10:V10)&lt;E9,IF((E9-SUM(E10:V10))&lt;E9/C7,E9-SUM(E10:V10),E9/C7),0)</f>
        <v>0</v>
      </c>
      <c r="X10" s="30">
        <f>IF(SUM(E10:W10)&lt;E9,IF((E9-SUM(E10:W10))&lt;E9/C7,E9-SUM(E10:W10),E9/C7),0)</f>
        <v>0</v>
      </c>
    </row>
    <row r="11" spans="1:24" ht="25.2" customHeight="1" x14ac:dyDescent="0.25">
      <c r="A11" s="302"/>
      <c r="B11" s="20" t="s">
        <v>268</v>
      </c>
      <c r="C11" s="18"/>
      <c r="D11" s="19">
        <f t="shared" si="1"/>
        <v>0</v>
      </c>
      <c r="E11" s="21"/>
      <c r="F11" s="21">
        <f>G11*(1-F8/12)</f>
        <v>0</v>
      </c>
      <c r="G11" s="21">
        <f>F9/C7</f>
        <v>0</v>
      </c>
      <c r="H11" s="21">
        <f>IF(SUM(E11:G11)&lt;F9,IF((F9-SUM(E11:G11))&lt;F9/C7,F9-SUM(E11:G11),F9/C7),0)</f>
        <v>0</v>
      </c>
      <c r="I11" s="21">
        <f>IF(SUM(E11:H11)&lt;F9,IF((F9-SUM(E11:H11))&lt;F9/C7,F9-SUM(E11:H11),F9/C7),0)</f>
        <v>0</v>
      </c>
      <c r="J11" s="21">
        <f>IF(SUM(E11:I11)&lt;F9,IF((F9-SUM(E11:I11))&lt;F9/C7,F9-SUM(E11:I11),F9/C7),0)</f>
        <v>0</v>
      </c>
      <c r="K11" s="21">
        <f>IF(SUM(E11:J11)&lt;F9,IF((F9-SUM(E11:J11))&lt;F9/C7,F9-SUM(E11:J11),F9/C7),0)</f>
        <v>0</v>
      </c>
      <c r="L11" s="21">
        <f>IF(SUM(E11:K11)&lt;F9,IF((F9-SUM(E11:K11))&lt;F9/C7,F9-SUM(E11:K11),F9/C7),0)</f>
        <v>0</v>
      </c>
      <c r="M11" s="21">
        <f>IF(SUM(E11:L11)&lt;F9,IF((F9-SUM(E11:L11))&lt;F9/C7,F9-SUM(E11:L11),F9/C7),0)</f>
        <v>0</v>
      </c>
      <c r="N11" s="21">
        <f>IF(SUM(E11:M11)&lt;F9,IF((F9-SUM(E11:M11))&lt;F9/C7,F9-SUM(E11:M11),F9/C7),0)</f>
        <v>0</v>
      </c>
      <c r="O11" s="21">
        <f>IF(SUM(E11:N11)&lt;F9,IF((F9-SUM(E11:N11))&lt;F9/C7,F9-SUM(E11:N11),F9/C7),0)</f>
        <v>0</v>
      </c>
      <c r="P11" s="21">
        <f>IF(SUM(E11:O11)&lt;F9,IF((F9-SUM(E11:O11))&lt;F9/C7,F9-SUM(E11:O11),F9/C7),0)</f>
        <v>0</v>
      </c>
      <c r="Q11" s="21">
        <f>IF(SUM(E11:P11)&lt;F9,IF((F9-SUM(E11:P11))&lt;F9/C7,F9-SUM(E11:P11),F9/C7),0)</f>
        <v>0</v>
      </c>
      <c r="R11" s="21">
        <f>IF(SUM(E11:Q11)&lt;F9,IF((F9-SUM(E11:Q11))&lt;F9/C7,F9-SUM(E11:Q11),F9/C7),0)</f>
        <v>0</v>
      </c>
      <c r="S11" s="21">
        <f>IF(SUM(E11:R11)&lt;F9,IF((F9-SUM(E11:R11))&lt;F9/C7,F9-SUM(E11:R11),F9/C7),0)</f>
        <v>0</v>
      </c>
      <c r="T11" s="21">
        <f>IF(SUM(E11:S11)&lt;F9,IF((F9-SUM(E11:S11))&lt;F9/C7,F9-SUM(E11:S11),F9/C7),0)</f>
        <v>0</v>
      </c>
      <c r="U11" s="21">
        <f>IF(SUM(E11:T11)&lt;F9,IF((F9-SUM(E11:T11))&lt;F9/C7,F9-SUM(E11:T11),F9/C7),0)</f>
        <v>0</v>
      </c>
      <c r="V11" s="21">
        <f>IF(SUM(E11:U11)&lt;F9,IF((F9-SUM(E11:U11))&lt;F9/C7,F9-SUM(E11:U11),F9/C7),0)</f>
        <v>0</v>
      </c>
      <c r="W11" s="21">
        <f>IF(SUM(E11:V11)&lt;F9,IF((F9-SUM(E11:V11))&lt;F9/C7,F9-SUM(E11:V11),F9/C7),0)</f>
        <v>0</v>
      </c>
      <c r="X11" s="30">
        <f>IF(SUM(E11:W11)&lt;F9,IF((F9-SUM(E11:W11))&lt;F9/C7,F9-SUM(E11:W11),F9/C7),0)</f>
        <v>0</v>
      </c>
    </row>
    <row r="12" spans="1:24" ht="25.2" customHeight="1" x14ac:dyDescent="0.25">
      <c r="A12" s="302"/>
      <c r="B12" s="20" t="s">
        <v>269</v>
      </c>
      <c r="C12" s="18"/>
      <c r="D12" s="19">
        <f t="shared" si="1"/>
        <v>0</v>
      </c>
      <c r="E12" s="21"/>
      <c r="F12" s="21"/>
      <c r="G12" s="21">
        <f>H12*(1-G8/12)</f>
        <v>0</v>
      </c>
      <c r="H12" s="21">
        <f>G9/C7</f>
        <v>0</v>
      </c>
      <c r="I12" s="21">
        <f>IF(SUM(E12:H12)&lt;G9,IF((G9-SUM(E12:H12))&lt;G9/C7,G9-SUM(E12:H12),G9/C7),0)</f>
        <v>0</v>
      </c>
      <c r="J12" s="21">
        <f>IF(SUM(E12:I12)&lt;G9,IF((G9-SUM(E12:I12))&lt;G9/C7,G9-SUM(E12:I12),G9/C7),0)</f>
        <v>0</v>
      </c>
      <c r="K12" s="21">
        <f>IF(SUM(E12:J12)&lt;G9,IF((G9-SUM(E12:J12))&lt;G9/C7,G9-SUM(E12:J12),G9/C7),0)</f>
        <v>0</v>
      </c>
      <c r="L12" s="21">
        <f>IF(SUM(E12:K12)&lt;G9,IF((G9-SUM(E12:K12))&lt;G9/C7,G9-SUM(E12:K12),G9/C7),0)</f>
        <v>0</v>
      </c>
      <c r="M12" s="21">
        <f>IF(SUM(E12:L12)&lt;G9,IF((G9-SUM(E12:L12))&lt;G9/C7,G9-SUM(E12:L12),G9/C7),0)</f>
        <v>0</v>
      </c>
      <c r="N12" s="21">
        <f>IF(SUM(E12:M12)&lt;G9,IF((G9-SUM(E12:M12))&lt;G9/C7,G9-SUM(E12:M12),G9/C7),0)</f>
        <v>0</v>
      </c>
      <c r="O12" s="21">
        <f>IF(SUM(E12:N12)&lt;G9,IF((G9-SUM(E12:N12))&lt;G9/C7,G9-SUM(E12:N12),G9/C7),0)</f>
        <v>0</v>
      </c>
      <c r="P12" s="21">
        <f>IF(SUM(E12:O12)&lt;G9,IF((G9-SUM(E12:O12))&lt;G9/C7,G9-SUM(E12:O12),G9/C7),0)</f>
        <v>0</v>
      </c>
      <c r="Q12" s="21">
        <f>IF(SUM(E12:P12)&lt;G9,IF((G9-SUM(E12:P12))&lt;G9/C7,G9-SUM(E12:P12),G9/C7),0)</f>
        <v>0</v>
      </c>
      <c r="R12" s="21">
        <f>IF(SUM(E12:Q12)&lt;G9,IF((G9-SUM(E12:Q12))&lt;G9/C7,G9-SUM(E12:Q12),G9/C7),0)</f>
        <v>0</v>
      </c>
      <c r="S12" s="21">
        <f>IF(SUM(E12:R12)&lt;G9,IF((G9-SUM(E12:R12))&lt;G9/C7,G9-SUM(E12:R12),G9/C7),0)</f>
        <v>0</v>
      </c>
      <c r="T12" s="21">
        <f>IF(SUM(E12:S12)&lt;G9,IF((G9-SUM(E12:S12))&lt;G9/C7,G9-SUM(E12:S12),G9/C7),0)</f>
        <v>0</v>
      </c>
      <c r="U12" s="21">
        <f>IF(SUM(E12:T12)&lt;G9,IF((G9-SUM(E12:T12))&lt;G9/C7,G9-SUM(E12:T12),G9/C7),0)</f>
        <v>0</v>
      </c>
      <c r="V12" s="21">
        <f>IF(SUM(E12:U12)&lt;G9,IF((G9-SUM(E12:U12))&lt;G9/C7,G9-SUM(E12:U12),G9/C7),0)</f>
        <v>0</v>
      </c>
      <c r="W12" s="21">
        <f>IF(SUM(E12:V12)&lt;G9,IF((G9-SUM(E12:V12))&lt;G9/C7,G9-SUM(E12:V12),G9/C7),0)</f>
        <v>0</v>
      </c>
      <c r="X12" s="30">
        <f>IF(SUM(E12:W12)&lt;G9,IF((G9-SUM(E12:W12))&lt;G9/C7,G9-SUM(E12:W12),G9/C7),0)</f>
        <v>0</v>
      </c>
    </row>
    <row r="13" spans="1:24" ht="25.2" customHeight="1" x14ac:dyDescent="0.25">
      <c r="A13" s="302"/>
      <c r="B13" s="20" t="s">
        <v>270</v>
      </c>
      <c r="C13" s="18"/>
      <c r="D13" s="19">
        <f t="shared" si="1"/>
        <v>0</v>
      </c>
      <c r="E13" s="21"/>
      <c r="F13" s="21"/>
      <c r="G13" s="21"/>
      <c r="H13" s="21">
        <f>I13*(1-H8/12)</f>
        <v>0</v>
      </c>
      <c r="I13" s="21">
        <f>H9/C7</f>
        <v>0</v>
      </c>
      <c r="J13" s="21">
        <f>IF(SUM(E13:I13)&lt;H9,IF((H9-SUM(E13:I13))&lt;H9/C7,H9-SUM(E13:I13),H9/C7),0)</f>
        <v>0</v>
      </c>
      <c r="K13" s="21">
        <f>IF(SUM(E13:J13)&lt;H9,IF((H9-SUM(E13:J13))&lt;H9/C7,H9-SUM(E13:J13),H9/C7),0)</f>
        <v>0</v>
      </c>
      <c r="L13" s="21">
        <f>IF(SUM(E13:K13)&lt;H9,IF((H9-SUM(E13:K13))&lt;H9/C7,H9-SUM(E13:K13),H9/C7),0)</f>
        <v>0</v>
      </c>
      <c r="M13" s="21">
        <f>IF(SUM(E13:L13)&lt;H9,IF((H9-SUM(E13:L13))&lt;H9/C7,H9-SUM(E13:L13),H9/C7),0)</f>
        <v>0</v>
      </c>
      <c r="N13" s="21">
        <f>IF(SUM(E13:M13)&lt;H9,IF((H9-SUM(E13:M13))&lt;H9/C7,H9-SUM(E13:M13),H9/C7),0)</f>
        <v>0</v>
      </c>
      <c r="O13" s="21">
        <f>IF(SUM(E13:N13)&lt;H9,IF((H9-SUM(E13:N13))&lt;H9/C7,H9-SUM(E13:N13),H9/C7),0)</f>
        <v>0</v>
      </c>
      <c r="P13" s="21">
        <f>IF(SUM(E13:O13)&lt;H9,IF((H9-SUM(E13:O13))&lt;H9/C7,H9-SUM(E13:O13),H9/C7),0)</f>
        <v>0</v>
      </c>
      <c r="Q13" s="21">
        <f>IF(SUM(E13:P13)&lt;H9,IF((H9-SUM(E13:P13))&lt;H9/C7,H9-SUM(E13:P13),H9/C7),0)</f>
        <v>0</v>
      </c>
      <c r="R13" s="21">
        <f>IF(SUM(E13:Q13)&lt;H9,IF((H9-SUM(E13:Q13))&lt;H9/C7,H9-SUM(E13:Q13),H9/C7),0)</f>
        <v>0</v>
      </c>
      <c r="S13" s="21">
        <f>IF(SUM(E13:R13)&lt;H9,IF((H9-SUM(E13:R13))&lt;H9/C7,H9-SUM(E13:R13),H9/C7),0)</f>
        <v>0</v>
      </c>
      <c r="T13" s="21">
        <f>IF(SUM(E13:S13)&lt;H9,IF((H9-SUM(E13:S13))&lt;H9/C7,H9-SUM(E13:S13),H9/C7),0)</f>
        <v>0</v>
      </c>
      <c r="U13" s="21">
        <f>IF(SUM(E13:T13)&lt;H9,IF((H9-SUM(E13:T13))&lt;H9/C7,H9-SUM(E13:T13),H9/C7),0)</f>
        <v>0</v>
      </c>
      <c r="V13" s="21">
        <f>IF(SUM(E13:U13)&lt;H9,IF((H9-SUM(E13:U13))&lt;H9/C7,H9-SUM(E13:U13),H9/C7),0)</f>
        <v>0</v>
      </c>
      <c r="W13" s="21">
        <f>IF(SUM(E13:V13)&lt;H9,IF((H9-SUM(E13:V13))&lt;H9/C7,H9-SUM(E13:V13),H9/C7),0)</f>
        <v>0</v>
      </c>
      <c r="X13" s="30">
        <f>IF(SUM(E13:W13)&lt;H9,IF((H9-SUM(E13:W13))&lt;H9/C7,H9-SUM(E13:W13),H9/C7),0)</f>
        <v>0</v>
      </c>
    </row>
    <row r="14" spans="1:24" ht="25.2" customHeight="1" x14ac:dyDescent="0.25">
      <c r="A14" s="302"/>
      <c r="B14" s="20" t="s">
        <v>271</v>
      </c>
      <c r="C14" s="18"/>
      <c r="D14" s="19">
        <f t="shared" si="1"/>
        <v>0</v>
      </c>
      <c r="E14" s="21"/>
      <c r="F14" s="21"/>
      <c r="G14" s="21"/>
      <c r="H14" s="21"/>
      <c r="I14" s="21">
        <f>J14*(1-I8/12)</f>
        <v>0</v>
      </c>
      <c r="J14" s="21">
        <f>I9/C7</f>
        <v>0</v>
      </c>
      <c r="K14" s="21">
        <f>IF(SUM(E14:J14)&lt;I9,IF((I9-SUM(E14:J14))&lt;I9/C7,I9-SUM(E14:J14),I9/C7),0)</f>
        <v>0</v>
      </c>
      <c r="L14" s="21">
        <f>IF(SUM(E14:K14)&lt;I9,IF((I9-SUM(E14:K14))&lt;I9/C7,I9-SUM(E14:K14),I9/C7),0)</f>
        <v>0</v>
      </c>
      <c r="M14" s="21">
        <f>IF(SUM(E14:L14)&lt;I9,IF((I9-SUM(E14:L14))&lt;I9/C7,I9-SUM(E14:L14),I9/C7),0)</f>
        <v>0</v>
      </c>
      <c r="N14" s="21">
        <f>IF(SUM(E14:M14)&lt;I9,IF((I9-SUM(E14:M14))&lt;I9/C7,I9-SUM(E14:M14),I9/C7),0)</f>
        <v>0</v>
      </c>
      <c r="O14" s="21">
        <f>IF(SUM(E14:N14)&lt;I9,IF((I9-SUM(E14:N14))&lt;I9/C7,I9-SUM(E14:N14),I9/C7),0)</f>
        <v>0</v>
      </c>
      <c r="P14" s="21">
        <f>IF(SUM(E14:O14)&lt;I9,IF((I9-SUM(E14:O14))&lt;I9/C7,I9-SUM(E14:O14),I9/C7),0)</f>
        <v>0</v>
      </c>
      <c r="Q14" s="21">
        <f>IF(SUM(E14:P14)&lt;I9,IF((I9-SUM(E14:P14))&lt;I9/C7,I9-SUM(E14:P14),I9/C7),0)</f>
        <v>0</v>
      </c>
      <c r="R14" s="21">
        <f>IF(SUM(E14:Q14)&lt;I9,IF((I9-SUM(E14:Q14))&lt;I9/C7,I9-SUM(E14:Q14),I9/C7),0)</f>
        <v>0</v>
      </c>
      <c r="S14" s="21">
        <f>IF(SUM(E14:R14)&lt;I9,IF((I9-SUM(E14:R14))&lt;I9/C7,I9-SUM(E14:R14),I9/C7),0)</f>
        <v>0</v>
      </c>
      <c r="T14" s="21">
        <f>IF(SUM(E14:S14)&lt;I9,IF((I9-SUM(E14:S14))&lt;I9/C7,I9-SUM(E14:S14),I9/C7),0)</f>
        <v>0</v>
      </c>
      <c r="U14" s="21">
        <f>IF(SUM(E14:T14)&lt;I9,IF((I9-SUM(E14:T14))&lt;I9/C7,I9-SUM(E14:T14),I9/C7),0)</f>
        <v>0</v>
      </c>
      <c r="V14" s="21">
        <f>IF(SUM(E14:U14)&lt;I9,IF((I9-SUM(E14:U14))&lt;I9/C7,I9-SUM(E14:U14),I9/C7),0)</f>
        <v>0</v>
      </c>
      <c r="W14" s="21">
        <f>IF(SUM(E14:V14)&lt;I9,IF((I9-SUM(E14:V14))&lt;I9/C7,I9-SUM(E14:V14),I9/C7),0)</f>
        <v>0</v>
      </c>
      <c r="X14" s="30">
        <f>IF(SUM(E14:W14)&lt;I9,IF((I9-SUM(E14:W14))&lt;I9/C7,I9-SUM(E14:W14),I9/C7),0)</f>
        <v>0</v>
      </c>
    </row>
    <row r="15" spans="1:24" ht="25.2" customHeight="1" x14ac:dyDescent="0.25">
      <c r="A15" s="302"/>
      <c r="B15" s="20" t="s">
        <v>272</v>
      </c>
      <c r="C15" s="18"/>
      <c r="D15" s="19">
        <f t="shared" si="1"/>
        <v>0</v>
      </c>
      <c r="E15" s="21"/>
      <c r="F15" s="21"/>
      <c r="G15" s="21"/>
      <c r="H15" s="21"/>
      <c r="I15" s="21"/>
      <c r="J15" s="21">
        <f>K15*(1-J8/12)</f>
        <v>0</v>
      </c>
      <c r="K15" s="21">
        <f>J9/C7</f>
        <v>0</v>
      </c>
      <c r="L15" s="21">
        <f>IF(SUM(E15:K15)&lt;J9,IF((J9-SUM(E15:K15))&lt;J9/C7,J9-SUM(E15:K15),J9/C7),0)</f>
        <v>0</v>
      </c>
      <c r="M15" s="21">
        <f>IF(SUM(E15:L15)&lt;J9,IF((J9-SUM(E15:L15))&lt;J9/C7,J9-SUM(E15:L15),J9/C7),0)</f>
        <v>0</v>
      </c>
      <c r="N15" s="21">
        <f>IF(SUM(E15:M15)&lt;J9,IF((J9-SUM(E15:M15))&lt;J9/C7,J9-SUM(E15:M15),J9/C7),0)</f>
        <v>0</v>
      </c>
      <c r="O15" s="21">
        <f>IF(SUM(E15:N15)&lt;J9,IF((J9-SUM(E15:N15))&lt;J9/C7,J9-SUM(E15:N15),J9/C7),0)</f>
        <v>0</v>
      </c>
      <c r="P15" s="21">
        <f>IF(SUM(E15:O15)&lt;J9,IF((J9-SUM(E15:O15))&lt;J9/C7,J9-SUM(E15:O15),J9/C7),0)</f>
        <v>0</v>
      </c>
      <c r="Q15" s="21">
        <f>IF(SUM(E15:P15)&lt;J9,IF((J9-SUM(E15:P15))&lt;J9/C7,J9-SUM(E15:P15),J9/C7),0)</f>
        <v>0</v>
      </c>
      <c r="R15" s="21">
        <f>IF(SUM(E15:Q15)&lt;J9,IF((J9-SUM(E15:Q15))&lt;J9/C7,J9-SUM(E15:Q15),J9/C7),0)</f>
        <v>0</v>
      </c>
      <c r="S15" s="21">
        <f>IF(SUM(E15:R15)&lt;J9,IF((J9-SUM(E15:R15))&lt;J9/C7,J9-SUM(E15:R15),J9/C7),0)</f>
        <v>0</v>
      </c>
      <c r="T15" s="21">
        <f>IF(SUM(E15:S15)&lt;J9,IF((J9-SUM(E15:S15))&lt;J9/C7,J9-SUM(E15:S15),J9/C7),0)</f>
        <v>0</v>
      </c>
      <c r="U15" s="21">
        <f>IF(SUM(E15:T15)&lt;J9,IF((J9-SUM(E15:T15))&lt;J9/C7,J9-SUM(E15:T15),J9/C7),0)</f>
        <v>0</v>
      </c>
      <c r="V15" s="21">
        <f>IF(SUM(E15:U15)&lt;J9,IF((J9-SUM(E15:U15))&lt;J9/C7,J9-SUM(E15:U15),J9/C7),0)</f>
        <v>0</v>
      </c>
      <c r="W15" s="21">
        <f>IF(SUM(E15:V15)&lt;J9,IF((J9-SUM(E15:V15))&lt;J9/C7,J9-SUM(E15:V15),J9/C7),0)</f>
        <v>0</v>
      </c>
      <c r="X15" s="30">
        <f>IF(SUM(E15:W15)&lt;J9,IF((J9-SUM(E15:W15))&lt;J9/C7,J9-SUM(E15:W15),J9/C7),0)</f>
        <v>0</v>
      </c>
    </row>
    <row r="16" spans="1:24" ht="25.2" customHeight="1" x14ac:dyDescent="0.25">
      <c r="A16" s="302"/>
      <c r="B16" s="20" t="s">
        <v>273</v>
      </c>
      <c r="C16" s="18"/>
      <c r="D16" s="19">
        <f t="shared" si="1"/>
        <v>0</v>
      </c>
      <c r="E16" s="21"/>
      <c r="F16" s="21"/>
      <c r="G16" s="21"/>
      <c r="H16" s="21"/>
      <c r="I16" s="21"/>
      <c r="J16" s="21"/>
      <c r="K16" s="21">
        <f>L16*(1-K8/12)</f>
        <v>0</v>
      </c>
      <c r="L16" s="21">
        <f>K9/C7</f>
        <v>0</v>
      </c>
      <c r="M16" s="21">
        <f>IF(SUM(E16:L16)&lt;K9,IF((K9-SUM(E16:L16))&lt;K9/C7,K9-SUM(E16:L16),K9/C7),0)</f>
        <v>0</v>
      </c>
      <c r="N16" s="21">
        <f>IF(SUM(E16:M16)&lt;K9,IF((K9-SUM(E16:M16))&lt;K9/C7,K9-SUM(E16:M16),K9/C7),0)</f>
        <v>0</v>
      </c>
      <c r="O16" s="21">
        <f>IF(SUM(E16:N16)&lt;K9,IF((K9-SUM(E16:N16))&lt;K9/C7,K9-SUM(E16:N16),K9/C7),0)</f>
        <v>0</v>
      </c>
      <c r="P16" s="21">
        <f>IF(SUM(E16:O16)&lt;K9,IF((K9-SUM(E16:O16))&lt;K9/C7,K9-SUM(E16:O16),K9/C7),0)</f>
        <v>0</v>
      </c>
      <c r="Q16" s="21">
        <f>IF(SUM(E16:P16)&lt;K9,IF((K9-SUM(E16:P16))&lt;K9/C7,K9-SUM(E16:P16),K9/C7),0)</f>
        <v>0</v>
      </c>
      <c r="R16" s="21">
        <f>IF(SUM(E16:Q16)&lt;K9,IF((K9-SUM(E16:Q16))&lt;K9/C7,K9-SUM(E16:Q16),K9/C7),0)</f>
        <v>0</v>
      </c>
      <c r="S16" s="21">
        <f>IF(SUM(E16:R16)&lt;K9,IF((K9-SUM(E16:R16))&lt;K9/C7,K9-SUM(E16:R16),K9/C7),0)</f>
        <v>0</v>
      </c>
      <c r="T16" s="21">
        <f>IF(SUM(E16:S16)&lt;K9,IF((K9-SUM(E16:S16))&lt;K9/C7,K9-SUM(E16:S16),K9/C7),0)</f>
        <v>0</v>
      </c>
      <c r="U16" s="21">
        <f>IF(SUM(E16:T16)&lt;K9,IF((K9-SUM(E16:T16))&lt;K9/C7,K9-SUM(E16:T16),K9/C7),0)</f>
        <v>0</v>
      </c>
      <c r="V16" s="21">
        <f>IF(SUM(E16:U16)&lt;K9,IF((K9-SUM(E16:U16))&lt;K9/C7,K9-SUM(E16:U16),K9/C7),0)</f>
        <v>0</v>
      </c>
      <c r="W16" s="21">
        <f>IF(SUM(E16:V16)&lt;K9,IF((K9-SUM(E16:V16))&lt;K9/C7,K9-SUM(E16:V16),K9/C7),0)</f>
        <v>0</v>
      </c>
      <c r="X16" s="30">
        <f>IF(SUM(E16:W16)&lt;K9,IF((K9-SUM(E16:W16))&lt;K9/C7,K9-SUM(E16:W16),K9/C7),0)</f>
        <v>0</v>
      </c>
    </row>
    <row r="17" spans="1:24" ht="25.2" customHeight="1" x14ac:dyDescent="0.25">
      <c r="A17" s="302"/>
      <c r="B17" s="20" t="s">
        <v>274</v>
      </c>
      <c r="C17" s="18"/>
      <c r="D17" s="19">
        <f t="shared" si="1"/>
        <v>0</v>
      </c>
      <c r="E17" s="21"/>
      <c r="F17" s="21"/>
      <c r="G17" s="21"/>
      <c r="H17" s="21"/>
      <c r="I17" s="21"/>
      <c r="J17" s="21"/>
      <c r="K17" s="21"/>
      <c r="L17" s="21">
        <f>M17*(1-L8/12)</f>
        <v>0</v>
      </c>
      <c r="M17" s="21">
        <f>L9/C7</f>
        <v>0</v>
      </c>
      <c r="N17" s="21">
        <f>IF(SUM(E17:M17)&lt;L9,IF((L9-SUM(E17:M17))&lt;L9/C7,L9-SUM(E17:M17),L9/C7),0)</f>
        <v>0</v>
      </c>
      <c r="O17" s="21">
        <f>IF(SUM(E17:N17)&lt;L9,IF((L9-SUM(E17:N17))&lt;L9/C7,L9-SUM(E17:N17),L9/C7),0)</f>
        <v>0</v>
      </c>
      <c r="P17" s="21">
        <f>IF(SUM(E17:O17)&lt;L9,IF((L9-SUM(E17:O17))&lt;L9/C7,L9-SUM(E17:O17),L9/C7),0)</f>
        <v>0</v>
      </c>
      <c r="Q17" s="21">
        <f>IF(SUM(E17:P17)&lt;L9,IF((L9-SUM(E17:P17))&lt;L9/C7,L9-SUM(E17:P17),L9/C7),0)</f>
        <v>0</v>
      </c>
      <c r="R17" s="21">
        <f>IF(SUM(E17:Q17)&lt;L9,IF((L9-SUM(E17:Q17))&lt;L9/C7,L9-SUM(E17:Q17),L9/C7),0)</f>
        <v>0</v>
      </c>
      <c r="S17" s="21">
        <f>IF(SUM(E17:R17)&lt;L9,IF((L9-SUM(E17:R17))&lt;L9/C7,L9-SUM(E17:R17),L9/C7),0)</f>
        <v>0</v>
      </c>
      <c r="T17" s="21">
        <f>IF(SUM(E17:S17)&lt;L9,IF((L9-SUM(E17:S17))&lt;L9/C7,L9-SUM(E17:S17),L9/C7),0)</f>
        <v>0</v>
      </c>
      <c r="U17" s="21">
        <f>IF(SUM(E17:T17)&lt;L9,IF((L9-SUM(E17:T17))&lt;L9/C7,L9-SUM(E17:T17),L9/C7),0)</f>
        <v>0</v>
      </c>
      <c r="V17" s="21">
        <f>IF(SUM(E17:U17)&lt;L9,IF((L9-SUM(E17:U17))&lt;L9/C7,L9-SUM(E17:U17),L9/C7),0)</f>
        <v>0</v>
      </c>
      <c r="W17" s="21">
        <f>IF(SUM(E17:V17)&lt;L9,IF((L9-SUM(E17:V17))&lt;L9/C7,L9-SUM(E17:V17),L9/C7),0)</f>
        <v>0</v>
      </c>
      <c r="X17" s="30">
        <f>IF(SUM(E17:W17)&lt;L9,IF((L9-SUM(E17:W17))&lt;L9/C7,L9-SUM(E17:W17),L9/C7),0)</f>
        <v>0</v>
      </c>
    </row>
    <row r="18" spans="1:24" ht="25.2" customHeight="1" x14ac:dyDescent="0.25">
      <c r="A18" s="302"/>
      <c r="B18" s="20" t="s">
        <v>275</v>
      </c>
      <c r="C18" s="18"/>
      <c r="D18" s="19">
        <f t="shared" si="1"/>
        <v>0</v>
      </c>
      <c r="E18" s="21"/>
      <c r="F18" s="21"/>
      <c r="G18" s="21"/>
      <c r="H18" s="21"/>
      <c r="I18" s="21"/>
      <c r="J18" s="21"/>
      <c r="K18" s="21"/>
      <c r="L18" s="21"/>
      <c r="M18" s="21">
        <f>N18*(1-M8/12)</f>
        <v>0</v>
      </c>
      <c r="N18" s="21">
        <f>M9/C7</f>
        <v>0</v>
      </c>
      <c r="O18" s="21">
        <f>IF(SUM(E18:N18)&lt;M9,IF((M9-SUM(E18:N18))&lt;M9/C7,M9-SUM(E18:N18),M9/C7),0)</f>
        <v>0</v>
      </c>
      <c r="P18" s="21">
        <f>IF(SUM(E18:O18)&lt;M9,IF((M9-SUM(E18:O18))&lt;M9/C7,M9-SUM(E18:O18),M9/C7),0)</f>
        <v>0</v>
      </c>
      <c r="Q18" s="21">
        <f>IF(SUM(E18:P18)&lt;M9,IF((M9-SUM(E18:P18))&lt;M9/C7,M9-SUM(E18:P18),M9/C7),0)</f>
        <v>0</v>
      </c>
      <c r="R18" s="21">
        <f>IF(SUM(E18:Q18)&lt;M9,IF((M9-SUM(E18:Q18))&lt;M9/C7,M9-SUM(E18:Q18),M9/C7),0)</f>
        <v>0</v>
      </c>
      <c r="S18" s="21">
        <f>IF(SUM(E18:R18)&lt;M9,IF((M9-SUM(E18:R18))&lt;M9/C7,M9-SUM(E18:R18),M9/C7),0)</f>
        <v>0</v>
      </c>
      <c r="T18" s="21">
        <f>IF(SUM(E18:S18)&lt;M9,IF((M9-SUM(E18:S18))&lt;M9/C7,M9-SUM(E18:S18),M9/C7),0)</f>
        <v>0</v>
      </c>
      <c r="U18" s="21">
        <f>IF(SUM(E18:T18)&lt;M9,IF((M9-SUM(E18:T18))&lt;M9/C7,M9-SUM(E18:T18),M9/C7),0)</f>
        <v>0</v>
      </c>
      <c r="V18" s="21">
        <f>IF(SUM(E18:U18)&lt;M9,IF((M9-SUM(E18:U18))&lt;M9/C7,M9-SUM(E18:U18),M9/C7),0)</f>
        <v>0</v>
      </c>
      <c r="W18" s="21">
        <f>IF(SUM(E18:V18)&lt;M9,IF((M9-SUM(E18:V18))&lt;M9/C7,M9-SUM(E18:V18),M9/C7),0)</f>
        <v>0</v>
      </c>
      <c r="X18" s="30">
        <f>IF(SUM(E18:W18)&lt;M9,IF((M9-SUM(E18:W18))&lt;M9/C7,M9-SUM(E18:W18),M9/C7),0)</f>
        <v>0</v>
      </c>
    </row>
    <row r="19" spans="1:24" ht="25.2" customHeight="1" x14ac:dyDescent="0.25">
      <c r="A19" s="302"/>
      <c r="B19" s="20" t="s">
        <v>276</v>
      </c>
      <c r="C19" s="18"/>
      <c r="D19" s="19">
        <f t="shared" si="1"/>
        <v>0</v>
      </c>
      <c r="E19" s="21"/>
      <c r="F19" s="21"/>
      <c r="G19" s="21"/>
      <c r="H19" s="21"/>
      <c r="I19" s="21"/>
      <c r="J19" s="21"/>
      <c r="K19" s="21"/>
      <c r="L19" s="21"/>
      <c r="M19" s="21"/>
      <c r="N19" s="21">
        <f>O19*(1-N8/12)</f>
        <v>0</v>
      </c>
      <c r="O19" s="21">
        <f>N9/C7</f>
        <v>0</v>
      </c>
      <c r="P19" s="21">
        <f>IF(SUM(E19:O19)&lt;N9,IF((N9-SUM(E19:O19))&lt;N9/C7,N9-SUM(E19:O19),N9/C7),0)</f>
        <v>0</v>
      </c>
      <c r="Q19" s="21">
        <f>IF(SUM(E19:P19)&lt;N9,IF((N9-SUM(E19:P19))&lt;N9/C7,N9-SUM(E19:P19),N9/C7),0)</f>
        <v>0</v>
      </c>
      <c r="R19" s="21">
        <f>IF(SUM(E19:Q19)&lt;N9,IF((N9-SUM(E19:Q19))&lt;N9/C7,N9-SUM(E19:Q19),N9/C7),0)</f>
        <v>0</v>
      </c>
      <c r="S19" s="21">
        <f>IF(SUM(E19:R19)&lt;N9,IF((N9-SUM(E19:R19))&lt;N9/C7,N9-SUM(E19:R19),N9/C7),0)</f>
        <v>0</v>
      </c>
      <c r="T19" s="21">
        <f>IF(SUM(E19:S19)&lt;N9,IF((N9-SUM(E19:S19))&lt;N9/C7,N9-SUM(E19:S19),N9/C7),0)</f>
        <v>0</v>
      </c>
      <c r="U19" s="21">
        <f>IF(SUM(E19:T19)&lt;N9,IF((N9-SUM(E19:T19))&lt;N9/C7,N9-SUM(E19:T19),N9/C7),0)</f>
        <v>0</v>
      </c>
      <c r="V19" s="21">
        <f>IF(SUM(E19:U19)&lt;N9,IF((N9-SUM(E19:U19))&lt;N9/C7,N9-SUM(E19:U19),N9/C7),0)</f>
        <v>0</v>
      </c>
      <c r="W19" s="21">
        <f>IF(SUM(E19:V19)&lt;N9,IF((N9-SUM(E19:V19))&lt;N9/C7,N9-SUM(E19:V19),N9/C7),0)</f>
        <v>0</v>
      </c>
      <c r="X19" s="30">
        <f>IF(SUM(E19:W19)&lt;N9,IF((N9-SUM(E19:W19))&lt;N9/C7,N9-SUM(E19:W19),N9/C7),0)</f>
        <v>0</v>
      </c>
    </row>
    <row r="20" spans="1:24" ht="25.2" customHeight="1" x14ac:dyDescent="0.25">
      <c r="A20" s="302"/>
      <c r="B20" s="20" t="s">
        <v>277</v>
      </c>
      <c r="C20" s="18"/>
      <c r="D20" s="19">
        <f t="shared" si="1"/>
        <v>0</v>
      </c>
      <c r="E20" s="21"/>
      <c r="F20" s="21"/>
      <c r="G20" s="21"/>
      <c r="H20" s="21"/>
      <c r="I20" s="21"/>
      <c r="J20" s="21"/>
      <c r="K20" s="21"/>
      <c r="L20" s="21"/>
      <c r="M20" s="21"/>
      <c r="N20" s="21"/>
      <c r="O20" s="21">
        <f>P20*(1-O8/12)</f>
        <v>0</v>
      </c>
      <c r="P20" s="21">
        <f>O9/C7</f>
        <v>0</v>
      </c>
      <c r="Q20" s="21">
        <f>IF(SUM(E20:P20)&lt;O9,IF((O9-SUM(E20:P20))&lt;O9/C7,O9-SUM(E20:P20),O9/C7),0)</f>
        <v>0</v>
      </c>
      <c r="R20" s="21">
        <f>IF(SUM(E20:Q20)&lt;O9,IF((O9-SUM(E20:Q20))&lt;O9/C7,O9-SUM(E20:Q20),O9/C7),0)</f>
        <v>0</v>
      </c>
      <c r="S20" s="21">
        <f>IF(SUM(E20:R20)&lt;O9,IF((O9-SUM(E20:R20))&lt;O9/C7,O9-SUM(E20:R20),O9/C7),0)</f>
        <v>0</v>
      </c>
      <c r="T20" s="21">
        <f>IF(SUM(E20:S20)&lt;O9,IF((O9-SUM(E20:S20))&lt;O9/C7,O9-SUM(E20:S20),O9/C7),0)</f>
        <v>0</v>
      </c>
      <c r="U20" s="21">
        <f>IF(SUM(E20:T20)&lt;O9,IF((O9-SUM(E20:T20))&lt;O9/C7,O9-SUM(E20:T20),O9/C7),0)</f>
        <v>0</v>
      </c>
      <c r="V20" s="21">
        <f>IF(SUM(E20:U20)&lt;O9,IF((O9-SUM(E20:U20))&lt;O9/C7,O9-SUM(E20:U20),O9/C7),0)</f>
        <v>0</v>
      </c>
      <c r="W20" s="21">
        <f>IF(SUM(E20:V20)&lt;O9,IF((O9-SUM(E20:V20))&lt;O9/C7,O9-SUM(E20:V20),O9/C7),0)</f>
        <v>0</v>
      </c>
      <c r="X20" s="30">
        <f>IF(SUM(E20:W20)&lt;O9,IF((O9-SUM(E20:W20))&lt;O9/C7,O9-SUM(E20:W20),O9/C7),0)</f>
        <v>0</v>
      </c>
    </row>
    <row r="21" spans="1:24" ht="25.2" customHeight="1" x14ac:dyDescent="0.25">
      <c r="A21" s="302"/>
      <c r="B21" s="8"/>
      <c r="C21" s="8"/>
      <c r="D21" s="8"/>
      <c r="E21" s="8"/>
      <c r="F21" s="8"/>
      <c r="G21" s="8"/>
      <c r="H21" s="8"/>
      <c r="I21" s="8"/>
      <c r="J21" s="8"/>
      <c r="K21" s="8"/>
      <c r="L21" s="8"/>
      <c r="M21" s="8"/>
      <c r="N21" s="8"/>
      <c r="O21" s="8"/>
      <c r="P21" s="8"/>
      <c r="Q21" s="8"/>
      <c r="R21" s="8"/>
      <c r="S21" s="8"/>
      <c r="T21" s="8"/>
      <c r="U21" s="8"/>
      <c r="V21" s="8"/>
      <c r="W21" s="8"/>
      <c r="X21" s="27"/>
    </row>
    <row r="22" spans="1:24" ht="25.2" customHeight="1" x14ac:dyDescent="0.25">
      <c r="A22" s="302"/>
      <c r="B22" s="9" t="s">
        <v>278</v>
      </c>
      <c r="C22" s="22"/>
      <c r="D22" s="11">
        <f t="shared" ref="D22:D36" si="3">SUM(E22:X22)</f>
        <v>0</v>
      </c>
      <c r="E22" s="12">
        <f t="shared" ref="E22:X22" si="4">SUM(E26:E36)</f>
        <v>0</v>
      </c>
      <c r="F22" s="12">
        <f t="shared" si="4"/>
        <v>0</v>
      </c>
      <c r="G22" s="12">
        <f t="shared" si="4"/>
        <v>0</v>
      </c>
      <c r="H22" s="12">
        <f t="shared" si="4"/>
        <v>0</v>
      </c>
      <c r="I22" s="12">
        <f t="shared" si="4"/>
        <v>0</v>
      </c>
      <c r="J22" s="12">
        <f t="shared" si="4"/>
        <v>0</v>
      </c>
      <c r="K22" s="12">
        <f t="shared" si="4"/>
        <v>0</v>
      </c>
      <c r="L22" s="12">
        <f t="shared" si="4"/>
        <v>0</v>
      </c>
      <c r="M22" s="12">
        <f t="shared" si="4"/>
        <v>0</v>
      </c>
      <c r="N22" s="12">
        <f t="shared" si="4"/>
        <v>0</v>
      </c>
      <c r="O22" s="12">
        <f t="shared" si="4"/>
        <v>0</v>
      </c>
      <c r="P22" s="12">
        <f t="shared" si="4"/>
        <v>0</v>
      </c>
      <c r="Q22" s="12">
        <f t="shared" si="4"/>
        <v>0</v>
      </c>
      <c r="R22" s="12">
        <f t="shared" si="4"/>
        <v>0</v>
      </c>
      <c r="S22" s="12">
        <f t="shared" si="4"/>
        <v>0</v>
      </c>
      <c r="T22" s="12">
        <f t="shared" si="4"/>
        <v>0</v>
      </c>
      <c r="U22" s="12">
        <f t="shared" si="4"/>
        <v>0</v>
      </c>
      <c r="V22" s="12">
        <f t="shared" si="4"/>
        <v>0</v>
      </c>
      <c r="W22" s="12">
        <f t="shared" si="4"/>
        <v>0</v>
      </c>
      <c r="X22" s="28">
        <f t="shared" si="4"/>
        <v>0</v>
      </c>
    </row>
    <row r="23" spans="1:24" ht="25.2" customHeight="1" x14ac:dyDescent="0.25">
      <c r="A23" s="302"/>
      <c r="B23" s="13" t="s">
        <v>264</v>
      </c>
      <c r="C23" s="14">
        <v>7</v>
      </c>
      <c r="D23" s="288"/>
      <c r="E23" s="289"/>
      <c r="F23" s="289"/>
      <c r="G23" s="289"/>
      <c r="H23" s="289"/>
      <c r="I23" s="289"/>
      <c r="J23" s="289"/>
      <c r="K23" s="289"/>
      <c r="L23" s="289"/>
      <c r="M23" s="289"/>
      <c r="N23" s="289"/>
      <c r="O23" s="289"/>
      <c r="P23" s="289"/>
      <c r="Q23" s="289"/>
      <c r="R23" s="289"/>
      <c r="S23" s="289"/>
      <c r="T23" s="289"/>
      <c r="U23" s="289"/>
      <c r="V23" s="289"/>
      <c r="W23" s="289"/>
      <c r="X23" s="290"/>
    </row>
    <row r="24" spans="1:24" ht="25.2" customHeight="1" x14ac:dyDescent="0.25">
      <c r="A24" s="302"/>
      <c r="B24" s="13" t="s">
        <v>265</v>
      </c>
      <c r="C24" s="15"/>
      <c r="D24" s="15"/>
      <c r="E24" s="16">
        <v>0</v>
      </c>
      <c r="F24" s="16">
        <v>0</v>
      </c>
      <c r="G24" s="16">
        <v>0</v>
      </c>
      <c r="H24" s="16">
        <v>0</v>
      </c>
      <c r="I24" s="16">
        <v>0</v>
      </c>
      <c r="J24" s="16">
        <v>0</v>
      </c>
      <c r="K24" s="16">
        <v>0</v>
      </c>
      <c r="L24" s="16">
        <v>0</v>
      </c>
      <c r="M24" s="16">
        <v>0</v>
      </c>
      <c r="N24" s="16">
        <v>0</v>
      </c>
      <c r="O24" s="16">
        <v>0</v>
      </c>
      <c r="P24" s="24"/>
      <c r="Q24" s="24"/>
      <c r="R24" s="24"/>
      <c r="S24" s="24"/>
      <c r="T24" s="24"/>
      <c r="U24" s="24"/>
      <c r="V24" s="24"/>
      <c r="W24" s="24"/>
      <c r="X24" s="29"/>
    </row>
    <row r="25" spans="1:24" ht="25.2" customHeight="1" x14ac:dyDescent="0.25">
      <c r="A25" s="302"/>
      <c r="B25" s="17" t="s">
        <v>279</v>
      </c>
      <c r="C25" s="18"/>
      <c r="D25" s="19">
        <f>SUM(E25:O25)</f>
        <v>0</v>
      </c>
      <c r="E25" s="16"/>
      <c r="F25" s="16"/>
      <c r="G25" s="16"/>
      <c r="H25" s="16"/>
      <c r="I25" s="16"/>
      <c r="J25" s="16"/>
      <c r="K25" s="16"/>
      <c r="L25" s="16"/>
      <c r="M25" s="16"/>
      <c r="N25" s="16"/>
      <c r="O25" s="16"/>
      <c r="P25" s="24"/>
      <c r="Q25" s="24"/>
      <c r="R25" s="24"/>
      <c r="S25" s="24"/>
      <c r="T25" s="24"/>
      <c r="U25" s="24"/>
      <c r="V25" s="24"/>
      <c r="W25" s="24"/>
      <c r="X25" s="29"/>
    </row>
    <row r="26" spans="1:24" ht="25.2" customHeight="1" x14ac:dyDescent="0.25">
      <c r="A26" s="302"/>
      <c r="B26" s="20" t="s">
        <v>267</v>
      </c>
      <c r="C26" s="18"/>
      <c r="D26" s="19">
        <f t="shared" si="3"/>
        <v>0</v>
      </c>
      <c r="E26" s="21">
        <f>F26*(1-E24/12)</f>
        <v>0</v>
      </c>
      <c r="F26" s="21">
        <f>E25/C23</f>
        <v>0</v>
      </c>
      <c r="G26" s="21">
        <f>IF(SUM(E26:F26)&lt;E25,IF((E25-SUM(E26:F26))&lt;E25/C23,E25-SUM(E26:F26),E25/C23),0)</f>
        <v>0</v>
      </c>
      <c r="H26" s="21">
        <f>IF(SUM(E26:G26)&lt;E25,IF((E25-SUM(E26:G26))&lt;E25/C23,E25-SUM(E26:G26),E25/C23),0)</f>
        <v>0</v>
      </c>
      <c r="I26" s="21">
        <f>IF(SUM(E26:H26)&lt;E25,IF((E25-SUM(E26:H26))&lt;E25/C23,E25-SUM(E26:H26),E25/C23),0)</f>
        <v>0</v>
      </c>
      <c r="J26" s="21">
        <f>IF(SUM(E26:I26)&lt;E25,IF((E25-SUM(E26:I26))&lt;E25/C23,E25-SUM(E26:I26),E25/C23),0)</f>
        <v>0</v>
      </c>
      <c r="K26" s="21">
        <f>IF(SUM(E26:J26)&lt;E25,IF((E25-SUM(E26:J26))&lt;E25/C23,E25-SUM(E26:J26),E25/C23),0)</f>
        <v>0</v>
      </c>
      <c r="L26" s="21">
        <f>IF(SUM(E26:K26)&lt;E25,IF((E25-SUM(E26:K26))&lt;E25/C23,E25-SUM(E26:K26),E25/C23),0)</f>
        <v>0</v>
      </c>
      <c r="M26" s="21">
        <f>IF(SUM(E26:L26)&lt;E25,IF((E25-SUM(E26:L26))&lt;E25/C23,E25-SUM(E26:L26),E25/C23),0)</f>
        <v>0</v>
      </c>
      <c r="N26" s="21">
        <f>IF(SUM(E26:M26)&lt;E25,IF((E25-SUM(E26:M26))&lt;E25/C23,E25-SUM(E26:M26),E25/C23),0)</f>
        <v>0</v>
      </c>
      <c r="O26" s="21">
        <f>IF(SUM(E26:N26)&lt;E25,IF((E25-SUM(E26:N26))&lt;E25/C23,E25-SUM(E26:N26),E25/C23),0)</f>
        <v>0</v>
      </c>
      <c r="P26" s="21">
        <f>IF(SUM(E26:O26)&lt;E25,IF((E25-SUM(E26:O26))&lt;E25/C23,E25-SUM(E26:O26),E25/C23),0)</f>
        <v>0</v>
      </c>
      <c r="Q26" s="21">
        <f>IF(SUM(E26:P26)&lt;E25,IF((E25-SUM(E26:P26))&lt;E25/C23,E25-SUM(E26:P26),E25/C23),0)</f>
        <v>0</v>
      </c>
      <c r="R26" s="21">
        <f>IF(SUM(E26:Q26)&lt;E25,IF((E25-SUM(E26:Q26))&lt;E25/C23,E25-SUM(E26:Q26),E25/C23),0)</f>
        <v>0</v>
      </c>
      <c r="S26" s="21">
        <f>IF(SUM(E26:R26)&lt;E25,IF((E25-SUM(E26:R26))&lt;E25/C23,E25-SUM(E26:R26),E25/C23),0)</f>
        <v>0</v>
      </c>
      <c r="T26" s="21">
        <f>IF(SUM(E26:S26)&lt;E25,IF((E25-SUM(E26:S26))&lt;E25/C23,E25-SUM(E26:S26),E25/C23),0)</f>
        <v>0</v>
      </c>
      <c r="U26" s="21">
        <f>IF(SUM(E26:T26)&lt;E25,IF((E25-SUM(E26:T26))&lt;E25/C23,E25-SUM(E26:T26),E25/C23),0)</f>
        <v>0</v>
      </c>
      <c r="V26" s="21">
        <f>IF(SUM(E26:U26)&lt;E25,IF((E25-SUM(E26:U26))&lt;E25/C23,E25-SUM(E26:U26),E25/C23),0)</f>
        <v>0</v>
      </c>
      <c r="W26" s="21">
        <f>IF(SUM(E26:V26)&lt;E25,IF((E25-SUM(E26:V26))&lt;E25/C23,E25-SUM(E26:V26),E25/C23),0)</f>
        <v>0</v>
      </c>
      <c r="X26" s="30">
        <f>IF(SUM(E26:W26)&lt;E25,IF((E25-SUM(E26:W26))&lt;E25/C23,E25-SUM(E26:W26),E25/C23),0)</f>
        <v>0</v>
      </c>
    </row>
    <row r="27" spans="1:24" ht="25.2" customHeight="1" x14ac:dyDescent="0.25">
      <c r="A27" s="302"/>
      <c r="B27" s="20" t="s">
        <v>268</v>
      </c>
      <c r="C27" s="18"/>
      <c r="D27" s="19">
        <f t="shared" si="3"/>
        <v>0</v>
      </c>
      <c r="E27" s="21"/>
      <c r="F27" s="21">
        <f>G27*(1-F24/12)</f>
        <v>0</v>
      </c>
      <c r="G27" s="21">
        <f>F25/C23</f>
        <v>0</v>
      </c>
      <c r="H27" s="21">
        <f>IF(SUM(E27:G27)&lt;F25,IF((F25-SUM(E27:G27))&lt;F25/C23,F25-SUM(E27:G27),F25/C23),0)</f>
        <v>0</v>
      </c>
      <c r="I27" s="21">
        <f>IF(SUM(E27:H27)&lt;F25,IF((F25-SUM(E27:H27))&lt;F25/C23,F25-SUM(E27:H27),F25/C23),0)</f>
        <v>0</v>
      </c>
      <c r="J27" s="21">
        <f>IF(SUM(E27:I27)&lt;F25,IF((F25-SUM(E27:I27))&lt;F25/C23,F25-SUM(E27:I27),F25/C23),0)</f>
        <v>0</v>
      </c>
      <c r="K27" s="21">
        <f>IF(SUM(E27:J27)&lt;F25,IF((F25-SUM(E27:J27))&lt;F25/C23,F25-SUM(E27:J27),F25/C23),0)</f>
        <v>0</v>
      </c>
      <c r="L27" s="21">
        <f>IF(SUM(E27:K27)&lt;F25,IF((F25-SUM(E27:K27))&lt;F25/C23,F25-SUM(E27:K27),F25/C23),0)</f>
        <v>0</v>
      </c>
      <c r="M27" s="21">
        <f>IF(SUM(E27:L27)&lt;F25,IF((F25-SUM(E27:L27))&lt;F25/C23,F25-SUM(E27:L27),F25/C23),0)</f>
        <v>0</v>
      </c>
      <c r="N27" s="21">
        <f>IF(SUM(E27:M27)&lt;F25,IF((F25-SUM(E27:M27))&lt;F25/C23,F25-SUM(E27:M27),F25/C23),0)</f>
        <v>0</v>
      </c>
      <c r="O27" s="21">
        <f>IF(SUM(E27:N27)&lt;F25,IF((F25-SUM(E27:N27))&lt;F25/C23,F25-SUM(E27:N27),F25/C23),0)</f>
        <v>0</v>
      </c>
      <c r="P27" s="21">
        <f>IF(SUM(E27:O27)&lt;F25,IF((F25-SUM(E27:O27))&lt;F25/C23,F25-SUM(E27:O27),F25/C23),0)</f>
        <v>0</v>
      </c>
      <c r="Q27" s="21">
        <f>IF(SUM(E27:P27)&lt;F25,IF((F25-SUM(E27:P27))&lt;F25/C23,F25-SUM(E27:P27),F25/C23),0)</f>
        <v>0</v>
      </c>
      <c r="R27" s="21">
        <f>IF(SUM(E27:Q27)&lt;F25,IF((F25-SUM(E27:Q27))&lt;F25/C23,F25-SUM(E27:Q27),F25/C23),0)</f>
        <v>0</v>
      </c>
      <c r="S27" s="21">
        <f>IF(SUM(E27:R27)&lt;F25,IF((F25-SUM(E27:R27))&lt;F25/C23,F25-SUM(E27:R27),F25/C23),0)</f>
        <v>0</v>
      </c>
      <c r="T27" s="21">
        <f>IF(SUM(E27:S27)&lt;F25,IF((F25-SUM(E27:S27))&lt;F25/C23,F25-SUM(E27:S27),F25/C23),0)</f>
        <v>0</v>
      </c>
      <c r="U27" s="21">
        <f>IF(SUM(E27:T27)&lt;F25,IF((F25-SUM(E27:T27))&lt;F25/C23,F25-SUM(E27:T27),F25/C23),0)</f>
        <v>0</v>
      </c>
      <c r="V27" s="21">
        <f>IF(SUM(E27:U27)&lt;F25,IF((F25-SUM(E27:U27))&lt;F25/C23,F25-SUM(E27:U27),F25/C23),0)</f>
        <v>0</v>
      </c>
      <c r="W27" s="21">
        <f>IF(SUM(E27:V27)&lt;F25,IF((F25-SUM(E27:V27))&lt;F25/C23,F25-SUM(E27:V27),F25/C23),0)</f>
        <v>0</v>
      </c>
      <c r="X27" s="30">
        <f>IF(SUM(E27:W27)&lt;F25,IF((F25-SUM(E27:W27))&lt;F25/C23,F25-SUM(E27:W27),F25/C23),0)</f>
        <v>0</v>
      </c>
    </row>
    <row r="28" spans="1:24" ht="25.2" customHeight="1" x14ac:dyDescent="0.25">
      <c r="A28" s="302"/>
      <c r="B28" s="20" t="s">
        <v>269</v>
      </c>
      <c r="C28" s="18"/>
      <c r="D28" s="19">
        <f t="shared" si="3"/>
        <v>0</v>
      </c>
      <c r="E28" s="21"/>
      <c r="F28" s="21"/>
      <c r="G28" s="21">
        <f>H28*(1-G24/12)</f>
        <v>0</v>
      </c>
      <c r="H28" s="21">
        <f>G25/C23</f>
        <v>0</v>
      </c>
      <c r="I28" s="21">
        <f>IF(SUM(E28:H28)&lt;G25,IF((G25-SUM(E28:H28))&lt;G25/C23,G25-SUM(E28:H28),G25/C23),0)</f>
        <v>0</v>
      </c>
      <c r="J28" s="21">
        <f>IF(SUM(E28:I28)&lt;G25,IF((G25-SUM(E28:I28))&lt;G25/C23,G25-SUM(E28:I28),G25/C23),0)</f>
        <v>0</v>
      </c>
      <c r="K28" s="21">
        <f>IF(SUM(E28:J28)&lt;G25,IF((G25-SUM(E28:J28))&lt;G25/C23,G25-SUM(E28:J28),G25/C23),0)</f>
        <v>0</v>
      </c>
      <c r="L28" s="21">
        <f>IF(SUM(E28:K28)&lt;G25,IF((G25-SUM(E28:K28))&lt;G25/C23,G25-SUM(E28:K28),G25/C23),0)</f>
        <v>0</v>
      </c>
      <c r="M28" s="21">
        <f>IF(SUM(E28:L28)&lt;G25,IF((G25-SUM(E28:L28))&lt;G25/C23,G25-SUM(E28:L28),G25/C23),0)</f>
        <v>0</v>
      </c>
      <c r="N28" s="21">
        <f>IF(SUM(E28:M28)&lt;G25,IF((G25-SUM(E28:M28))&lt;G25/C23,G25-SUM(E28:M28),G25/C23),0)</f>
        <v>0</v>
      </c>
      <c r="O28" s="21">
        <f>IF(SUM(E28:N28)&lt;G25,IF((G25-SUM(E28:N28))&lt;G25/C23,G25-SUM(E28:N28),G25/C23),0)</f>
        <v>0</v>
      </c>
      <c r="P28" s="21">
        <f>IF(SUM(E28:O28)&lt;G25,IF((G25-SUM(E28:O28))&lt;G25/C23,G25-SUM(E28:O28),G25/C23),0)</f>
        <v>0</v>
      </c>
      <c r="Q28" s="21">
        <f>IF(SUM(E28:P28)&lt;G25,IF((G25-SUM(E28:P28))&lt;G25/C23,G25-SUM(E28:P28),G25/C23),0)</f>
        <v>0</v>
      </c>
      <c r="R28" s="21">
        <f>IF(SUM(E28:Q28)&lt;G25,IF((G25-SUM(E28:Q28))&lt;G25/C23,G25-SUM(E28:Q28),G25/C23),0)</f>
        <v>0</v>
      </c>
      <c r="S28" s="21">
        <f>IF(SUM(E28:R28)&lt;G25,IF((G25-SUM(E28:R28))&lt;G25/C23,G25-SUM(E28:R28),G25/C23),0)</f>
        <v>0</v>
      </c>
      <c r="T28" s="21">
        <f>IF(SUM(E28:S28)&lt;G25,IF((G25-SUM(E28:S28))&lt;G25/C23,G25-SUM(E28:S28),G25/C23),0)</f>
        <v>0</v>
      </c>
      <c r="U28" s="21">
        <f>IF(SUM(E28:T28)&lt;G25,IF((G25-SUM(E28:T28))&lt;G25/C23,G25-SUM(E28:T28),G25/C23),0)</f>
        <v>0</v>
      </c>
      <c r="V28" s="21">
        <f>IF(SUM(E28:U28)&lt;G25,IF((G25-SUM(E28:U28))&lt;G25/C23,G25-SUM(E28:U28),G25/C23),0)</f>
        <v>0</v>
      </c>
      <c r="W28" s="21">
        <f>IF(SUM(E28:V28)&lt;G25,IF((G25-SUM(E28:V28))&lt;G25/C23,G25-SUM(E28:V28),G25/C23),0)</f>
        <v>0</v>
      </c>
      <c r="X28" s="30">
        <f>IF(SUM(E28:W28)&lt;G25,IF((G25-SUM(E28:W28))&lt;G25/C23,G25-SUM(E28:W28),G25/C23),0)</f>
        <v>0</v>
      </c>
    </row>
    <row r="29" spans="1:24" ht="25.2" customHeight="1" x14ac:dyDescent="0.25">
      <c r="A29" s="302"/>
      <c r="B29" s="20" t="s">
        <v>270</v>
      </c>
      <c r="C29" s="18"/>
      <c r="D29" s="19">
        <f t="shared" si="3"/>
        <v>0</v>
      </c>
      <c r="E29" s="21"/>
      <c r="F29" s="21"/>
      <c r="G29" s="21"/>
      <c r="H29" s="21">
        <f>I29*(1-H24/12)</f>
        <v>0</v>
      </c>
      <c r="I29" s="21">
        <f>H25/C23</f>
        <v>0</v>
      </c>
      <c r="J29" s="21">
        <f>IF(SUM(E29:I29)&lt;H25,IF((H25-SUM(E29:I29))&lt;H25/C23,H25-SUM(E29:I29),H25/C23),0)</f>
        <v>0</v>
      </c>
      <c r="K29" s="21">
        <f>IF(SUM(E29:J29)&lt;H25,IF((H25-SUM(E29:J29))&lt;H25/C23,H25-SUM(E29:J29),H25/C23),0)</f>
        <v>0</v>
      </c>
      <c r="L29" s="21">
        <f>IF(SUM(E29:K29)&lt;H25,IF((H25-SUM(E29:K29))&lt;H25/C23,H25-SUM(E29:K29),H25/C23),0)</f>
        <v>0</v>
      </c>
      <c r="M29" s="21">
        <f>IF(SUM(E29:L29)&lt;H25,IF((H25-SUM(E29:L29))&lt;H25/C23,H25-SUM(E29:L29),H25/C23),0)</f>
        <v>0</v>
      </c>
      <c r="N29" s="21">
        <f>IF(SUM(E29:M29)&lt;H25,IF((H25-SUM(E29:M29))&lt;H25/C23,H25-SUM(E29:M29),H25/C23),0)</f>
        <v>0</v>
      </c>
      <c r="O29" s="21">
        <f>IF(SUM(E29:N29)&lt;H25,IF((H25-SUM(E29:N29))&lt;H25/C23,H25-SUM(E29:N29),H25/C23),0)</f>
        <v>0</v>
      </c>
      <c r="P29" s="21">
        <f>IF(SUM(E29:O29)&lt;H25,IF((H25-SUM(E29:O29))&lt;H25/C23,H25-SUM(E29:O29),H25/C23),0)</f>
        <v>0</v>
      </c>
      <c r="Q29" s="21">
        <f>IF(SUM(E29:P29)&lt;H25,IF((H25-SUM(E29:P29))&lt;H25/C23,H25-SUM(E29:P29),H25/C23),0)</f>
        <v>0</v>
      </c>
      <c r="R29" s="21">
        <f>IF(SUM(E29:Q29)&lt;H25,IF((H25-SUM(E29:Q29))&lt;H25/C23,H25-SUM(E29:Q29),H25/C23),0)</f>
        <v>0</v>
      </c>
      <c r="S29" s="21">
        <f>IF(SUM(E29:R29)&lt;H25,IF((H25-SUM(E29:R29))&lt;H25/C23,H25-SUM(E29:R29),H25/C23),0)</f>
        <v>0</v>
      </c>
      <c r="T29" s="21">
        <f>IF(SUM(E29:S29)&lt;H25,IF((H25-SUM(E29:S29))&lt;H25/C23,H25-SUM(E29:S29),H25/C23),0)</f>
        <v>0</v>
      </c>
      <c r="U29" s="21">
        <f>IF(SUM(E29:T29)&lt;H25,IF((H25-SUM(E29:T29))&lt;H25/C23,H25-SUM(E29:T29),H25/C23),0)</f>
        <v>0</v>
      </c>
      <c r="V29" s="21">
        <f>IF(SUM(E29:U29)&lt;H25,IF((H25-SUM(E29:U29))&lt;H25/C23,H25-SUM(E29:U29),H25/C23),0)</f>
        <v>0</v>
      </c>
      <c r="W29" s="21">
        <f>IF(SUM(E29:V29)&lt;H25,IF((H25-SUM(E29:V29))&lt;H25/C23,H25-SUM(E29:V29),H25/C23),0)</f>
        <v>0</v>
      </c>
      <c r="X29" s="30">
        <f>IF(SUM(E29:W29)&lt;H25,IF((H25-SUM(E29:W29))&lt;H25/C23,H25-SUM(E29:W29),H25/C23),0)</f>
        <v>0</v>
      </c>
    </row>
    <row r="30" spans="1:24" ht="25.2" customHeight="1" x14ac:dyDescent="0.25">
      <c r="A30" s="302"/>
      <c r="B30" s="20" t="s">
        <v>271</v>
      </c>
      <c r="C30" s="18"/>
      <c r="D30" s="19">
        <f t="shared" si="3"/>
        <v>0</v>
      </c>
      <c r="E30" s="21"/>
      <c r="F30" s="21"/>
      <c r="G30" s="21"/>
      <c r="H30" s="21"/>
      <c r="I30" s="21">
        <f>J30*(1-I24/12)</f>
        <v>0</v>
      </c>
      <c r="J30" s="21">
        <f>I25/C23</f>
        <v>0</v>
      </c>
      <c r="K30" s="21">
        <f>IF(SUM(E30:J30)&lt;I25,IF((I25-SUM(E30:J30))&lt;I25/C23,I25-SUM(E30:J30),I25/C23),0)</f>
        <v>0</v>
      </c>
      <c r="L30" s="21">
        <f>IF(SUM(E30:K30)&lt;I25,IF((I25-SUM(E30:K30))&lt;I25/C23,I25-SUM(E30:K30),I25/C23),0)</f>
        <v>0</v>
      </c>
      <c r="M30" s="21">
        <f>IF(SUM(E30:L30)&lt;I25,IF((I25-SUM(E30:L30))&lt;I25/C23,I25-SUM(E30:L30),I25/C23),0)</f>
        <v>0</v>
      </c>
      <c r="N30" s="21">
        <f>IF(SUM(E30:M30)&lt;I25,IF((I25-SUM(E30:M30))&lt;I25/C23,I25-SUM(E30:M30),I25/C23),0)</f>
        <v>0</v>
      </c>
      <c r="O30" s="21">
        <f>IF(SUM(E30:N30)&lt;I25,IF((I25-SUM(E30:N30))&lt;I25/C23,I25-SUM(E30:N30),I25/C23),0)</f>
        <v>0</v>
      </c>
      <c r="P30" s="21">
        <f>IF(SUM(E30:O30)&lt;I25,IF((I25-SUM(E30:O30))&lt;I25/C23,I25-SUM(E30:O30),I25/C23),0)</f>
        <v>0</v>
      </c>
      <c r="Q30" s="21">
        <f>IF(SUM(E30:P30)&lt;I25,IF((I25-SUM(E30:P30))&lt;I25/C23,I25-SUM(E30:P30),I25/C23),0)</f>
        <v>0</v>
      </c>
      <c r="R30" s="21">
        <f>IF(SUM(E30:Q30)&lt;I25,IF((I25-SUM(E30:Q30))&lt;I25/C23,I25-SUM(E30:Q30),I25/C23),0)</f>
        <v>0</v>
      </c>
      <c r="S30" s="21">
        <f>IF(SUM(E30:R30)&lt;I25,IF((I25-SUM(E30:R30))&lt;I25/C23,I25-SUM(E30:R30),I25/C23),0)</f>
        <v>0</v>
      </c>
      <c r="T30" s="21">
        <f>IF(SUM(E30:S30)&lt;I25,IF((I25-SUM(E30:S30))&lt;I25/C23,I25-SUM(E30:S30),I25/C23),0)</f>
        <v>0</v>
      </c>
      <c r="U30" s="21">
        <f>IF(SUM(E30:T30)&lt;I25,IF((I25-SUM(E30:T30))&lt;I25/C23,I25-SUM(E30:T30),I25/C23),0)</f>
        <v>0</v>
      </c>
      <c r="V30" s="21">
        <f>IF(SUM(E30:U30)&lt;I25,IF((I25-SUM(E30:U30))&lt;I25/C23,I25-SUM(E30:U30),I25/C23),0)</f>
        <v>0</v>
      </c>
      <c r="W30" s="21">
        <f>IF(SUM(E30:V30)&lt;I25,IF((I25-SUM(E30:V30))&lt;I25/C23,I25-SUM(E30:V30),I25/C23),0)</f>
        <v>0</v>
      </c>
      <c r="X30" s="30">
        <f>IF(SUM(E30:W30)&lt;I25,IF((I25-SUM(E30:W30))&lt;I25/C23,I25-SUM(E30:W30),I25/C23),0)</f>
        <v>0</v>
      </c>
    </row>
    <row r="31" spans="1:24" ht="25.2" customHeight="1" x14ac:dyDescent="0.25">
      <c r="A31" s="302"/>
      <c r="B31" s="20" t="s">
        <v>272</v>
      </c>
      <c r="C31" s="18"/>
      <c r="D31" s="19">
        <f t="shared" si="3"/>
        <v>0</v>
      </c>
      <c r="E31" s="21"/>
      <c r="F31" s="21"/>
      <c r="G31" s="21"/>
      <c r="H31" s="21"/>
      <c r="I31" s="21"/>
      <c r="J31" s="21">
        <f>K31*(1-J24/12)</f>
        <v>0</v>
      </c>
      <c r="K31" s="21">
        <f>J25/C23</f>
        <v>0</v>
      </c>
      <c r="L31" s="21">
        <f>IF(SUM(E31:K31)&lt;J25,IF((J25-SUM(E31:K31))&lt;J25/C23,J25-SUM(E31:K31),J25/C23),0)</f>
        <v>0</v>
      </c>
      <c r="M31" s="21">
        <f>IF(SUM(E31:L31)&lt;J25,IF((J25-SUM(E31:L31))&lt;J25/C23,J25-SUM(E31:L31),J25/C23),0)</f>
        <v>0</v>
      </c>
      <c r="N31" s="21">
        <f>IF(SUM(E31:M31)&lt;J25,IF((J25-SUM(E31:M31))&lt;J25/C23,J25-SUM(E31:M31),J25/C23),0)</f>
        <v>0</v>
      </c>
      <c r="O31" s="21">
        <f>IF(SUM(E31:N31)&lt;J25,IF((J25-SUM(E31:N31))&lt;J25/C23,J25-SUM(E31:N31),J25/C23),0)</f>
        <v>0</v>
      </c>
      <c r="P31" s="21">
        <f>IF(SUM(E31:O31)&lt;J25,IF((J25-SUM(E31:O31))&lt;J25/C23,J25-SUM(E31:O31),J25/C23),0)</f>
        <v>0</v>
      </c>
      <c r="Q31" s="21">
        <f>IF(SUM(E31:P31)&lt;J25,IF((J25-SUM(E31:P31))&lt;J25/C23,J25-SUM(E31:P31),J25/C23),0)</f>
        <v>0</v>
      </c>
      <c r="R31" s="21">
        <f>IF(SUM(E31:Q31)&lt;J25,IF((J25-SUM(E31:Q31))&lt;J25/C23,J25-SUM(E31:Q31),J25/C23),0)</f>
        <v>0</v>
      </c>
      <c r="S31" s="21">
        <f>IF(SUM(E31:R31)&lt;J25,IF((J25-SUM(E31:R31))&lt;J25/C23,J25-SUM(E31:R31),J25/C23),0)</f>
        <v>0</v>
      </c>
      <c r="T31" s="21">
        <f>IF(SUM(E31:S31)&lt;J25,IF((J25-SUM(E31:S31))&lt;J25/C23,J25-SUM(E31:S31),J25/C23),0)</f>
        <v>0</v>
      </c>
      <c r="U31" s="21">
        <f>IF(SUM(E31:T31)&lt;J25,IF((J25-SUM(E31:T31))&lt;J25/C23,J25-SUM(E31:T31),J25/C23),0)</f>
        <v>0</v>
      </c>
      <c r="V31" s="21">
        <f>IF(SUM(E31:U31)&lt;J25,IF((J25-SUM(E31:U31))&lt;J25/C23,J25-SUM(E31:U31),J25/C23),0)</f>
        <v>0</v>
      </c>
      <c r="W31" s="21">
        <f>IF(SUM(E31:V31)&lt;J25,IF((J25-SUM(E31:V31))&lt;J25/C23,J25-SUM(E31:V31),J25/C23),0)</f>
        <v>0</v>
      </c>
      <c r="X31" s="30">
        <f>IF(SUM(E31:W31)&lt;J25,IF((J25-SUM(E31:W31))&lt;J25/C23,J25-SUM(E31:W31),J25/C23),0)</f>
        <v>0</v>
      </c>
    </row>
    <row r="32" spans="1:24" ht="25.2" customHeight="1" x14ac:dyDescent="0.25">
      <c r="A32" s="302"/>
      <c r="B32" s="20" t="s">
        <v>273</v>
      </c>
      <c r="C32" s="18"/>
      <c r="D32" s="19">
        <f t="shared" si="3"/>
        <v>0</v>
      </c>
      <c r="E32" s="21"/>
      <c r="F32" s="21"/>
      <c r="G32" s="21"/>
      <c r="H32" s="21"/>
      <c r="I32" s="21"/>
      <c r="J32" s="21"/>
      <c r="K32" s="21">
        <f>L32*(1-K24/12)</f>
        <v>0</v>
      </c>
      <c r="L32" s="21">
        <f>K25/C23</f>
        <v>0</v>
      </c>
      <c r="M32" s="21">
        <f>IF(SUM(E32:L32)&lt;K25,IF((K25-SUM(E32:L32))&lt;K25/C23,K25-SUM(E32:L32),K25/C23),0)</f>
        <v>0</v>
      </c>
      <c r="N32" s="21">
        <f>IF(SUM(E32:M32)&lt;K25,IF((K25-SUM(E32:M32))&lt;K25/C23,K25-SUM(E32:M32),K25/C23),0)</f>
        <v>0</v>
      </c>
      <c r="O32" s="21">
        <f>IF(SUM(E32:N32)&lt;K25,IF((K25-SUM(E32:N32))&lt;K25/C23,K25-SUM(E32:N32),K25/C23),0)</f>
        <v>0</v>
      </c>
      <c r="P32" s="21">
        <f>IF(SUM(E32:O32)&lt;K25,IF((K25-SUM(E32:O32))&lt;K25/C23,K25-SUM(E32:O32),K25/C23),0)</f>
        <v>0</v>
      </c>
      <c r="Q32" s="21">
        <f>IF(SUM(E32:P32)&lt;K25,IF((K25-SUM(E32:P32))&lt;K25/C23,K25-SUM(E32:P32),K25/C23),0)</f>
        <v>0</v>
      </c>
      <c r="R32" s="21">
        <f>IF(SUM(E32:Q32)&lt;K25,IF((K25-SUM(E32:Q32))&lt;K25/C23,K25-SUM(E32:Q32),K25/C23),0)</f>
        <v>0</v>
      </c>
      <c r="S32" s="21">
        <f>IF(SUM(E32:R32)&lt;K25,IF((K25-SUM(E32:R32))&lt;K25/C23,K25-SUM(E32:R32),K25/C23),0)</f>
        <v>0</v>
      </c>
      <c r="T32" s="21">
        <f>IF(SUM(E32:S32)&lt;K25,IF((K25-SUM(E32:S32))&lt;K25/C23,K25-SUM(E32:S32),K25/C23),0)</f>
        <v>0</v>
      </c>
      <c r="U32" s="21">
        <f>IF(SUM(E32:T32)&lt;K25,IF((K25-SUM(E32:T32))&lt;K25/C23,K25-SUM(E32:T32),K25/C23),0)</f>
        <v>0</v>
      </c>
      <c r="V32" s="21">
        <f>IF(SUM(E32:U32)&lt;K25,IF((K25-SUM(E32:U32))&lt;K25/C23,K25-SUM(E32:U32),K25/C23),0)</f>
        <v>0</v>
      </c>
      <c r="W32" s="21">
        <f>IF(SUM(E32:V32)&lt;K25,IF((K25-SUM(E32:V32))&lt;K25/C23,K25-SUM(E32:V32),K25/C23),0)</f>
        <v>0</v>
      </c>
      <c r="X32" s="30">
        <f>IF(SUM(E32:W32)&lt;K25,IF((K25-SUM(E32:W32))&lt;K25/C23,K25-SUM(E32:W32),K25/C23),0)</f>
        <v>0</v>
      </c>
    </row>
    <row r="33" spans="1:24" ht="25.2" customHeight="1" x14ac:dyDescent="0.25">
      <c r="A33" s="302"/>
      <c r="B33" s="20" t="s">
        <v>274</v>
      </c>
      <c r="C33" s="18"/>
      <c r="D33" s="19">
        <f t="shared" si="3"/>
        <v>0</v>
      </c>
      <c r="E33" s="21"/>
      <c r="F33" s="21"/>
      <c r="G33" s="21"/>
      <c r="H33" s="21"/>
      <c r="I33" s="21"/>
      <c r="J33" s="21"/>
      <c r="K33" s="21"/>
      <c r="L33" s="21">
        <f>M33*(1-L24/12)</f>
        <v>0</v>
      </c>
      <c r="M33" s="21">
        <f>L25/C23</f>
        <v>0</v>
      </c>
      <c r="N33" s="21">
        <f>IF(SUM(E33:M33)&lt;L25,IF((L25-SUM(E33:M33))&lt;L25/C23,L25-SUM(E33:M33),L25/C23),0)</f>
        <v>0</v>
      </c>
      <c r="O33" s="21">
        <f>IF(SUM(E33:N33)&lt;L25,IF((L25-SUM(E33:N33))&lt;L25/C23,L25-SUM(E33:N33),L25/C23),0)</f>
        <v>0</v>
      </c>
      <c r="P33" s="21">
        <f>IF(SUM(E33:O33)&lt;L25,IF((L25-SUM(E33:O33))&lt;L25/C23,L25-SUM(E33:O33),L25/C23),0)</f>
        <v>0</v>
      </c>
      <c r="Q33" s="21">
        <f>IF(SUM(E33:P33)&lt;L25,IF((L25-SUM(E33:P33))&lt;L25/C23,L25-SUM(E33:P33),L25/C23),0)</f>
        <v>0</v>
      </c>
      <c r="R33" s="21">
        <f>IF(SUM(E33:Q33)&lt;L25,IF((L25-SUM(E33:Q33))&lt;L25/C23,L25-SUM(E33:Q33),L25/C23),0)</f>
        <v>0</v>
      </c>
      <c r="S33" s="21">
        <f>IF(SUM(E33:R33)&lt;L25,IF((L25-SUM(E33:R33))&lt;L25/C23,L25-SUM(E33:R33),L25/C23),0)</f>
        <v>0</v>
      </c>
      <c r="T33" s="21">
        <f>IF(SUM(E33:S33)&lt;L25,IF((L25-SUM(E33:S33))&lt;L25/C23,L25-SUM(E33:S33),L25/C23),0)</f>
        <v>0</v>
      </c>
      <c r="U33" s="21">
        <f>IF(SUM(E33:T33)&lt;L25,IF((L25-SUM(E33:T33))&lt;L25/C23,L25-SUM(E33:T33),L25/C23),0)</f>
        <v>0</v>
      </c>
      <c r="V33" s="21">
        <f>IF(SUM(E33:U33)&lt;L25,IF((L25-SUM(E33:U33))&lt;L25/C23,L25-SUM(E33:U33),L25/C23),0)</f>
        <v>0</v>
      </c>
      <c r="W33" s="21">
        <f>IF(SUM(E33:V33)&lt;L25,IF((L25-SUM(E33:V33))&lt;L25/C23,L25-SUM(E33:V33),L25/C23),0)</f>
        <v>0</v>
      </c>
      <c r="X33" s="30">
        <f>IF(SUM(E33:W33)&lt;L25,IF((L25-SUM(E33:W33))&lt;L25/C23,L25-SUM(E33:W33),L25/C23),0)</f>
        <v>0</v>
      </c>
    </row>
    <row r="34" spans="1:24" ht="25.2" customHeight="1" x14ac:dyDescent="0.25">
      <c r="A34" s="302"/>
      <c r="B34" s="20" t="s">
        <v>275</v>
      </c>
      <c r="C34" s="18"/>
      <c r="D34" s="19">
        <f t="shared" si="3"/>
        <v>0</v>
      </c>
      <c r="E34" s="21"/>
      <c r="F34" s="21"/>
      <c r="G34" s="21"/>
      <c r="H34" s="21"/>
      <c r="I34" s="21"/>
      <c r="J34" s="21"/>
      <c r="K34" s="21"/>
      <c r="L34" s="21"/>
      <c r="M34" s="21">
        <f>N34*(1-M24/12)</f>
        <v>0</v>
      </c>
      <c r="N34" s="21">
        <f>M25/C23</f>
        <v>0</v>
      </c>
      <c r="O34" s="21">
        <f>IF(SUM(E34:N34)&lt;M25,IF((M25-SUM(E34:N34))&lt;M25/C23,M25-SUM(E34:N34),M25/C23),0)</f>
        <v>0</v>
      </c>
      <c r="P34" s="21">
        <f>IF(SUM(E34:O34)&lt;M25,IF((M25-SUM(E34:O34))&lt;M25/C23,M25-SUM(E34:O34),M25/C23),0)</f>
        <v>0</v>
      </c>
      <c r="Q34" s="21">
        <f>IF(SUM(E34:P34)&lt;M25,IF((M25-SUM(E34:P34))&lt;M25/C23,M25-SUM(E34:P34),M25/C23),0)</f>
        <v>0</v>
      </c>
      <c r="R34" s="21">
        <f>IF(SUM(E34:Q34)&lt;M25,IF((M25-SUM(E34:Q34))&lt;M25/C23,M25-SUM(E34:Q34),M25/C23),0)</f>
        <v>0</v>
      </c>
      <c r="S34" s="21">
        <f>IF(SUM(E34:R34)&lt;M25,IF((M25-SUM(E34:R34))&lt;M25/C23,M25-SUM(E34:R34),M25/C23),0)</f>
        <v>0</v>
      </c>
      <c r="T34" s="21">
        <f>IF(SUM(E34:S34)&lt;M25,IF((M25-SUM(E34:S34))&lt;M25/C23,M25-SUM(E34:S34),M25/C23),0)</f>
        <v>0</v>
      </c>
      <c r="U34" s="21">
        <f>IF(SUM(E34:T34)&lt;M25,IF((M25-SUM(E34:T34))&lt;M25/C23,M25-SUM(E34:T34),M25/C23),0)</f>
        <v>0</v>
      </c>
      <c r="V34" s="21">
        <f>IF(SUM(E34:U34)&lt;M25,IF((M25-SUM(E34:U34))&lt;M25/C23,M25-SUM(E34:U34),M25/C23),0)</f>
        <v>0</v>
      </c>
      <c r="W34" s="21">
        <f>IF(SUM(E34:V34)&lt;M25,IF((M25-SUM(E34:V34))&lt;M25/C23,M25-SUM(E34:V34),M25/C23),0)</f>
        <v>0</v>
      </c>
      <c r="X34" s="30">
        <f>IF(SUM(E34:W34)&lt;M25,IF((M25-SUM(E34:W34))&lt;M25/C23,M25-SUM(E34:W34),M25/C23),0)</f>
        <v>0</v>
      </c>
    </row>
    <row r="35" spans="1:24" ht="25.2" customHeight="1" x14ac:dyDescent="0.25">
      <c r="A35" s="302"/>
      <c r="B35" s="20" t="s">
        <v>276</v>
      </c>
      <c r="C35" s="18"/>
      <c r="D35" s="19">
        <f t="shared" si="3"/>
        <v>0</v>
      </c>
      <c r="E35" s="21"/>
      <c r="F35" s="21"/>
      <c r="G35" s="21"/>
      <c r="H35" s="21"/>
      <c r="I35" s="21"/>
      <c r="J35" s="21"/>
      <c r="K35" s="21"/>
      <c r="L35" s="21"/>
      <c r="M35" s="21"/>
      <c r="N35" s="21">
        <f>O35*(1-N24/12)</f>
        <v>0</v>
      </c>
      <c r="O35" s="21">
        <f>N25/C23</f>
        <v>0</v>
      </c>
      <c r="P35" s="21">
        <f>IF(SUM(E35:O35)&lt;N25,IF((N25-SUM(E35:O35))&lt;N25/C23,N25-SUM(E35:O35),N25/C23),0)</f>
        <v>0</v>
      </c>
      <c r="Q35" s="21">
        <f>IF(SUM(E35:P35)&lt;N25,IF((N25-SUM(E35:P35))&lt;N25/C23,N25-SUM(E35:P35),N25/C23),0)</f>
        <v>0</v>
      </c>
      <c r="R35" s="21">
        <f>IF(SUM(E35:Q35)&lt;N25,IF((N25-SUM(E35:Q35))&lt;N25/C23,N25-SUM(E35:Q35),N25/C23),0)</f>
        <v>0</v>
      </c>
      <c r="S35" s="21">
        <f>IF(SUM(E35:R35)&lt;N25,IF((N25-SUM(E35:R35))&lt;N25/C23,N25-SUM(E35:R35),N25/C23),0)</f>
        <v>0</v>
      </c>
      <c r="T35" s="21">
        <f>IF(SUM(E35:S35)&lt;N25,IF((N25-SUM(E35:S35))&lt;N25/C23,N25-SUM(E35:S35),N25/C23),0)</f>
        <v>0</v>
      </c>
      <c r="U35" s="21">
        <f>IF(SUM(E35:T35)&lt;N25,IF((N25-SUM(E35:T35))&lt;N25/C23,N25-SUM(E35:T35),N25/C23),0)</f>
        <v>0</v>
      </c>
      <c r="V35" s="21">
        <f>IF(SUM(E35:U35)&lt;N25,IF((N25-SUM(E35:U35))&lt;N25/C23,N25-SUM(E35:U35),N25/C23),0)</f>
        <v>0</v>
      </c>
      <c r="W35" s="21">
        <f>IF(SUM(E35:V35)&lt;N25,IF((N25-SUM(E35:V35))&lt;N25/C23,N25-SUM(E35:V35),N25/C23),0)</f>
        <v>0</v>
      </c>
      <c r="X35" s="30">
        <f>IF(SUM(E35:W35)&lt;N25,IF((N25-SUM(E35:W35))&lt;N25/C23,N25-SUM(E35:W35),N25/C23),0)</f>
        <v>0</v>
      </c>
    </row>
    <row r="36" spans="1:24" ht="25.2" customHeight="1" x14ac:dyDescent="0.25">
      <c r="A36" s="302"/>
      <c r="B36" s="20" t="s">
        <v>277</v>
      </c>
      <c r="C36" s="18"/>
      <c r="D36" s="19">
        <f t="shared" si="3"/>
        <v>0</v>
      </c>
      <c r="E36" s="21"/>
      <c r="F36" s="21"/>
      <c r="G36" s="21"/>
      <c r="H36" s="21"/>
      <c r="I36" s="21"/>
      <c r="J36" s="21"/>
      <c r="K36" s="21"/>
      <c r="L36" s="21"/>
      <c r="M36" s="21"/>
      <c r="N36" s="21"/>
      <c r="O36" s="21">
        <f>P36*(1-O24/12)</f>
        <v>0</v>
      </c>
      <c r="P36" s="21">
        <f>O25/C23</f>
        <v>0</v>
      </c>
      <c r="Q36" s="21">
        <f>IF(SUM(E36:P36)&lt;O25,IF((O25-SUM(E36:P36))&lt;O25/C23,O25-SUM(E36:P36),O25/C23),0)</f>
        <v>0</v>
      </c>
      <c r="R36" s="21">
        <f>IF(SUM(E36:Q36)&lt;O25,IF((O25-SUM(E36:Q36))&lt;O25/C23,O25-SUM(E36:Q36),O25/C23),0)</f>
        <v>0</v>
      </c>
      <c r="S36" s="21">
        <f>IF(SUM(E36:R36)&lt;O25,IF((O25-SUM(E36:R36))&lt;O25/C23,O25-SUM(E36:R36),O25/C23),0)</f>
        <v>0</v>
      </c>
      <c r="T36" s="21">
        <f>IF(SUM(E36:S36)&lt;O25,IF((O25-SUM(E36:S36))&lt;O25/C23,O25-SUM(E36:S36),O25/C23),0)</f>
        <v>0</v>
      </c>
      <c r="U36" s="21">
        <f>IF(SUM(E36:T36)&lt;O25,IF((O25-SUM(E36:T36))&lt;O25/C23,O25-SUM(E36:T36),O25/C23),0)</f>
        <v>0</v>
      </c>
      <c r="V36" s="21">
        <f>IF(SUM(E36:U36)&lt;O25,IF((O25-SUM(E36:U36))&lt;O25/C23,O25-SUM(E36:U36),O25/C23),0)</f>
        <v>0</v>
      </c>
      <c r="W36" s="21">
        <f>IF(SUM(E36:V36)&lt;O25,IF((O25-SUM(E36:V36))&lt;O25/C23,O25-SUM(E36:V36),O25/C23),0)</f>
        <v>0</v>
      </c>
      <c r="X36" s="30">
        <f>IF(SUM(E36:W36)&lt;O25,IF((O25-SUM(E36:W36))&lt;O25/C23,O25-SUM(E36:W36),O25/C23),0)</f>
        <v>0</v>
      </c>
    </row>
    <row r="37" spans="1:24" ht="25.2" customHeight="1" x14ac:dyDescent="0.25">
      <c r="A37" s="302"/>
      <c r="B37" s="8"/>
      <c r="C37" s="8"/>
      <c r="D37" s="8"/>
      <c r="E37" s="8"/>
      <c r="F37" s="8"/>
      <c r="G37" s="8"/>
      <c r="H37" s="8"/>
      <c r="I37" s="8"/>
      <c r="J37" s="8"/>
      <c r="K37" s="8"/>
      <c r="L37" s="8"/>
      <c r="M37" s="8"/>
      <c r="N37" s="8"/>
      <c r="O37" s="8"/>
      <c r="P37" s="8"/>
      <c r="Q37" s="8"/>
      <c r="R37" s="8"/>
      <c r="S37" s="8"/>
      <c r="T37" s="8"/>
      <c r="U37" s="8"/>
      <c r="V37" s="8"/>
      <c r="W37" s="8"/>
      <c r="X37" s="27"/>
    </row>
    <row r="38" spans="1:24" ht="25.2" customHeight="1" x14ac:dyDescent="0.25">
      <c r="A38" s="302"/>
      <c r="B38" s="9" t="s">
        <v>280</v>
      </c>
      <c r="C38" s="22"/>
      <c r="D38" s="11">
        <f t="shared" ref="D38:D52" si="5">SUM(E38:X38)</f>
        <v>0</v>
      </c>
      <c r="E38" s="12">
        <f t="shared" ref="E38:X38" si="6">SUM(E42:E52)</f>
        <v>0</v>
      </c>
      <c r="F38" s="12">
        <f t="shared" si="6"/>
        <v>0</v>
      </c>
      <c r="G38" s="12">
        <f t="shared" si="6"/>
        <v>0</v>
      </c>
      <c r="H38" s="12">
        <f t="shared" si="6"/>
        <v>0</v>
      </c>
      <c r="I38" s="12">
        <f t="shared" si="6"/>
        <v>0</v>
      </c>
      <c r="J38" s="12">
        <f t="shared" si="6"/>
        <v>0</v>
      </c>
      <c r="K38" s="12">
        <f t="shared" si="6"/>
        <v>0</v>
      </c>
      <c r="L38" s="12">
        <f t="shared" si="6"/>
        <v>0</v>
      </c>
      <c r="M38" s="12">
        <f t="shared" si="6"/>
        <v>0</v>
      </c>
      <c r="N38" s="12">
        <f t="shared" si="6"/>
        <v>0</v>
      </c>
      <c r="O38" s="12">
        <f t="shared" si="6"/>
        <v>0</v>
      </c>
      <c r="P38" s="12">
        <f t="shared" si="6"/>
        <v>0</v>
      </c>
      <c r="Q38" s="12">
        <f t="shared" si="6"/>
        <v>0</v>
      </c>
      <c r="R38" s="12">
        <f t="shared" si="6"/>
        <v>0</v>
      </c>
      <c r="S38" s="12">
        <f t="shared" si="6"/>
        <v>0</v>
      </c>
      <c r="T38" s="12">
        <f t="shared" si="6"/>
        <v>0</v>
      </c>
      <c r="U38" s="12">
        <f t="shared" si="6"/>
        <v>0</v>
      </c>
      <c r="V38" s="12">
        <f t="shared" si="6"/>
        <v>0</v>
      </c>
      <c r="W38" s="12">
        <f t="shared" si="6"/>
        <v>0</v>
      </c>
      <c r="X38" s="28">
        <f t="shared" si="6"/>
        <v>0</v>
      </c>
    </row>
    <row r="39" spans="1:24" ht="25.2" customHeight="1" x14ac:dyDescent="0.25">
      <c r="A39" s="302"/>
      <c r="B39" s="13" t="s">
        <v>264</v>
      </c>
      <c r="C39" s="14">
        <v>10</v>
      </c>
      <c r="D39" s="288"/>
      <c r="E39" s="289"/>
      <c r="F39" s="289"/>
      <c r="G39" s="289"/>
      <c r="H39" s="289"/>
      <c r="I39" s="289"/>
      <c r="J39" s="289"/>
      <c r="K39" s="289"/>
      <c r="L39" s="289"/>
      <c r="M39" s="289"/>
      <c r="N39" s="289"/>
      <c r="O39" s="289"/>
      <c r="P39" s="289"/>
      <c r="Q39" s="289"/>
      <c r="R39" s="289"/>
      <c r="S39" s="289"/>
      <c r="T39" s="289"/>
      <c r="U39" s="289"/>
      <c r="V39" s="289"/>
      <c r="W39" s="289"/>
      <c r="X39" s="290"/>
    </row>
    <row r="40" spans="1:24" ht="25.2" customHeight="1" x14ac:dyDescent="0.25">
      <c r="A40" s="302"/>
      <c r="B40" s="13" t="s">
        <v>265</v>
      </c>
      <c r="C40" s="15"/>
      <c r="D40" s="15"/>
      <c r="E40" s="16">
        <v>11</v>
      </c>
      <c r="F40" s="16">
        <v>0</v>
      </c>
      <c r="G40" s="16">
        <v>0</v>
      </c>
      <c r="H40" s="16">
        <v>0</v>
      </c>
      <c r="I40" s="16">
        <v>0</v>
      </c>
      <c r="J40" s="16">
        <v>0</v>
      </c>
      <c r="K40" s="16">
        <v>0</v>
      </c>
      <c r="L40" s="16">
        <v>0</v>
      </c>
      <c r="M40" s="16">
        <v>0</v>
      </c>
      <c r="N40" s="16">
        <v>0</v>
      </c>
      <c r="O40" s="16">
        <v>0</v>
      </c>
      <c r="P40" s="24"/>
      <c r="Q40" s="24"/>
      <c r="R40" s="24"/>
      <c r="S40" s="24"/>
      <c r="T40" s="24"/>
      <c r="U40" s="24"/>
      <c r="V40" s="24"/>
      <c r="W40" s="24"/>
      <c r="X40" s="29"/>
    </row>
    <row r="41" spans="1:24" ht="25.2" customHeight="1" x14ac:dyDescent="0.25">
      <c r="A41" s="302"/>
      <c r="B41" s="17" t="s">
        <v>281</v>
      </c>
      <c r="C41" s="18"/>
      <c r="D41" s="19">
        <f>SUM(E41:O41)</f>
        <v>0</v>
      </c>
      <c r="E41" s="16"/>
      <c r="F41" s="16"/>
      <c r="G41" s="16"/>
      <c r="H41" s="16"/>
      <c r="I41" s="16"/>
      <c r="J41" s="16"/>
      <c r="K41" s="16"/>
      <c r="L41" s="16"/>
      <c r="M41" s="16"/>
      <c r="N41" s="16"/>
      <c r="O41" s="16"/>
      <c r="P41" s="24"/>
      <c r="Q41" s="24"/>
      <c r="R41" s="24"/>
      <c r="S41" s="24"/>
      <c r="T41" s="24"/>
      <c r="U41" s="24"/>
      <c r="V41" s="24"/>
      <c r="W41" s="24"/>
      <c r="X41" s="29"/>
    </row>
    <row r="42" spans="1:24" ht="25.2" customHeight="1" x14ac:dyDescent="0.25">
      <c r="A42" s="302"/>
      <c r="B42" s="20" t="s">
        <v>267</v>
      </c>
      <c r="C42" s="18"/>
      <c r="D42" s="19">
        <f t="shared" si="5"/>
        <v>0</v>
      </c>
      <c r="E42" s="21">
        <f>F42*(1-E40/12)</f>
        <v>0</v>
      </c>
      <c r="F42" s="21">
        <f>E41/C39</f>
        <v>0</v>
      </c>
      <c r="G42" s="21">
        <f>IF(SUM(E42:F42)&lt;E41,IF((E41-SUM(E42:F42))&lt;E41/C39,E41-SUM(E42:F42),E41/C39),0)</f>
        <v>0</v>
      </c>
      <c r="H42" s="21">
        <f>IF(SUM(E42:G42)&lt;E41,IF((E41-SUM(E42:G42))&lt;E41/C39,E41-SUM(E42:G42),E41/C39),0)</f>
        <v>0</v>
      </c>
      <c r="I42" s="21">
        <f>IF(SUM(E42:H42)&lt;E41,IF((E41-SUM(E42:H42))&lt;E41/C39,E41-SUM(E42:H42),E41/C39),0)</f>
        <v>0</v>
      </c>
      <c r="J42" s="21">
        <f>IF(SUM(E42:I42)&lt;E41,IF((E41-SUM(E42:I42))&lt;E41/C39,E41-SUM(E42:I42),E41/C39),0)</f>
        <v>0</v>
      </c>
      <c r="K42" s="21">
        <f>IF(SUM(E42:J42)&lt;E41,IF((E41-SUM(E42:J42))&lt;E41/C39,E41-SUM(E42:J42),E41/C39),0)</f>
        <v>0</v>
      </c>
      <c r="L42" s="21">
        <f>IF(SUM(E42:K42)&lt;E41,IF((E41-SUM(E42:K42))&lt;E41/C39,E41-SUM(E42:K42),E41/C39),0)</f>
        <v>0</v>
      </c>
      <c r="M42" s="21">
        <f>IF(SUM(E42:L42)&lt;E41,IF((E41-SUM(E42:L42))&lt;E41/C39,E41-SUM(E42:L42),E41/C39),0)</f>
        <v>0</v>
      </c>
      <c r="N42" s="21">
        <f>IF(SUM(E42:M42)&lt;E41,IF((E41-SUM(E42:M42))&lt;E41/C39,E41-SUM(E42:M42),E41/C39),0)</f>
        <v>0</v>
      </c>
      <c r="O42" s="21">
        <f>IF(SUM(E42:N42)&lt;E41,IF((E41-SUM(E42:N42))&lt;E41/C39,E41-SUM(E42:N42),E41/C39),0)</f>
        <v>0</v>
      </c>
      <c r="P42" s="21">
        <f>IF(SUM(E42:O42)&lt;E41,IF((E41-SUM(E42:O42))&lt;E41/C39,E41-SUM(E42:O42),E41/C39),0)</f>
        <v>0</v>
      </c>
      <c r="Q42" s="21">
        <f>IF(SUM(E42:P42)&lt;E41,IF((E41-SUM(E42:P42))&lt;E41/C39,E41-SUM(E42:P42),E41/C39),0)</f>
        <v>0</v>
      </c>
      <c r="R42" s="21">
        <f>IF(SUM(E42:Q42)&lt;E41,IF((E41-SUM(E42:Q42))&lt;E41/C39,E41-SUM(E42:Q42),E41/C39),0)</f>
        <v>0</v>
      </c>
      <c r="S42" s="21">
        <f>IF(SUM(E42:R42)&lt;E41,IF((E41-SUM(E42:R42))&lt;E41/C39,E41-SUM(E42:R42),E41/C39),0)</f>
        <v>0</v>
      </c>
      <c r="T42" s="21">
        <f>IF(SUM(E42:S42)&lt;E41,IF((E41-SUM(E42:S42))&lt;E41/C39,E41-SUM(E42:S42),E41/C39),0)</f>
        <v>0</v>
      </c>
      <c r="U42" s="21">
        <f>IF(SUM(E42:T42)&lt;E41,IF((E41-SUM(E42:T42))&lt;E41/C39,E41-SUM(E42:T42),E41/C39),0)</f>
        <v>0</v>
      </c>
      <c r="V42" s="21">
        <f>IF(SUM(E42:U42)&lt;E41,IF((E41-SUM(E42:U42))&lt;E41/C39,E41-SUM(E42:U42),E41/C39),0)</f>
        <v>0</v>
      </c>
      <c r="W42" s="21">
        <f>IF(SUM(E42:V42)&lt;E41,IF((E41-SUM(E42:V42))&lt;E41/C39,E41-SUM(E42:V42),E41/C39),0)</f>
        <v>0</v>
      </c>
      <c r="X42" s="30">
        <f>IF(SUM(E42:W42)&lt;E41,IF((E41-SUM(E42:W42))&lt;E41/C39,E41-SUM(E42:W42),E41/C39),0)</f>
        <v>0</v>
      </c>
    </row>
    <row r="43" spans="1:24" ht="25.2" customHeight="1" x14ac:dyDescent="0.25">
      <c r="A43" s="302"/>
      <c r="B43" s="20" t="s">
        <v>268</v>
      </c>
      <c r="C43" s="18"/>
      <c r="D43" s="19">
        <f t="shared" si="5"/>
        <v>0</v>
      </c>
      <c r="E43" s="21"/>
      <c r="F43" s="21">
        <f>G43*(1-F40/12)</f>
        <v>0</v>
      </c>
      <c r="G43" s="21">
        <f>F41/C39</f>
        <v>0</v>
      </c>
      <c r="H43" s="21">
        <f>IF(SUM(E43:G43)&lt;F41,IF((F41-SUM(E43:G43))&lt;F41/C39,F41-SUM(E43:G43),F41/C39),0)</f>
        <v>0</v>
      </c>
      <c r="I43" s="21">
        <f>IF(SUM(E43:H43)&lt;F41,IF((F41-SUM(E43:H43))&lt;F41/C39,F41-SUM(E43:H43),F41/C39),0)</f>
        <v>0</v>
      </c>
      <c r="J43" s="21">
        <f>IF(SUM(E43:I43)&lt;F41,IF((F41-SUM(E43:I43))&lt;F41/C39,F41-SUM(E43:I43),F41/C39),0)</f>
        <v>0</v>
      </c>
      <c r="K43" s="21">
        <f>IF(SUM(E43:J43)&lt;F41,IF((F41-SUM(E43:J43))&lt;F41/C39,F41-SUM(E43:J43),F41/C39),0)</f>
        <v>0</v>
      </c>
      <c r="L43" s="21">
        <f>IF(SUM(E43:K43)&lt;F41,IF((F41-SUM(E43:K43))&lt;F41/C39,F41-SUM(E43:K43),F41/C39),0)</f>
        <v>0</v>
      </c>
      <c r="M43" s="21">
        <f>IF(SUM(E43:L43)&lt;F41,IF((F41-SUM(E43:L43))&lt;F41/C39,F41-SUM(E43:L43),F41/C39),0)</f>
        <v>0</v>
      </c>
      <c r="N43" s="21">
        <f>IF(SUM(E43:M43)&lt;F41,IF((F41-SUM(E43:M43))&lt;F41/C39,F41-SUM(E43:M43),F41/C39),0)</f>
        <v>0</v>
      </c>
      <c r="O43" s="21">
        <f>IF(SUM(E43:N43)&lt;F41,IF((F41-SUM(E43:N43))&lt;F41/C39,F41-SUM(E43:N43),F41/C39),0)</f>
        <v>0</v>
      </c>
      <c r="P43" s="21">
        <f>IF(SUM(E43:O43)&lt;F41,IF((F41-SUM(E43:O43))&lt;F41/C39,F41-SUM(E43:O43),F41/C39),0)</f>
        <v>0</v>
      </c>
      <c r="Q43" s="21">
        <f>IF(SUM(E43:P43)&lt;F41,IF((F41-SUM(E43:P43))&lt;F41/C39,F41-SUM(E43:P43),F41/C39),0)</f>
        <v>0</v>
      </c>
      <c r="R43" s="21">
        <f>IF(SUM(E43:Q43)&lt;F41,IF((F41-SUM(E43:Q43))&lt;F41/C39,F41-SUM(E43:Q43),F41/C39),0)</f>
        <v>0</v>
      </c>
      <c r="S43" s="21">
        <f>IF(SUM(E43:R43)&lt;F41,IF((F41-SUM(E43:R43))&lt;F41/C39,F41-SUM(E43:R43),F41/C39),0)</f>
        <v>0</v>
      </c>
      <c r="T43" s="21">
        <f>IF(SUM(E43:S43)&lt;F41,IF((F41-SUM(E43:S43))&lt;F41/C39,F41-SUM(E43:S43),F41/C39),0)</f>
        <v>0</v>
      </c>
      <c r="U43" s="21">
        <f>IF(SUM(E43:T43)&lt;F41,IF((F41-SUM(E43:T43))&lt;F41/C39,F41-SUM(E43:T43),F41/C39),0)</f>
        <v>0</v>
      </c>
      <c r="V43" s="21">
        <f>IF(SUM(E43:U43)&lt;F41,IF((F41-SUM(E43:U43))&lt;F41/C39,F41-SUM(E43:U43),F41/C39),0)</f>
        <v>0</v>
      </c>
      <c r="W43" s="21">
        <f>IF(SUM(E43:V43)&lt;F41,IF((F41-SUM(E43:V43))&lt;F41/C39,F41-SUM(E43:V43),F41/C39),0)</f>
        <v>0</v>
      </c>
      <c r="X43" s="30">
        <f>IF(SUM(E43:W43)&lt;F41,IF((F41-SUM(E43:W43))&lt;F41/C39,F41-SUM(E43:W43),F41/C39),0)</f>
        <v>0</v>
      </c>
    </row>
    <row r="44" spans="1:24" ht="25.2" customHeight="1" x14ac:dyDescent="0.25">
      <c r="A44" s="302"/>
      <c r="B44" s="20" t="s">
        <v>269</v>
      </c>
      <c r="C44" s="18"/>
      <c r="D44" s="19">
        <f t="shared" si="5"/>
        <v>0</v>
      </c>
      <c r="E44" s="21"/>
      <c r="F44" s="21"/>
      <c r="G44" s="21">
        <f>H44*(1-G40/12)</f>
        <v>0</v>
      </c>
      <c r="H44" s="21">
        <f>G41/C39</f>
        <v>0</v>
      </c>
      <c r="I44" s="21">
        <f>IF(SUM(E44:H44)&lt;G41,IF((G41-SUM(E44:H44))&lt;G41/C39,G41-SUM(E44:H44),G41/C39),0)</f>
        <v>0</v>
      </c>
      <c r="J44" s="21">
        <f>IF(SUM(E44:I44)&lt;G41,IF((G41-SUM(E44:I44))&lt;G41/C39,G41-SUM(E44:I44),G41/C39),0)</f>
        <v>0</v>
      </c>
      <c r="K44" s="21">
        <f>IF(SUM(E44:J44)&lt;G41,IF((G41-SUM(E44:J44))&lt;G41/C39,G41-SUM(E44:J44),G41/C39),0)</f>
        <v>0</v>
      </c>
      <c r="L44" s="21">
        <f>IF(SUM(E44:K44)&lt;G41,IF((G41-SUM(E44:K44))&lt;G41/C39,G41-SUM(E44:K44),G41/C39),0)</f>
        <v>0</v>
      </c>
      <c r="M44" s="21">
        <f>IF(SUM(E44:L44)&lt;G41,IF((G41-SUM(E44:L44))&lt;G41/C39,G41-SUM(E44:L44),G41/C39),0)</f>
        <v>0</v>
      </c>
      <c r="N44" s="21">
        <f>IF(SUM(E44:M44)&lt;G41,IF((G41-SUM(E44:M44))&lt;G41/C39,G41-SUM(E44:M44),G41/C39),0)</f>
        <v>0</v>
      </c>
      <c r="O44" s="21">
        <f>IF(SUM(E44:N44)&lt;G41,IF((G41-SUM(E44:N44))&lt;G41/C39,G41-SUM(E44:N44),G41/C39),0)</f>
        <v>0</v>
      </c>
      <c r="P44" s="21">
        <f>IF(SUM(E44:O44)&lt;G41,IF((G41-SUM(E44:O44))&lt;G41/C39,G41-SUM(E44:O44),G41/C39),0)</f>
        <v>0</v>
      </c>
      <c r="Q44" s="21">
        <f>IF(SUM(E44:P44)&lt;G41,IF((G41-SUM(E44:P44))&lt;G41/C39,G41-SUM(E44:P44),G41/C39),0)</f>
        <v>0</v>
      </c>
      <c r="R44" s="21">
        <f>IF(SUM(E44:Q44)&lt;G41,IF((G41-SUM(E44:Q44))&lt;G41/C39,G41-SUM(E44:Q44),G41/C39),0)</f>
        <v>0</v>
      </c>
      <c r="S44" s="21">
        <f>IF(SUM(E44:R44)&lt;G41,IF((G41-SUM(E44:R44))&lt;G41/C39,G41-SUM(E44:R44),G41/C39),0)</f>
        <v>0</v>
      </c>
      <c r="T44" s="21">
        <f>IF(SUM(E44:S44)&lt;G41,IF((G41-SUM(E44:S44))&lt;G41/C39,G41-SUM(E44:S44),G41/C39),0)</f>
        <v>0</v>
      </c>
      <c r="U44" s="21">
        <f>IF(SUM(E44:T44)&lt;G41,IF((G41-SUM(E44:T44))&lt;G41/C39,G41-SUM(E44:T44),G41/C39),0)</f>
        <v>0</v>
      </c>
      <c r="V44" s="21">
        <f>IF(SUM(E44:U44)&lt;G41,IF((G41-SUM(E44:U44))&lt;G41/C39,G41-SUM(E44:U44),G41/C39),0)</f>
        <v>0</v>
      </c>
      <c r="W44" s="21">
        <f>IF(SUM(E44:V44)&lt;G41,IF((G41-SUM(E44:V44))&lt;G41/C39,G41-SUM(E44:V44),G41/C39),0)</f>
        <v>0</v>
      </c>
      <c r="X44" s="30">
        <f>IF(SUM(E44:W44)&lt;G41,IF((G41-SUM(E44:W44))&lt;G41/C39,G41-SUM(E44:W44),G41/C39),0)</f>
        <v>0</v>
      </c>
    </row>
    <row r="45" spans="1:24" ht="25.2" customHeight="1" x14ac:dyDescent="0.25">
      <c r="A45" s="302"/>
      <c r="B45" s="20" t="s">
        <v>270</v>
      </c>
      <c r="C45" s="18"/>
      <c r="D45" s="19">
        <f t="shared" si="5"/>
        <v>0</v>
      </c>
      <c r="E45" s="21"/>
      <c r="F45" s="21"/>
      <c r="G45" s="21"/>
      <c r="H45" s="21">
        <f>I45*(1-H40/12)</f>
        <v>0</v>
      </c>
      <c r="I45" s="21">
        <f>H41/C39</f>
        <v>0</v>
      </c>
      <c r="J45" s="21">
        <f>IF(SUM(E45:I45)&lt;H41,IF((H41-SUM(E45:I45))&lt;H41/C39,H41-SUM(E45:I45),H41/C39),0)</f>
        <v>0</v>
      </c>
      <c r="K45" s="21">
        <f>IF(SUM(E45:J45)&lt;H41,IF((H41-SUM(E45:J45))&lt;H41/C39,H41-SUM(E45:J45),H41/C39),0)</f>
        <v>0</v>
      </c>
      <c r="L45" s="21">
        <f>IF(SUM(E45:K45)&lt;H41,IF((H41-SUM(E45:K45))&lt;H41/C39,H41-SUM(E45:K45),H41/C39),0)</f>
        <v>0</v>
      </c>
      <c r="M45" s="21">
        <f>IF(SUM(E45:L45)&lt;H41,IF((H41-SUM(E45:L45))&lt;H41/C39,H41-SUM(E45:L45),H41/C39),0)</f>
        <v>0</v>
      </c>
      <c r="N45" s="21">
        <f>IF(SUM(E45:M45)&lt;H41,IF((H41-SUM(E45:M45))&lt;H41/C39,H41-SUM(E45:M45),H41/C39),0)</f>
        <v>0</v>
      </c>
      <c r="O45" s="21">
        <f>IF(SUM(E45:N45)&lt;H41,IF((H41-SUM(E45:N45))&lt;H41/C39,H41-SUM(E45:N45),H41/C39),0)</f>
        <v>0</v>
      </c>
      <c r="P45" s="21">
        <f>IF(SUM(E45:O45)&lt;H41,IF((H41-SUM(E45:O45))&lt;H41/C39,H41-SUM(E45:O45),H41/C39),0)</f>
        <v>0</v>
      </c>
      <c r="Q45" s="21">
        <f>IF(SUM(E45:P45)&lt;H41,IF((H41-SUM(E45:P45))&lt;H41/C39,H41-SUM(E45:P45),H41/C39),0)</f>
        <v>0</v>
      </c>
      <c r="R45" s="21">
        <f>IF(SUM(E45:Q45)&lt;H41,IF((H41-SUM(E45:Q45))&lt;H41/C39,H41-SUM(E45:Q45),H41/C39),0)</f>
        <v>0</v>
      </c>
      <c r="S45" s="21">
        <f>IF(SUM(E45:R45)&lt;H41,IF((H41-SUM(E45:R45))&lt;H41/C39,H41-SUM(E45:R45),H41/C39),0)</f>
        <v>0</v>
      </c>
      <c r="T45" s="21">
        <f>IF(SUM(E45:S45)&lt;H41,IF((H41-SUM(E45:S45))&lt;H41/C39,H41-SUM(E45:S45),H41/C39),0)</f>
        <v>0</v>
      </c>
      <c r="U45" s="21">
        <f>IF(SUM(E45:T45)&lt;H41,IF((H41-SUM(E45:T45))&lt;H41/C39,H41-SUM(E45:T45),H41/C39),0)</f>
        <v>0</v>
      </c>
      <c r="V45" s="21">
        <f>IF(SUM(E45:U45)&lt;H41,IF((H41-SUM(E45:U45))&lt;H41/C39,H41-SUM(E45:U45),H41/C39),0)</f>
        <v>0</v>
      </c>
      <c r="W45" s="21">
        <f>IF(SUM(E45:V45)&lt;H41,IF((H41-SUM(E45:V45))&lt;H41/C39,H41-SUM(E45:V45),H41/C39),0)</f>
        <v>0</v>
      </c>
      <c r="X45" s="30">
        <f>IF(SUM(E45:W45)&lt;H41,IF((H41-SUM(E45:W45))&lt;H41/C39,H41-SUM(E45:W45),H41/C39),0)</f>
        <v>0</v>
      </c>
    </row>
    <row r="46" spans="1:24" ht="25.2" customHeight="1" x14ac:dyDescent="0.25">
      <c r="A46" s="302"/>
      <c r="B46" s="20" t="s">
        <v>271</v>
      </c>
      <c r="C46" s="18"/>
      <c r="D46" s="19">
        <f t="shared" si="5"/>
        <v>0</v>
      </c>
      <c r="E46" s="21"/>
      <c r="F46" s="21"/>
      <c r="G46" s="21"/>
      <c r="H46" s="21"/>
      <c r="I46" s="21">
        <f>J46*(1-I40/12)</f>
        <v>0</v>
      </c>
      <c r="J46" s="21">
        <f>I41/C39</f>
        <v>0</v>
      </c>
      <c r="K46" s="21">
        <f>IF(SUM(E46:J46)&lt;I41,IF((I41-SUM(E46:J46))&lt;I41/C39,I41-SUM(E46:J46),I41/C39),0)</f>
        <v>0</v>
      </c>
      <c r="L46" s="21">
        <f>IF(SUM(E46:K46)&lt;I41,IF((I41-SUM(E46:K46))&lt;I41/C39,I41-SUM(E46:K46),I41/C39),0)</f>
        <v>0</v>
      </c>
      <c r="M46" s="21">
        <f>IF(SUM(E46:L46)&lt;I41,IF((I41-SUM(E46:L46))&lt;I41/C39,I41-SUM(E46:L46),I41/C39),0)</f>
        <v>0</v>
      </c>
      <c r="N46" s="21">
        <f>IF(SUM(E46:M46)&lt;I41,IF((I41-SUM(E46:M46))&lt;I41/C39,I41-SUM(E46:M46),I41/C39),0)</f>
        <v>0</v>
      </c>
      <c r="O46" s="21">
        <f>IF(SUM(E46:N46)&lt;I41,IF((I41-SUM(E46:N46))&lt;I41/C39,I41-SUM(E46:N46),I41/C39),0)</f>
        <v>0</v>
      </c>
      <c r="P46" s="21">
        <f>IF(SUM(E46:O46)&lt;I41,IF((I41-SUM(E46:O46))&lt;I41/C39,I41-SUM(E46:O46),I41/C39),0)</f>
        <v>0</v>
      </c>
      <c r="Q46" s="21">
        <f>IF(SUM(E46:P46)&lt;I41,IF((I41-SUM(E46:P46))&lt;I41/C39,I41-SUM(E46:P46),I41/C39),0)</f>
        <v>0</v>
      </c>
      <c r="R46" s="21">
        <f>IF(SUM(E46:Q46)&lt;I41,IF((I41-SUM(E46:Q46))&lt;I41/C39,I41-SUM(E46:Q46),I41/C39),0)</f>
        <v>0</v>
      </c>
      <c r="S46" s="21">
        <f>IF(SUM(E46:R46)&lt;I41,IF((I41-SUM(E46:R46))&lt;I41/C39,I41-SUM(E46:R46),I41/C39),0)</f>
        <v>0</v>
      </c>
      <c r="T46" s="21">
        <f>IF(SUM(E46:S46)&lt;I41,IF((I41-SUM(E46:S46))&lt;I41/C39,I41-SUM(E46:S46),I41/C39),0)</f>
        <v>0</v>
      </c>
      <c r="U46" s="21">
        <f>IF(SUM(E46:T46)&lt;I41,IF((I41-SUM(E46:T46))&lt;I41/C39,I41-SUM(E46:T46),I41/C39),0)</f>
        <v>0</v>
      </c>
      <c r="V46" s="21">
        <f>IF(SUM(E46:U46)&lt;I41,IF((I41-SUM(E46:U46))&lt;I41/C39,I41-SUM(E46:U46),I41/C39),0)</f>
        <v>0</v>
      </c>
      <c r="W46" s="21">
        <f>IF(SUM(E46:V46)&lt;I41,IF((I41-SUM(E46:V46))&lt;I41/C39,I41-SUM(E46:V46),I41/C39),0)</f>
        <v>0</v>
      </c>
      <c r="X46" s="30">
        <f>IF(SUM(E46:W46)&lt;I41,IF((I41-SUM(E46:W46))&lt;I41/C39,I41-SUM(E46:W46),I41/C39),0)</f>
        <v>0</v>
      </c>
    </row>
    <row r="47" spans="1:24" ht="25.2" customHeight="1" x14ac:dyDescent="0.25">
      <c r="A47" s="302"/>
      <c r="B47" s="20" t="s">
        <v>272</v>
      </c>
      <c r="C47" s="18"/>
      <c r="D47" s="19">
        <f t="shared" si="5"/>
        <v>0</v>
      </c>
      <c r="E47" s="21"/>
      <c r="F47" s="21"/>
      <c r="G47" s="21"/>
      <c r="H47" s="21"/>
      <c r="I47" s="21"/>
      <c r="J47" s="21">
        <f>K47*(1-J40/12)</f>
        <v>0</v>
      </c>
      <c r="K47" s="21">
        <f>J41/C39</f>
        <v>0</v>
      </c>
      <c r="L47" s="21">
        <f>IF(SUM(E47:K47)&lt;J41,IF((J41-SUM(E47:K47))&lt;J41/C39,J41-SUM(E47:K47),J41/C39),0)</f>
        <v>0</v>
      </c>
      <c r="M47" s="21">
        <f>IF(SUM(E47:L47)&lt;J41,IF((J41-SUM(E47:L47))&lt;J41/C39,J41-SUM(E47:L47),J41/C39),0)</f>
        <v>0</v>
      </c>
      <c r="N47" s="21">
        <f>IF(SUM(E47:M47)&lt;J41,IF((J41-SUM(E47:M47))&lt;J41/C39,J41-SUM(E47:M47),J41/C39),0)</f>
        <v>0</v>
      </c>
      <c r="O47" s="21">
        <f>IF(SUM(E47:N47)&lt;J41,IF((J41-SUM(E47:N47))&lt;J41/C39,J41-SUM(E47:N47),J41/C39),0)</f>
        <v>0</v>
      </c>
      <c r="P47" s="21">
        <f>IF(SUM(E47:O47)&lt;J41,IF((J41-SUM(E47:O47))&lt;J41/C39,J41-SUM(E47:O47),J41/C39),0)</f>
        <v>0</v>
      </c>
      <c r="Q47" s="21">
        <f>IF(SUM(E47:P47)&lt;J41,IF((J41-SUM(E47:P47))&lt;J41/C39,J41-SUM(E47:P47),J41/C39),0)</f>
        <v>0</v>
      </c>
      <c r="R47" s="21">
        <f>IF(SUM(E47:Q47)&lt;J41,IF((J41-SUM(E47:Q47))&lt;J41/C39,J41-SUM(E47:Q47),J41/C39),0)</f>
        <v>0</v>
      </c>
      <c r="S47" s="21">
        <f>IF(SUM(E47:R47)&lt;J41,IF((J41-SUM(E47:R47))&lt;J41/C39,J41-SUM(E47:R47),J41/C39),0)</f>
        <v>0</v>
      </c>
      <c r="T47" s="21">
        <f>IF(SUM(E47:S47)&lt;J41,IF((J41-SUM(E47:S47))&lt;J41/C39,J41-SUM(E47:S47),J41/C39),0)</f>
        <v>0</v>
      </c>
      <c r="U47" s="21">
        <f>IF(SUM(E47:T47)&lt;J41,IF((J41-SUM(E47:T47))&lt;J41/C39,J41-SUM(E47:T47),J41/C39),0)</f>
        <v>0</v>
      </c>
      <c r="V47" s="21">
        <f>IF(SUM(E47:U47)&lt;J41,IF((J41-SUM(E47:U47))&lt;J41/C39,J41-SUM(E47:U47),J41/C39),0)</f>
        <v>0</v>
      </c>
      <c r="W47" s="21">
        <f>IF(SUM(E47:V47)&lt;J41,IF((J41-SUM(E47:V47))&lt;J41/C39,J41-SUM(E47:V47),J41/C39),0)</f>
        <v>0</v>
      </c>
      <c r="X47" s="30">
        <f>IF(SUM(E47:W47)&lt;J41,IF((J41-SUM(E47:W47))&lt;J41/C39,J41-SUM(E47:W47),J41/C39),0)</f>
        <v>0</v>
      </c>
    </row>
    <row r="48" spans="1:24" ht="25.2" customHeight="1" x14ac:dyDescent="0.25">
      <c r="A48" s="302"/>
      <c r="B48" s="20" t="s">
        <v>273</v>
      </c>
      <c r="C48" s="18"/>
      <c r="D48" s="19">
        <f t="shared" si="5"/>
        <v>0</v>
      </c>
      <c r="E48" s="21"/>
      <c r="F48" s="21"/>
      <c r="G48" s="21"/>
      <c r="H48" s="21"/>
      <c r="I48" s="21"/>
      <c r="J48" s="21"/>
      <c r="K48" s="21">
        <f>L48*(1-K40/12)</f>
        <v>0</v>
      </c>
      <c r="L48" s="21">
        <f>K41/C39</f>
        <v>0</v>
      </c>
      <c r="M48" s="21">
        <f>IF(SUM(E48:L48)&lt;K41,IF((K41-SUM(E48:L48))&lt;K41/C39,K41-SUM(E48:L48),K41/C39),0)</f>
        <v>0</v>
      </c>
      <c r="N48" s="21">
        <f>IF(SUM(E48:M48)&lt;K41,IF((K41-SUM(E48:M48))&lt;K41/C39,K41-SUM(E48:M48),K41/C39),0)</f>
        <v>0</v>
      </c>
      <c r="O48" s="21">
        <f>IF(SUM(E48:N48)&lt;K41,IF((K41-SUM(E48:N48))&lt;K41/C39,K41-SUM(E48:N48),K41/C39),0)</f>
        <v>0</v>
      </c>
      <c r="P48" s="21">
        <f>IF(SUM(E48:O48)&lt;K41,IF((K41-SUM(E48:O48))&lt;K41/C39,K41-SUM(E48:O48),K41/C39),0)</f>
        <v>0</v>
      </c>
      <c r="Q48" s="21">
        <f>IF(SUM(E48:P48)&lt;K41,IF((K41-SUM(E48:P48))&lt;K41/C39,K41-SUM(E48:P48),K41/C39),0)</f>
        <v>0</v>
      </c>
      <c r="R48" s="21">
        <f>IF(SUM(E48:Q48)&lt;K41,IF((K41-SUM(E48:Q48))&lt;K41/C39,K41-SUM(E48:Q48),K41/C39),0)</f>
        <v>0</v>
      </c>
      <c r="S48" s="21">
        <f>IF(SUM(E48:R48)&lt;K41,IF((K41-SUM(E48:R48))&lt;K41/C39,K41-SUM(E48:R48),K41/C39),0)</f>
        <v>0</v>
      </c>
      <c r="T48" s="21">
        <f>IF(SUM(E48:S48)&lt;K41,IF((K41-SUM(E48:S48))&lt;K41/C39,K41-SUM(E48:S48),K41/C39),0)</f>
        <v>0</v>
      </c>
      <c r="U48" s="21">
        <f>IF(SUM(E48:T48)&lt;K41,IF((K41-SUM(E48:T48))&lt;K41/C39,K41-SUM(E48:T48),K41/C39),0)</f>
        <v>0</v>
      </c>
      <c r="V48" s="21">
        <f>IF(SUM(E48:U48)&lt;K41,IF((K41-SUM(E48:U48))&lt;K41/C39,K41-SUM(E48:U48),K41/C39),0)</f>
        <v>0</v>
      </c>
      <c r="W48" s="21">
        <f>IF(SUM(E48:V48)&lt;K41,IF((K41-SUM(E48:V48))&lt;K41/C39,K41-SUM(E48:V48),K41/C39),0)</f>
        <v>0</v>
      </c>
      <c r="X48" s="30">
        <f>IF(SUM(E48:W48)&lt;K41,IF((K41-SUM(E48:W48))&lt;K41/C39,K41-SUM(E48:W48),K41/C39),0)</f>
        <v>0</v>
      </c>
    </row>
    <row r="49" spans="1:24" ht="25.2" customHeight="1" x14ac:dyDescent="0.25">
      <c r="A49" s="302"/>
      <c r="B49" s="20" t="s">
        <v>274</v>
      </c>
      <c r="C49" s="18"/>
      <c r="D49" s="19">
        <f t="shared" si="5"/>
        <v>0</v>
      </c>
      <c r="E49" s="21"/>
      <c r="F49" s="21"/>
      <c r="G49" s="21"/>
      <c r="H49" s="21"/>
      <c r="I49" s="21"/>
      <c r="J49" s="21"/>
      <c r="K49" s="21"/>
      <c r="L49" s="21">
        <f>M49*(1-L40/12)</f>
        <v>0</v>
      </c>
      <c r="M49" s="21">
        <f>L41/C39</f>
        <v>0</v>
      </c>
      <c r="N49" s="21">
        <f>IF(SUM(E49:M49)&lt;L41,IF((L41-SUM(E49:M49))&lt;L41/C39,L41-SUM(E49:M49),L41/C39),0)</f>
        <v>0</v>
      </c>
      <c r="O49" s="21">
        <f>IF(SUM(E49:N49)&lt;L41,IF((L41-SUM(E49:N49))&lt;L41/C39,L41-SUM(E49:N49),L41/C39),0)</f>
        <v>0</v>
      </c>
      <c r="P49" s="21">
        <f>IF(SUM(E49:O49)&lt;L41,IF((L41-SUM(E49:O49))&lt;L41/C39,L41-SUM(E49:O49),L41/C39),0)</f>
        <v>0</v>
      </c>
      <c r="Q49" s="21">
        <f>IF(SUM(E49:P49)&lt;L41,IF((L41-SUM(E49:P49))&lt;L41/C39,L41-SUM(E49:P49),L41/C39),0)</f>
        <v>0</v>
      </c>
      <c r="R49" s="21">
        <f>IF(SUM(E49:Q49)&lt;L41,IF((L41-SUM(E49:Q49))&lt;L41/C39,L41-SUM(E49:Q49),L41/C39),0)</f>
        <v>0</v>
      </c>
      <c r="S49" s="21">
        <f>IF(SUM(E49:R49)&lt;L41,IF((L41-SUM(E49:R49))&lt;L41/C39,L41-SUM(E49:R49),L41/C39),0)</f>
        <v>0</v>
      </c>
      <c r="T49" s="21">
        <f>IF(SUM(E49:S49)&lt;L41,IF((L41-SUM(E49:S49))&lt;L41/C39,L41-SUM(E49:S49),L41/C39),0)</f>
        <v>0</v>
      </c>
      <c r="U49" s="21">
        <f>IF(SUM(E49:T49)&lt;L41,IF((L41-SUM(E49:T49))&lt;L41/C39,L41-SUM(E49:T49),L41/C39),0)</f>
        <v>0</v>
      </c>
      <c r="V49" s="21">
        <f>IF(SUM(E49:U49)&lt;L41,IF((L41-SUM(E49:U49))&lt;L41/C39,L41-SUM(E49:U49),L41/C39),0)</f>
        <v>0</v>
      </c>
      <c r="W49" s="21">
        <f>IF(SUM(E49:V49)&lt;L41,IF((L41-SUM(E49:V49))&lt;L41/C39,L41-SUM(E49:V49),L41/C39),0)</f>
        <v>0</v>
      </c>
      <c r="X49" s="30">
        <f>IF(SUM(E49:W49)&lt;L41,IF((L41-SUM(E49:W49))&lt;L41/C39,L41-SUM(E49:W49),L41/C39),0)</f>
        <v>0</v>
      </c>
    </row>
    <row r="50" spans="1:24" ht="25.2" customHeight="1" x14ac:dyDescent="0.25">
      <c r="A50" s="302"/>
      <c r="B50" s="20" t="s">
        <v>275</v>
      </c>
      <c r="C50" s="18"/>
      <c r="D50" s="19">
        <f t="shared" si="5"/>
        <v>0</v>
      </c>
      <c r="E50" s="21"/>
      <c r="F50" s="21"/>
      <c r="G50" s="21"/>
      <c r="H50" s="21"/>
      <c r="I50" s="21"/>
      <c r="J50" s="21"/>
      <c r="K50" s="21"/>
      <c r="L50" s="21"/>
      <c r="M50" s="21">
        <f>N50*(1-M40/12)</f>
        <v>0</v>
      </c>
      <c r="N50" s="21">
        <f>M41/C39</f>
        <v>0</v>
      </c>
      <c r="O50" s="21">
        <f>IF(SUM(E50:N50)&lt;M41,IF((M41-SUM(E50:N50))&lt;M41/C39,M41-SUM(E50:N50),M41/C39),0)</f>
        <v>0</v>
      </c>
      <c r="P50" s="21">
        <f>IF(SUM(E50:O50)&lt;M41,IF((M41-SUM(E50:O50))&lt;M41/C39,M41-SUM(E50:O50),M41/C39),0)</f>
        <v>0</v>
      </c>
      <c r="Q50" s="21">
        <f>IF(SUM(E50:P50)&lt;M41,IF((M41-SUM(E50:P50))&lt;M41/C39,M41-SUM(E50:P50),M41/C39),0)</f>
        <v>0</v>
      </c>
      <c r="R50" s="21">
        <f>IF(SUM(E50:Q50)&lt;M41,IF((M41-SUM(E50:Q50))&lt;M41/C39,M41-SUM(E50:Q50),M41/C39),0)</f>
        <v>0</v>
      </c>
      <c r="S50" s="21">
        <f>IF(SUM(E50:R50)&lt;M41,IF((M41-SUM(E50:R50))&lt;M41/C39,M41-SUM(E50:R50),M41/C39),0)</f>
        <v>0</v>
      </c>
      <c r="T50" s="21">
        <f>IF(SUM(E50:S50)&lt;M41,IF((M41-SUM(E50:S50))&lt;M41/C39,M41-SUM(E50:S50),M41/C39),0)</f>
        <v>0</v>
      </c>
      <c r="U50" s="21">
        <f>IF(SUM(E50:T50)&lt;M41,IF((M41-SUM(E50:T50))&lt;M41/C39,M41-SUM(E50:T50),M41/C39),0)</f>
        <v>0</v>
      </c>
      <c r="V50" s="21">
        <f>IF(SUM(E50:U50)&lt;M41,IF((M41-SUM(E50:U50))&lt;M41/C39,M41-SUM(E50:U50),M41/C39),0)</f>
        <v>0</v>
      </c>
      <c r="W50" s="21">
        <f>IF(SUM(E50:V50)&lt;M41,IF((M41-SUM(E50:V50))&lt;M41/C39,M41-SUM(E50:V50),M41/C39),0)</f>
        <v>0</v>
      </c>
      <c r="X50" s="30">
        <f>IF(SUM(E50:W50)&lt;M41,IF((M41-SUM(E50:W50))&lt;M41/C39,M41-SUM(E50:W50),M41/C39),0)</f>
        <v>0</v>
      </c>
    </row>
    <row r="51" spans="1:24" ht="25.2" customHeight="1" x14ac:dyDescent="0.25">
      <c r="A51" s="302"/>
      <c r="B51" s="20" t="s">
        <v>276</v>
      </c>
      <c r="C51" s="18"/>
      <c r="D51" s="19">
        <f t="shared" si="5"/>
        <v>0</v>
      </c>
      <c r="E51" s="21"/>
      <c r="F51" s="21"/>
      <c r="G51" s="21"/>
      <c r="H51" s="21"/>
      <c r="I51" s="21"/>
      <c r="J51" s="21"/>
      <c r="K51" s="21"/>
      <c r="L51" s="21"/>
      <c r="M51" s="21"/>
      <c r="N51" s="21">
        <f>O51*(1-N40/12)</f>
        <v>0</v>
      </c>
      <c r="O51" s="21">
        <f>N41/C39</f>
        <v>0</v>
      </c>
      <c r="P51" s="21">
        <f>IF(SUM(E51:O51)&lt;N41,IF((N41-SUM(E51:O51))&lt;N41/C39,N41-SUM(E51:O51),N41/C39),0)</f>
        <v>0</v>
      </c>
      <c r="Q51" s="21">
        <f>IF(SUM(E51:P51)&lt;N41,IF((N41-SUM(E51:P51))&lt;N41/C39,N41-SUM(E51:P51),N41/C39),0)</f>
        <v>0</v>
      </c>
      <c r="R51" s="21">
        <f>IF(SUM(E51:Q51)&lt;N41,IF((N41-SUM(E51:Q51))&lt;N41/C39,N41-SUM(E51:Q51),N41/C39),0)</f>
        <v>0</v>
      </c>
      <c r="S51" s="21">
        <f>IF(SUM(E51:R51)&lt;N41,IF((N41-SUM(E51:R51))&lt;N41/C39,N41-SUM(E51:R51),N41/C39),0)</f>
        <v>0</v>
      </c>
      <c r="T51" s="21">
        <f>IF(SUM(E51:S51)&lt;N41,IF((N41-SUM(E51:S51))&lt;N41/C39,N41-SUM(E51:S51),N41/C39),0)</f>
        <v>0</v>
      </c>
      <c r="U51" s="21">
        <f>IF(SUM(E51:T51)&lt;N41,IF((N41-SUM(E51:T51))&lt;N41/C39,N41-SUM(E51:T51),N41/C39),0)</f>
        <v>0</v>
      </c>
      <c r="V51" s="21">
        <f>IF(SUM(E51:U51)&lt;N41,IF((N41-SUM(E51:U51))&lt;N41/C39,N41-SUM(E51:U51),N41/C39),0)</f>
        <v>0</v>
      </c>
      <c r="W51" s="21">
        <f>IF(SUM(E51:V51)&lt;N41,IF((N41-SUM(E51:V51))&lt;N41/C39,N41-SUM(E51:V51),N41/C39),0)</f>
        <v>0</v>
      </c>
      <c r="X51" s="30">
        <f>IF(SUM(E51:W51)&lt;N41,IF((N41-SUM(E51:W51))&lt;N41/C39,N41-SUM(E51:W51),N41/C39),0)</f>
        <v>0</v>
      </c>
    </row>
    <row r="52" spans="1:24" ht="25.2" customHeight="1" x14ac:dyDescent="0.25">
      <c r="A52" s="302"/>
      <c r="B52" s="20" t="s">
        <v>277</v>
      </c>
      <c r="C52" s="18"/>
      <c r="D52" s="19">
        <f t="shared" si="5"/>
        <v>0</v>
      </c>
      <c r="E52" s="21"/>
      <c r="F52" s="21"/>
      <c r="G52" s="21"/>
      <c r="H52" s="21"/>
      <c r="I52" s="21"/>
      <c r="J52" s="21"/>
      <c r="K52" s="21"/>
      <c r="L52" s="21"/>
      <c r="M52" s="21"/>
      <c r="N52" s="21"/>
      <c r="O52" s="21">
        <f>P52*(1-O40/12)</f>
        <v>0</v>
      </c>
      <c r="P52" s="21">
        <f>O41/C39</f>
        <v>0</v>
      </c>
      <c r="Q52" s="21">
        <f>IF(SUM(E52:P52)&lt;O41,IF((O41-SUM(E52:P52))&lt;O41/C39,O41-SUM(E52:P52),O41/C39),0)</f>
        <v>0</v>
      </c>
      <c r="R52" s="21">
        <f>IF(SUM(E52:Q52)&lt;O41,IF((O41-SUM(E52:Q52))&lt;O41/C39,O41-SUM(E52:Q52),O41/C39),0)</f>
        <v>0</v>
      </c>
      <c r="S52" s="21">
        <f>IF(SUM(E52:R52)&lt;O41,IF((O41-SUM(E52:R52))&lt;O41/C39,O41-SUM(E52:R52),O41/C39),0)</f>
        <v>0</v>
      </c>
      <c r="T52" s="21">
        <f>IF(SUM(E52:S52)&lt;O41,IF((O41-SUM(E52:S52))&lt;O41/C39,O41-SUM(E52:S52),O41/C39),0)</f>
        <v>0</v>
      </c>
      <c r="U52" s="21">
        <f>IF(SUM(E52:T52)&lt;O41,IF((O41-SUM(E52:T52))&lt;O41/C39,O41-SUM(E52:T52),O41/C39),0)</f>
        <v>0</v>
      </c>
      <c r="V52" s="21">
        <f>IF(SUM(E52:U52)&lt;O41,IF((O41-SUM(E52:U52))&lt;O41/C39,O41-SUM(E52:U52),O41/C39),0)</f>
        <v>0</v>
      </c>
      <c r="W52" s="21">
        <f>IF(SUM(E52:V52)&lt;O41,IF((O41-SUM(E52:V52))&lt;O41/C39,O41-SUM(E52:V52),O41/C39),0)</f>
        <v>0</v>
      </c>
      <c r="X52" s="30">
        <f>IF(SUM(E52:W52)&lt;O41,IF((O41-SUM(E52:W52))&lt;O41/C39,O41-SUM(E52:W52),O41/C39),0)</f>
        <v>0</v>
      </c>
    </row>
    <row r="53" spans="1:24" ht="25.2" customHeight="1" x14ac:dyDescent="0.25">
      <c r="A53" s="302"/>
      <c r="B53" s="291"/>
      <c r="C53" s="292"/>
      <c r="D53" s="292"/>
      <c r="E53" s="292"/>
      <c r="F53" s="292"/>
      <c r="G53" s="292"/>
      <c r="H53" s="292"/>
      <c r="I53" s="292"/>
      <c r="J53" s="292"/>
      <c r="K53" s="292"/>
      <c r="L53" s="292"/>
      <c r="M53" s="292"/>
      <c r="N53" s="292"/>
      <c r="O53" s="292"/>
      <c r="P53" s="292"/>
      <c r="Q53" s="292"/>
      <c r="R53" s="292"/>
      <c r="S53" s="292"/>
      <c r="T53" s="292"/>
      <c r="U53" s="292"/>
      <c r="V53" s="292"/>
      <c r="W53" s="292"/>
      <c r="X53" s="293"/>
    </row>
    <row r="54" spans="1:24" ht="25.2" customHeight="1" x14ac:dyDescent="0.25">
      <c r="A54" s="302"/>
      <c r="B54" s="9" t="s">
        <v>282</v>
      </c>
      <c r="C54" s="10"/>
      <c r="D54" s="11">
        <f t="shared" ref="D54:D68" si="7">SUM(E54:X54)</f>
        <v>0</v>
      </c>
      <c r="E54" s="12">
        <f t="shared" ref="E54:X54" si="8">SUM(E58:E68)</f>
        <v>0</v>
      </c>
      <c r="F54" s="12">
        <f t="shared" si="8"/>
        <v>0</v>
      </c>
      <c r="G54" s="12">
        <f t="shared" si="8"/>
        <v>0</v>
      </c>
      <c r="H54" s="12">
        <f t="shared" si="8"/>
        <v>0</v>
      </c>
      <c r="I54" s="12">
        <f t="shared" si="8"/>
        <v>0</v>
      </c>
      <c r="J54" s="12">
        <f t="shared" si="8"/>
        <v>0</v>
      </c>
      <c r="K54" s="12">
        <f t="shared" si="8"/>
        <v>0</v>
      </c>
      <c r="L54" s="12">
        <f t="shared" si="8"/>
        <v>0</v>
      </c>
      <c r="M54" s="12">
        <f t="shared" si="8"/>
        <v>0</v>
      </c>
      <c r="N54" s="12">
        <f t="shared" si="8"/>
        <v>0</v>
      </c>
      <c r="O54" s="12">
        <f t="shared" si="8"/>
        <v>0</v>
      </c>
      <c r="P54" s="12">
        <f t="shared" si="8"/>
        <v>0</v>
      </c>
      <c r="Q54" s="12">
        <f t="shared" si="8"/>
        <v>0</v>
      </c>
      <c r="R54" s="12">
        <f t="shared" si="8"/>
        <v>0</v>
      </c>
      <c r="S54" s="12">
        <f t="shared" si="8"/>
        <v>0</v>
      </c>
      <c r="T54" s="12">
        <f t="shared" si="8"/>
        <v>0</v>
      </c>
      <c r="U54" s="12">
        <f t="shared" si="8"/>
        <v>0</v>
      </c>
      <c r="V54" s="12">
        <f t="shared" si="8"/>
        <v>0</v>
      </c>
      <c r="W54" s="12">
        <f t="shared" si="8"/>
        <v>0</v>
      </c>
      <c r="X54" s="28">
        <f t="shared" si="8"/>
        <v>0</v>
      </c>
    </row>
    <row r="55" spans="1:24" ht="25.2" customHeight="1" x14ac:dyDescent="0.25">
      <c r="A55" s="302"/>
      <c r="B55" s="13" t="s">
        <v>283</v>
      </c>
      <c r="C55" s="14">
        <v>5</v>
      </c>
      <c r="D55" s="288"/>
      <c r="E55" s="289"/>
      <c r="F55" s="289"/>
      <c r="G55" s="289"/>
      <c r="H55" s="289"/>
      <c r="I55" s="289"/>
      <c r="J55" s="289"/>
      <c r="K55" s="289"/>
      <c r="L55" s="289"/>
      <c r="M55" s="289"/>
      <c r="N55" s="289"/>
      <c r="O55" s="289"/>
      <c r="P55" s="289"/>
      <c r="Q55" s="289"/>
      <c r="R55" s="289"/>
      <c r="S55" s="289"/>
      <c r="T55" s="289"/>
      <c r="U55" s="289"/>
      <c r="V55" s="289"/>
      <c r="W55" s="289"/>
      <c r="X55" s="290"/>
    </row>
    <row r="56" spans="1:24" ht="25.2" customHeight="1" x14ac:dyDescent="0.25">
      <c r="A56" s="302"/>
      <c r="B56" s="13" t="s">
        <v>265</v>
      </c>
      <c r="C56" s="15"/>
      <c r="D56" s="15"/>
      <c r="E56" s="16">
        <v>0</v>
      </c>
      <c r="F56" s="16">
        <v>0</v>
      </c>
      <c r="G56" s="16">
        <v>0</v>
      </c>
      <c r="H56" s="16">
        <v>0</v>
      </c>
      <c r="I56" s="16">
        <v>0</v>
      </c>
      <c r="J56" s="16">
        <v>0</v>
      </c>
      <c r="K56" s="16">
        <v>0</v>
      </c>
      <c r="L56" s="16">
        <v>0</v>
      </c>
      <c r="M56" s="16">
        <v>0</v>
      </c>
      <c r="N56" s="16">
        <v>0</v>
      </c>
      <c r="O56" s="16">
        <v>0</v>
      </c>
      <c r="P56" s="24"/>
      <c r="Q56" s="24"/>
      <c r="R56" s="24"/>
      <c r="S56" s="24"/>
      <c r="T56" s="24"/>
      <c r="U56" s="24"/>
      <c r="V56" s="24"/>
      <c r="W56" s="24"/>
      <c r="X56" s="29"/>
    </row>
    <row r="57" spans="1:24" ht="25.2" customHeight="1" x14ac:dyDescent="0.25">
      <c r="A57" s="302"/>
      <c r="B57" s="17" t="s">
        <v>284</v>
      </c>
      <c r="C57" s="18"/>
      <c r="D57" s="19">
        <f>SUM(E57:O57)</f>
        <v>0</v>
      </c>
      <c r="E57" s="16"/>
      <c r="F57" s="16"/>
      <c r="G57" s="16"/>
      <c r="H57" s="16"/>
      <c r="I57" s="16"/>
      <c r="J57" s="16"/>
      <c r="K57" s="16"/>
      <c r="L57" s="16"/>
      <c r="M57" s="16"/>
      <c r="N57" s="16"/>
      <c r="O57" s="16"/>
      <c r="P57" s="24"/>
      <c r="Q57" s="24"/>
      <c r="R57" s="24"/>
      <c r="S57" s="24"/>
      <c r="T57" s="24"/>
      <c r="U57" s="24"/>
      <c r="V57" s="24"/>
      <c r="W57" s="24"/>
      <c r="X57" s="29"/>
    </row>
    <row r="58" spans="1:24" ht="25.2" customHeight="1" x14ac:dyDescent="0.25">
      <c r="A58" s="302"/>
      <c r="B58" s="20" t="s">
        <v>267</v>
      </c>
      <c r="C58" s="18"/>
      <c r="D58" s="19">
        <f t="shared" si="7"/>
        <v>0</v>
      </c>
      <c r="E58" s="21">
        <f>F58*(1-E56/12)</f>
        <v>0</v>
      </c>
      <c r="F58" s="21">
        <f>E57/C55</f>
        <v>0</v>
      </c>
      <c r="G58" s="21">
        <f>IF(SUM(E58:F58)&lt;E57,IF((E57-SUM(E58:F58))&lt;E57/C55,E57-SUM(E58:F58),E57/C55),0)</f>
        <v>0</v>
      </c>
      <c r="H58" s="21">
        <f>IF(SUM(E58:G58)&lt;E57,IF((E57-SUM(E58:G58))&lt;E57/C55,E57-SUM(E58:G58),E57/C55),0)</f>
        <v>0</v>
      </c>
      <c r="I58" s="21">
        <f>IF(SUM(E58:H58)&lt;E57,IF((E57-SUM(E58:H58))&lt;E57/C55,E57-SUM(E58:H58),E57/C55),0)</f>
        <v>0</v>
      </c>
      <c r="J58" s="21">
        <f>IF(SUM(E58:I58)&lt;E57,IF((E57-SUM(E58:I58))&lt;E57/C55,E57-SUM(E58:I58),E57/C55),0)</f>
        <v>0</v>
      </c>
      <c r="K58" s="21">
        <f>IF(SUM(E58:J58)&lt;E57,IF((E57-SUM(E58:J58))&lt;E57/C55,E57-SUM(E58:J58),E57/C55),0)</f>
        <v>0</v>
      </c>
      <c r="L58" s="21">
        <f>IF(SUM(E58:K58)&lt;E57,IF((E57-SUM(E58:K58))&lt;E57/C55,E57-SUM(E58:K58),E57/C55),0)</f>
        <v>0</v>
      </c>
      <c r="M58" s="21">
        <f>IF(SUM(E58:L58)&lt;E57,IF((E57-SUM(E58:L58))&lt;E57/C55,E57-SUM(E58:L58),E57/C55),0)</f>
        <v>0</v>
      </c>
      <c r="N58" s="21">
        <f>IF(SUM(E58:M58)&lt;E57,IF((E57-SUM(E58:M58))&lt;E57/C55,E57-SUM(E58:M58),E57/C55),0)</f>
        <v>0</v>
      </c>
      <c r="O58" s="21">
        <f>IF(SUM(E58:N58)&lt;E57,IF((E57-SUM(E58:N58))&lt;E57/C55,E57-SUM(E58:N58),E57/C55),0)</f>
        <v>0</v>
      </c>
      <c r="P58" s="21">
        <f>IF(SUM(E58:O58)&lt;E57,IF((E57-SUM(E58:O58))&lt;E57/C55,E57-SUM(E58:O58),E57/C55),0)</f>
        <v>0</v>
      </c>
      <c r="Q58" s="21">
        <f>IF(SUM(E58:P58)&lt;E57,IF((E57-SUM(E58:P58))&lt;E57/C55,E57-SUM(E58:P58),E57/C55),0)</f>
        <v>0</v>
      </c>
      <c r="R58" s="21">
        <f>IF(SUM(E58:Q58)&lt;E57,IF((E57-SUM(E58:Q58))&lt;E57/C55,E57-SUM(E58:Q58),E57/C55),0)</f>
        <v>0</v>
      </c>
      <c r="S58" s="21">
        <f>IF(SUM(E58:R58)&lt;E57,IF((E57-SUM(E58:R58))&lt;E57/C55,E57-SUM(E58:R58),E57/C55),0)</f>
        <v>0</v>
      </c>
      <c r="T58" s="21">
        <f>IF(SUM(E58:S58)&lt;E57,IF((E57-SUM(E58:S58))&lt;E57/C55,E57-SUM(E58:S58),E57/C55),0)</f>
        <v>0</v>
      </c>
      <c r="U58" s="21">
        <f>IF(SUM(E58:T58)&lt;E57,IF((E57-SUM(E58:T58))&lt;E57/C55,E57-SUM(E58:T58),E57/C55),0)</f>
        <v>0</v>
      </c>
      <c r="V58" s="21">
        <f>IF(SUM(E58:U58)&lt;E57,IF((E57-SUM(E58:U58))&lt;E57/C55,E57-SUM(E58:U58),E57/C55),0)</f>
        <v>0</v>
      </c>
      <c r="W58" s="21">
        <f>IF(SUM(E58:V58)&lt;E57,IF((E57-SUM(E58:V58))&lt;E57/C55,E57-SUM(E58:V58),E57/C55),0)</f>
        <v>0</v>
      </c>
      <c r="X58" s="30">
        <f>IF(SUM(E58:W58)&lt;E57,IF((E57-SUM(E58:W58))&lt;E57/C55,E57-SUM(E58:W58),E57/C55),0)</f>
        <v>0</v>
      </c>
    </row>
    <row r="59" spans="1:24" ht="25.2" customHeight="1" x14ac:dyDescent="0.25">
      <c r="A59" s="302"/>
      <c r="B59" s="20" t="s">
        <v>268</v>
      </c>
      <c r="C59" s="18"/>
      <c r="D59" s="19">
        <f t="shared" si="7"/>
        <v>0</v>
      </c>
      <c r="E59" s="21"/>
      <c r="F59" s="21">
        <f>G59*(1-F56/12)</f>
        <v>0</v>
      </c>
      <c r="G59" s="21">
        <f>F57/C55</f>
        <v>0</v>
      </c>
      <c r="H59" s="21">
        <f>IF(SUM(E59:G59)&lt;F57,IF((F57-SUM(E59:G59))&lt;F57/C55,F57-SUM(E59:G59),F57/C55),0)</f>
        <v>0</v>
      </c>
      <c r="I59" s="21">
        <f>IF(SUM(E59:H59)&lt;F57,IF((F57-SUM(E59:H59))&lt;F57/C55,F57-SUM(E59:H59),F57/C55),0)</f>
        <v>0</v>
      </c>
      <c r="J59" s="21">
        <f>IF(SUM(E59:I59)&lt;F57,IF((F57-SUM(E59:I59))&lt;F57/C55,F57-SUM(E59:I59),F57/C55),0)</f>
        <v>0</v>
      </c>
      <c r="K59" s="21">
        <f>IF(SUM(E59:J59)&lt;F57,IF((F57-SUM(E59:J59))&lt;F57/C55,F57-SUM(E59:J59),F57/C55),0)</f>
        <v>0</v>
      </c>
      <c r="L59" s="21">
        <f>IF(SUM(E59:K59)&lt;F57,IF((F57-SUM(E59:K59))&lt;F57/C55,F57-SUM(E59:K59),F57/C55),0)</f>
        <v>0</v>
      </c>
      <c r="M59" s="21">
        <f>IF(SUM(E59:L59)&lt;F57,IF((F57-SUM(E59:L59))&lt;F57/C55,F57-SUM(E59:L59),F57/C55),0)</f>
        <v>0</v>
      </c>
      <c r="N59" s="21">
        <f>IF(SUM(E59:M59)&lt;F57,IF((F57-SUM(E59:M59))&lt;F57/C55,F57-SUM(E59:M59),F57/C55),0)</f>
        <v>0</v>
      </c>
      <c r="O59" s="21">
        <f>IF(SUM(E59:N59)&lt;F57,IF((F57-SUM(E59:N59))&lt;F57/C55,F57-SUM(E59:N59),F57/C55),0)</f>
        <v>0</v>
      </c>
      <c r="P59" s="21">
        <f>IF(SUM(E59:O59)&lt;F57,IF((F57-SUM(E59:O59))&lt;F57/C55,F57-SUM(E59:O59),F57/C55),0)</f>
        <v>0</v>
      </c>
      <c r="Q59" s="21">
        <f>IF(SUM(E59:P59)&lt;F57,IF((F57-SUM(E59:P59))&lt;F57/C55,F57-SUM(E59:P59),F57/C55),0)</f>
        <v>0</v>
      </c>
      <c r="R59" s="21">
        <f>IF(SUM(E59:Q59)&lt;F57,IF((F57-SUM(E59:Q59))&lt;F57/C55,F57-SUM(E59:Q59),F57/C55),0)</f>
        <v>0</v>
      </c>
      <c r="S59" s="21">
        <f>IF(SUM(E59:R59)&lt;F57,IF((F57-SUM(E59:R59))&lt;F57/C55,F57-SUM(E59:R59),F57/C55),0)</f>
        <v>0</v>
      </c>
      <c r="T59" s="21">
        <f>IF(SUM(E59:S59)&lt;F57,IF((F57-SUM(E59:S59))&lt;F57/C55,F57-SUM(E59:S59),F57/C55),0)</f>
        <v>0</v>
      </c>
      <c r="U59" s="21">
        <f>IF(SUM(E59:T59)&lt;F57,IF((F57-SUM(E59:T59))&lt;F57/C55,F57-SUM(E59:T59),F57/C55),0)</f>
        <v>0</v>
      </c>
      <c r="V59" s="21">
        <f>IF(SUM(E59:U59)&lt;F57,IF((F57-SUM(E59:U59))&lt;F57/C55,F57-SUM(E59:U59),F57/C55),0)</f>
        <v>0</v>
      </c>
      <c r="W59" s="21">
        <f>IF(SUM(E59:V59)&lt;F57,IF((F57-SUM(E59:V59))&lt;F57/C55,F57-SUM(E59:V59),F57/C55),0)</f>
        <v>0</v>
      </c>
      <c r="X59" s="30">
        <f>IF(SUM(E59:W59)&lt;F57,IF((F57-SUM(E59:W59))&lt;F57/C55,F57-SUM(E59:W59),F57/C55),0)</f>
        <v>0</v>
      </c>
    </row>
    <row r="60" spans="1:24" ht="25.2" customHeight="1" x14ac:dyDescent="0.25">
      <c r="A60" s="302"/>
      <c r="B60" s="20" t="s">
        <v>269</v>
      </c>
      <c r="C60" s="18"/>
      <c r="D60" s="19">
        <f t="shared" si="7"/>
        <v>0</v>
      </c>
      <c r="E60" s="21"/>
      <c r="F60" s="21"/>
      <c r="G60" s="21">
        <f>H60*(1-G56/12)</f>
        <v>0</v>
      </c>
      <c r="H60" s="21">
        <f>G57/C55</f>
        <v>0</v>
      </c>
      <c r="I60" s="21">
        <f>IF(SUM(E60:H60)&lt;G57,IF((G57-SUM(E60:H60))&lt;G57/C55,G57-SUM(E60:H60),G57/C55),0)</f>
        <v>0</v>
      </c>
      <c r="J60" s="21">
        <f>IF(SUM(E60:I60)&lt;G57,IF((G57-SUM(E60:I60))&lt;G57/C55,G57-SUM(E60:I60),G57/C55),0)</f>
        <v>0</v>
      </c>
      <c r="K60" s="21">
        <f>IF(SUM(E60:J60)&lt;G57,IF((G57-SUM(E60:J60))&lt;G57/C55,G57-SUM(E60:J60),G57/C55),0)</f>
        <v>0</v>
      </c>
      <c r="L60" s="21">
        <f>IF(SUM(E60:K60)&lt;G57,IF((G57-SUM(E60:K60))&lt;G57/C55,G57-SUM(E60:K60),G57/C55),0)</f>
        <v>0</v>
      </c>
      <c r="M60" s="21">
        <f>IF(SUM(E60:L60)&lt;G57,IF((G57-SUM(E60:L60))&lt;G57/C55,G57-SUM(E60:L60),G57/C55),0)</f>
        <v>0</v>
      </c>
      <c r="N60" s="21">
        <f>IF(SUM(E60:M60)&lt;G57,IF((G57-SUM(E60:M60))&lt;G57/C55,G57-SUM(E60:M60),G57/C55),0)</f>
        <v>0</v>
      </c>
      <c r="O60" s="21">
        <f>IF(SUM(E60:N60)&lt;G57,IF((G57-SUM(E60:N60))&lt;G57/C55,G57-SUM(E60:N60),G57/C55),0)</f>
        <v>0</v>
      </c>
      <c r="P60" s="21">
        <f>IF(SUM(E60:O60)&lt;G57,IF((G57-SUM(E60:O60))&lt;G57/C55,G57-SUM(E60:O60),G57/C55),0)</f>
        <v>0</v>
      </c>
      <c r="Q60" s="21">
        <f>IF(SUM(E60:P60)&lt;G57,IF((G57-SUM(E60:P60))&lt;G57/C55,G57-SUM(E60:P60),G57/C55),0)</f>
        <v>0</v>
      </c>
      <c r="R60" s="21">
        <f>IF(SUM(E60:Q60)&lt;G57,IF((G57-SUM(E60:Q60))&lt;G57/C55,G57-SUM(E60:Q60),G57/C55),0)</f>
        <v>0</v>
      </c>
      <c r="S60" s="21">
        <f>IF(SUM(E60:R60)&lt;G57,IF((G57-SUM(E60:R60))&lt;G57/C55,G57-SUM(E60:R60),G57/C55),0)</f>
        <v>0</v>
      </c>
      <c r="T60" s="21">
        <f>IF(SUM(E60:S60)&lt;G57,IF((G57-SUM(E60:S60))&lt;G57/C55,G57-SUM(E60:S60),G57/C55),0)</f>
        <v>0</v>
      </c>
      <c r="U60" s="21">
        <f>IF(SUM(E60:T60)&lt;G57,IF((G57-SUM(E60:T60))&lt;G57/C55,G57-SUM(E60:T60),G57/C55),0)</f>
        <v>0</v>
      </c>
      <c r="V60" s="21">
        <f>IF(SUM(E60:U60)&lt;G57,IF((G57-SUM(E60:U60))&lt;G57/C55,G57-SUM(E60:U60),G57/C55),0)</f>
        <v>0</v>
      </c>
      <c r="W60" s="21">
        <f>IF(SUM(E60:V60)&lt;G57,IF((G57-SUM(E60:V60))&lt;G57/C55,G57-SUM(E60:V60),G57/C55),0)</f>
        <v>0</v>
      </c>
      <c r="X60" s="30">
        <f>IF(SUM(E60:W60)&lt;G57,IF((G57-SUM(E60:W60))&lt;G57/C55,G57-SUM(E60:W60),G57/C55),0)</f>
        <v>0</v>
      </c>
    </row>
    <row r="61" spans="1:24" ht="25.2" customHeight="1" x14ac:dyDescent="0.25">
      <c r="A61" s="302"/>
      <c r="B61" s="20" t="s">
        <v>270</v>
      </c>
      <c r="C61" s="18"/>
      <c r="D61" s="19">
        <f t="shared" si="7"/>
        <v>0</v>
      </c>
      <c r="E61" s="21"/>
      <c r="F61" s="21"/>
      <c r="G61" s="21"/>
      <c r="H61" s="21">
        <f>I61*(1-H56/12)</f>
        <v>0</v>
      </c>
      <c r="I61" s="21">
        <f>H57/C55</f>
        <v>0</v>
      </c>
      <c r="J61" s="21">
        <f>IF(SUM(E61:I61)&lt;H57,IF((H57-SUM(E61:I61))&lt;H57/C55,H57-SUM(E61:I61),H57/C55),0)</f>
        <v>0</v>
      </c>
      <c r="K61" s="21">
        <f>IF(SUM(E61:J61)&lt;H57,IF((H57-SUM(E61:J61))&lt;H57/C55,H57-SUM(E61:J61),H57/C55),0)</f>
        <v>0</v>
      </c>
      <c r="L61" s="21">
        <f>IF(SUM(E61:K61)&lt;H57,IF((H57-SUM(E61:K61))&lt;H57/C55,H57-SUM(E61:K61),H57/C55),0)</f>
        <v>0</v>
      </c>
      <c r="M61" s="21">
        <f>IF(SUM(E61:L61)&lt;H57,IF((H57-SUM(E61:L61))&lt;H57/C55,H57-SUM(E61:L61),H57/C55),0)</f>
        <v>0</v>
      </c>
      <c r="N61" s="21">
        <f>IF(SUM(E61:M61)&lt;H57,IF((H57-SUM(E61:M61))&lt;H57/C55,H57-SUM(E61:M61),H57/C55),0)</f>
        <v>0</v>
      </c>
      <c r="O61" s="21">
        <f>IF(SUM(E61:N61)&lt;H57,IF((H57-SUM(E61:N61))&lt;H57/C55,H57-SUM(E61:N61),H57/C55),0)</f>
        <v>0</v>
      </c>
      <c r="P61" s="21">
        <f>IF(SUM(E61:O61)&lt;H57,IF((H57-SUM(E61:O61))&lt;H57/C55,H57-SUM(E61:O61),H57/C55),0)</f>
        <v>0</v>
      </c>
      <c r="Q61" s="21">
        <f>IF(SUM(E61:P61)&lt;H57,IF((H57-SUM(E61:P61))&lt;H57/C55,H57-SUM(E61:P61),H57/C55),0)</f>
        <v>0</v>
      </c>
      <c r="R61" s="21">
        <f>IF(SUM(E61:Q61)&lt;H57,IF((H57-SUM(E61:Q61))&lt;H57/C55,H57-SUM(E61:Q61),H57/C55),0)</f>
        <v>0</v>
      </c>
      <c r="S61" s="21">
        <f>IF(SUM(E61:R61)&lt;H57,IF((H57-SUM(E61:R61))&lt;H57/C55,H57-SUM(E61:R61),H57/C55),0)</f>
        <v>0</v>
      </c>
      <c r="T61" s="21">
        <f>IF(SUM(E61:S61)&lt;H57,IF((H57-SUM(E61:S61))&lt;H57/C55,H57-SUM(E61:S61),H57/C55),0)</f>
        <v>0</v>
      </c>
      <c r="U61" s="21">
        <f>IF(SUM(E61:T61)&lt;H57,IF((H57-SUM(E61:T61))&lt;H57/C55,H57-SUM(E61:T61),H57/C55),0)</f>
        <v>0</v>
      </c>
      <c r="V61" s="21">
        <f>IF(SUM(E61:U61)&lt;H57,IF((H57-SUM(E61:U61))&lt;H57/C55,H57-SUM(E61:U61),H57/C55),0)</f>
        <v>0</v>
      </c>
      <c r="W61" s="21">
        <f>IF(SUM(E61:V61)&lt;H57,IF((H57-SUM(E61:V61))&lt;H57/C55,H57-SUM(E61:V61),H57/C55),0)</f>
        <v>0</v>
      </c>
      <c r="X61" s="30">
        <f>IF(SUM(E61:W61)&lt;H57,IF((H57-SUM(E61:W61))&lt;H57/C55,H57-SUM(E61:W61),H57/C55),0)</f>
        <v>0</v>
      </c>
    </row>
    <row r="62" spans="1:24" ht="25.2" customHeight="1" x14ac:dyDescent="0.25">
      <c r="A62" s="302"/>
      <c r="B62" s="20" t="s">
        <v>271</v>
      </c>
      <c r="C62" s="18"/>
      <c r="D62" s="19">
        <f t="shared" si="7"/>
        <v>0</v>
      </c>
      <c r="E62" s="21"/>
      <c r="F62" s="21"/>
      <c r="G62" s="21"/>
      <c r="H62" s="21"/>
      <c r="I62" s="21">
        <f>J62*(1-I56/12)</f>
        <v>0</v>
      </c>
      <c r="J62" s="21">
        <f>I57/C55</f>
        <v>0</v>
      </c>
      <c r="K62" s="21">
        <f>IF(SUM(E62:J62)&lt;I57,IF((I57-SUM(E62:J62))&lt;I57/C55,I57-SUM(E62:J62),I57/C55),0)</f>
        <v>0</v>
      </c>
      <c r="L62" s="21">
        <f>IF(SUM(E62:K62)&lt;I57,IF((I57-SUM(E62:K62))&lt;I57/C55,I57-SUM(E62:K62),I57/C55),0)</f>
        <v>0</v>
      </c>
      <c r="M62" s="21">
        <f>IF(SUM(E62:L62)&lt;I57,IF((I57-SUM(E62:L62))&lt;I57/C55,I57-SUM(E62:L62),I57/C55),0)</f>
        <v>0</v>
      </c>
      <c r="N62" s="21">
        <f>IF(SUM(E62:M62)&lt;I57,IF((I57-SUM(E62:M62))&lt;I57/C55,I57-SUM(E62:M62),I57/C55),0)</f>
        <v>0</v>
      </c>
      <c r="O62" s="21">
        <f>IF(SUM(E62:N62)&lt;I57,IF((I57-SUM(E62:N62))&lt;I57/C55,I57-SUM(E62:N62),I57/C55),0)</f>
        <v>0</v>
      </c>
      <c r="P62" s="21">
        <f>IF(SUM(E62:O62)&lt;I57,IF((I57-SUM(E62:O62))&lt;I57/C55,I57-SUM(E62:O62),I57/C55),0)</f>
        <v>0</v>
      </c>
      <c r="Q62" s="21">
        <f>IF(SUM(E62:P62)&lt;I57,IF((I57-SUM(E62:P62))&lt;I57/C55,I57-SUM(E62:P62),I57/C55),0)</f>
        <v>0</v>
      </c>
      <c r="R62" s="21">
        <f>IF(SUM(E62:Q62)&lt;I57,IF((I57-SUM(E62:Q62))&lt;I57/C55,I57-SUM(E62:Q62),I57/C55),0)</f>
        <v>0</v>
      </c>
      <c r="S62" s="21">
        <f>IF(SUM(E62:R62)&lt;I57,IF((I57-SUM(E62:R62))&lt;I57/C55,I57-SUM(E62:R62),I57/C55),0)</f>
        <v>0</v>
      </c>
      <c r="T62" s="21">
        <f>IF(SUM(E62:S62)&lt;I57,IF((I57-SUM(E62:S62))&lt;I57/C55,I57-SUM(E62:S62),I57/C55),0)</f>
        <v>0</v>
      </c>
      <c r="U62" s="21">
        <f>IF(SUM(E62:T62)&lt;I57,IF((I57-SUM(E62:T62))&lt;I57/C55,I57-SUM(E62:T62),I57/C55),0)</f>
        <v>0</v>
      </c>
      <c r="V62" s="21">
        <f>IF(SUM(E62:U62)&lt;I57,IF((I57-SUM(E62:U62))&lt;I57/C55,I57-SUM(E62:U62),I57/C55),0)</f>
        <v>0</v>
      </c>
      <c r="W62" s="21">
        <f>IF(SUM(E62:V62)&lt;I57,IF((I57-SUM(E62:V62))&lt;I57/C55,I57-SUM(E62:V62),I57/C55),0)</f>
        <v>0</v>
      </c>
      <c r="X62" s="30">
        <f>IF(SUM(E62:W62)&lt;I57,IF((I57-SUM(E62:W62))&lt;I57/C55,I57-SUM(E62:W62),I57/C55),0)</f>
        <v>0</v>
      </c>
    </row>
    <row r="63" spans="1:24" ht="25.2" customHeight="1" x14ac:dyDescent="0.25">
      <c r="A63" s="302"/>
      <c r="B63" s="20" t="s">
        <v>272</v>
      </c>
      <c r="C63" s="18"/>
      <c r="D63" s="19">
        <f t="shared" si="7"/>
        <v>0</v>
      </c>
      <c r="E63" s="21"/>
      <c r="F63" s="21"/>
      <c r="G63" s="21"/>
      <c r="H63" s="21"/>
      <c r="I63" s="21"/>
      <c r="J63" s="21">
        <f>K63*(1-J56/12)</f>
        <v>0</v>
      </c>
      <c r="K63" s="21">
        <f>J57/C55</f>
        <v>0</v>
      </c>
      <c r="L63" s="21">
        <f>IF(SUM(E63:K63)&lt;J57,IF((J57-SUM(E63:K63))&lt;J57/C55,J57-SUM(E63:K63),J57/C55),0)</f>
        <v>0</v>
      </c>
      <c r="M63" s="21">
        <f>IF(SUM(E63:L63)&lt;J57,IF((J57-SUM(E63:L63))&lt;J57/C55,J57-SUM(E63:L63),J57/C55),0)</f>
        <v>0</v>
      </c>
      <c r="N63" s="21">
        <f>IF(SUM(E63:M63)&lt;J57,IF((J57-SUM(E63:M63))&lt;J57/C55,J57-SUM(E63:M63),J57/C55),0)</f>
        <v>0</v>
      </c>
      <c r="O63" s="21">
        <f>IF(SUM(E63:N63)&lt;J57,IF((J57-SUM(E63:N63))&lt;J57/C55,J57-SUM(E63:N63),J57/C55),0)</f>
        <v>0</v>
      </c>
      <c r="P63" s="21">
        <f>IF(SUM(E63:O63)&lt;J57,IF((J57-SUM(E63:O63))&lt;J57/C55,J57-SUM(E63:O63),J57/C55),0)</f>
        <v>0</v>
      </c>
      <c r="Q63" s="21">
        <f>IF(SUM(E63:P63)&lt;J57,IF((J57-SUM(E63:P63))&lt;J57/C55,J57-SUM(E63:P63),J57/C55),0)</f>
        <v>0</v>
      </c>
      <c r="R63" s="21">
        <f>IF(SUM(E63:Q63)&lt;J57,IF((J57-SUM(E63:Q63))&lt;J57/C55,J57-SUM(E63:Q63),J57/C55),0)</f>
        <v>0</v>
      </c>
      <c r="S63" s="21">
        <f>IF(SUM(E63:R63)&lt;J57,IF((J57-SUM(E63:R63))&lt;J57/C55,J57-SUM(E63:R63),J57/C55),0)</f>
        <v>0</v>
      </c>
      <c r="T63" s="21">
        <f>IF(SUM(E63:S63)&lt;J57,IF((J57-SUM(E63:S63))&lt;J57/C55,J57-SUM(E63:S63),J57/C55),0)</f>
        <v>0</v>
      </c>
      <c r="U63" s="21">
        <f>IF(SUM(E63:T63)&lt;J57,IF((J57-SUM(E63:T63))&lt;J57/C55,J57-SUM(E63:T63),J57/C55),0)</f>
        <v>0</v>
      </c>
      <c r="V63" s="21">
        <f>IF(SUM(E63:U63)&lt;J57,IF((J57-SUM(E63:U63))&lt;J57/C55,J57-SUM(E63:U63),J57/C55),0)</f>
        <v>0</v>
      </c>
      <c r="W63" s="21">
        <f>IF(SUM(E63:V63)&lt;J57,IF((J57-SUM(E63:V63))&lt;J57/C55,J57-SUM(E63:V63),J57/C55),0)</f>
        <v>0</v>
      </c>
      <c r="X63" s="30">
        <f>IF(SUM(E63:W63)&lt;J57,IF((J57-SUM(E63:W63))&lt;J57/C55,J57-SUM(E63:W63),J57/C55),0)</f>
        <v>0</v>
      </c>
    </row>
    <row r="64" spans="1:24" ht="25.2" customHeight="1" x14ac:dyDescent="0.25">
      <c r="A64" s="302"/>
      <c r="B64" s="20" t="s">
        <v>273</v>
      </c>
      <c r="C64" s="18"/>
      <c r="D64" s="19">
        <f t="shared" si="7"/>
        <v>0</v>
      </c>
      <c r="E64" s="21"/>
      <c r="F64" s="21"/>
      <c r="G64" s="21"/>
      <c r="H64" s="21"/>
      <c r="I64" s="21"/>
      <c r="J64" s="21"/>
      <c r="K64" s="21">
        <f>L64*(1-K56/12)</f>
        <v>0</v>
      </c>
      <c r="L64" s="21">
        <f>K57/C55</f>
        <v>0</v>
      </c>
      <c r="M64" s="21">
        <f>IF(SUM(E64:L64)&lt;K57,IF((K57-SUM(E64:L64))&lt;K57/C55,K57-SUM(E64:L64),K57/C55),0)</f>
        <v>0</v>
      </c>
      <c r="N64" s="21">
        <f>IF(SUM(E64:M64)&lt;K57,IF((K57-SUM(E64:M64))&lt;K57/C55,K57-SUM(E64:M64),K57/C55),0)</f>
        <v>0</v>
      </c>
      <c r="O64" s="21">
        <f>IF(SUM(E64:N64)&lt;K57,IF((K57-SUM(E64:N64))&lt;K57/C55,K57-SUM(E64:N64),K57/C55),0)</f>
        <v>0</v>
      </c>
      <c r="P64" s="21">
        <f>IF(SUM(E64:O64)&lt;K57,IF((K57-SUM(E64:O64))&lt;K57/C55,K57-SUM(E64:O64),K57/C55),0)</f>
        <v>0</v>
      </c>
      <c r="Q64" s="21">
        <f>IF(SUM(E64:P64)&lt;K57,IF((K57-SUM(E64:P64))&lt;K57/C55,K57-SUM(E64:P64),K57/C55),0)</f>
        <v>0</v>
      </c>
      <c r="R64" s="21">
        <f>IF(SUM(E64:Q64)&lt;K57,IF((K57-SUM(E64:Q64))&lt;K57/C55,K57-SUM(E64:Q64),K57/C55),0)</f>
        <v>0</v>
      </c>
      <c r="S64" s="21">
        <f>IF(SUM(E64:R64)&lt;K57,IF((K57-SUM(E64:R64))&lt;K57/C55,K57-SUM(E64:R64),K57/C55),0)</f>
        <v>0</v>
      </c>
      <c r="T64" s="21">
        <f>IF(SUM(E64:S64)&lt;K57,IF((K57-SUM(E64:S64))&lt;K57/C55,K57-SUM(E64:S64),K57/C55),0)</f>
        <v>0</v>
      </c>
      <c r="U64" s="21">
        <f>IF(SUM(E64:T64)&lt;K57,IF((K57-SUM(E64:T64))&lt;K57/C55,K57-SUM(E64:T64),K57/C55),0)</f>
        <v>0</v>
      </c>
      <c r="V64" s="21">
        <f>IF(SUM(E64:U64)&lt;K57,IF((K57-SUM(E64:U64))&lt;K57/C55,K57-SUM(E64:U64),K57/C55),0)</f>
        <v>0</v>
      </c>
      <c r="W64" s="21">
        <f>IF(SUM(E64:V64)&lt;K57,IF((K57-SUM(E64:V64))&lt;K57/C55,K57-SUM(E64:V64),K57/C55),0)</f>
        <v>0</v>
      </c>
      <c r="X64" s="30">
        <f>IF(SUM(E64:W64)&lt;K57,IF((K57-SUM(E64:W64))&lt;K57/C55,K57-SUM(E64:W64),K57/C55),0)</f>
        <v>0</v>
      </c>
    </row>
    <row r="65" spans="1:24" ht="25.2" customHeight="1" x14ac:dyDescent="0.25">
      <c r="A65" s="302"/>
      <c r="B65" s="20" t="s">
        <v>274</v>
      </c>
      <c r="C65" s="18"/>
      <c r="D65" s="19">
        <f t="shared" si="7"/>
        <v>0</v>
      </c>
      <c r="E65" s="21"/>
      <c r="F65" s="21"/>
      <c r="G65" s="21"/>
      <c r="H65" s="21"/>
      <c r="I65" s="21"/>
      <c r="J65" s="21"/>
      <c r="K65" s="21"/>
      <c r="L65" s="21">
        <f>M65*(1-L56/12)</f>
        <v>0</v>
      </c>
      <c r="M65" s="21">
        <f>L57/C55</f>
        <v>0</v>
      </c>
      <c r="N65" s="21">
        <f>IF(SUM(E65:M65)&lt;L57,IF((L57-SUM(E65:M65))&lt;L57/C55,L57-SUM(E65:M65),L57/C55),0)</f>
        <v>0</v>
      </c>
      <c r="O65" s="21">
        <f>IF(SUM(E65:N65)&lt;L57,IF((L57-SUM(E65:N65))&lt;L57/C55,L57-SUM(E65:N65),L57/C55),0)</f>
        <v>0</v>
      </c>
      <c r="P65" s="21">
        <f>IF(SUM(E65:O65)&lt;L57,IF((L57-SUM(E65:O65))&lt;L57/C55,L57-SUM(E65:O65),L57/C55),0)</f>
        <v>0</v>
      </c>
      <c r="Q65" s="21">
        <f>IF(SUM(E65:P65)&lt;L57,IF((L57-SUM(E65:P65))&lt;L57/C55,L57-SUM(E65:P65),L57/C55),0)</f>
        <v>0</v>
      </c>
      <c r="R65" s="21">
        <f>IF(SUM(E65:Q65)&lt;L57,IF((L57-SUM(E65:Q65))&lt;L57/C55,L57-SUM(E65:Q65),L57/C55),0)</f>
        <v>0</v>
      </c>
      <c r="S65" s="21">
        <f>IF(SUM(E65:R65)&lt;L57,IF((L57-SUM(E65:R65))&lt;L57/C55,L57-SUM(E65:R65),L57/C55),0)</f>
        <v>0</v>
      </c>
      <c r="T65" s="21">
        <f>IF(SUM(E65:S65)&lt;L57,IF((L57-SUM(E65:S65))&lt;L57/C55,L57-SUM(E65:S65),L57/C55),0)</f>
        <v>0</v>
      </c>
      <c r="U65" s="21">
        <f>IF(SUM(E65:T65)&lt;L57,IF((L57-SUM(E65:T65))&lt;L57/C55,L57-SUM(E65:T65),L57/C55),0)</f>
        <v>0</v>
      </c>
      <c r="V65" s="21">
        <f>IF(SUM(E65:U65)&lt;L57,IF((L57-SUM(E65:U65))&lt;L57/C55,L57-SUM(E65:U65),L57/C55),0)</f>
        <v>0</v>
      </c>
      <c r="W65" s="21">
        <f>IF(SUM(E65:V65)&lt;L57,IF((L57-SUM(E65:V65))&lt;L57/C55,L57-SUM(E65:V65),L57/C55),0)</f>
        <v>0</v>
      </c>
      <c r="X65" s="30">
        <f>IF(SUM(E65:W65)&lt;L57,IF((L57-SUM(E65:W65))&lt;L57/C55,L57-SUM(E65:W65),L57/C55),0)</f>
        <v>0</v>
      </c>
    </row>
    <row r="66" spans="1:24" ht="25.2" customHeight="1" x14ac:dyDescent="0.25">
      <c r="A66" s="302"/>
      <c r="B66" s="20" t="s">
        <v>275</v>
      </c>
      <c r="C66" s="18"/>
      <c r="D66" s="19">
        <f t="shared" si="7"/>
        <v>0</v>
      </c>
      <c r="E66" s="21"/>
      <c r="F66" s="21"/>
      <c r="G66" s="21"/>
      <c r="H66" s="21"/>
      <c r="I66" s="21"/>
      <c r="J66" s="21"/>
      <c r="K66" s="21"/>
      <c r="L66" s="21"/>
      <c r="M66" s="21">
        <f>N66*(1-M56/12)</f>
        <v>0</v>
      </c>
      <c r="N66" s="21">
        <f>M57/C55</f>
        <v>0</v>
      </c>
      <c r="O66" s="21">
        <f>IF(SUM(E66:N66)&lt;M57,IF((M57-SUM(E66:N66))&lt;M57/C55,M57-SUM(E66:N66),M57/C55),0)</f>
        <v>0</v>
      </c>
      <c r="P66" s="21">
        <f>IF(SUM(E66:O66)&lt;M57,IF((M57-SUM(E66:O66))&lt;M57/C55,M57-SUM(E66:O66),M57/C55),0)</f>
        <v>0</v>
      </c>
      <c r="Q66" s="21">
        <f>IF(SUM(E66:P66)&lt;M57,IF((M57-SUM(E66:P66))&lt;M57/C55,M57-SUM(E66:P66),M57/C55),0)</f>
        <v>0</v>
      </c>
      <c r="R66" s="21">
        <f>IF(SUM(E66:Q66)&lt;M57,IF((M57-SUM(E66:Q66))&lt;M57/C55,M57-SUM(E66:Q66),M57/C55),0)</f>
        <v>0</v>
      </c>
      <c r="S66" s="21">
        <f>IF(SUM(E66:R66)&lt;M57,IF((M57-SUM(E66:R66))&lt;M57/C55,M57-SUM(E66:R66),M57/C55),0)</f>
        <v>0</v>
      </c>
      <c r="T66" s="21">
        <f>IF(SUM(E66:S66)&lt;M57,IF((M57-SUM(E66:S66))&lt;M57/C55,M57-SUM(E66:S66),M57/C55),0)</f>
        <v>0</v>
      </c>
      <c r="U66" s="21">
        <f>IF(SUM(E66:T66)&lt;M57,IF((M57-SUM(E66:T66))&lt;M57/C55,M57-SUM(E66:T66),M57/C55),0)</f>
        <v>0</v>
      </c>
      <c r="V66" s="21">
        <f>IF(SUM(E66:U66)&lt;M57,IF((M57-SUM(E66:U66))&lt;M57/C55,M57-SUM(E66:U66),M57/C55),0)</f>
        <v>0</v>
      </c>
      <c r="W66" s="21">
        <f>IF(SUM(E66:V66)&lt;M57,IF((M57-SUM(E66:V66))&lt;M57/C55,M57-SUM(E66:V66),M57/C55),0)</f>
        <v>0</v>
      </c>
      <c r="X66" s="30">
        <f>IF(SUM(E66:W66)&lt;M57,IF((M57-SUM(E66:W66))&lt;M57/C55,M57-SUM(E66:W66),M57/C55),0)</f>
        <v>0</v>
      </c>
    </row>
    <row r="67" spans="1:24" ht="25.2" customHeight="1" x14ac:dyDescent="0.25">
      <c r="A67" s="302"/>
      <c r="B67" s="20" t="s">
        <v>276</v>
      </c>
      <c r="C67" s="18"/>
      <c r="D67" s="19">
        <f t="shared" si="7"/>
        <v>0</v>
      </c>
      <c r="E67" s="21"/>
      <c r="F67" s="21"/>
      <c r="G67" s="21"/>
      <c r="H67" s="21"/>
      <c r="I67" s="21"/>
      <c r="J67" s="21"/>
      <c r="K67" s="21"/>
      <c r="L67" s="21"/>
      <c r="M67" s="21"/>
      <c r="N67" s="21">
        <f>O67*(1-N56/12)</f>
        <v>0</v>
      </c>
      <c r="O67" s="21">
        <f>N57/C55</f>
        <v>0</v>
      </c>
      <c r="P67" s="21">
        <f>IF(SUM(E67:O67)&lt;N57,IF((N57-SUM(E67:O67))&lt;N57/C55,N57-SUM(E67:O67),N57/C55),0)</f>
        <v>0</v>
      </c>
      <c r="Q67" s="21">
        <f>IF(SUM(E67:P67)&lt;N57,IF((N57-SUM(E67:P67))&lt;N57/C55,N57-SUM(E67:P67),N57/C55),0)</f>
        <v>0</v>
      </c>
      <c r="R67" s="21">
        <f>IF(SUM(E67:Q67)&lt;N57,IF((N57-SUM(E67:Q67))&lt;N57/C55,N57-SUM(E67:Q67),N57/C55),0)</f>
        <v>0</v>
      </c>
      <c r="S67" s="21">
        <f>IF(SUM(E67:R67)&lt;N57,IF((N57-SUM(E67:R67))&lt;N57/C55,N57-SUM(E67:R67),N57/C55),0)</f>
        <v>0</v>
      </c>
      <c r="T67" s="21">
        <f>IF(SUM(E67:S67)&lt;N57,IF((N57-SUM(E67:S67))&lt;N57/C55,N57-SUM(E67:S67),N57/C55),0)</f>
        <v>0</v>
      </c>
      <c r="U67" s="21">
        <f>IF(SUM(E67:T67)&lt;N57,IF((N57-SUM(E67:T67))&lt;N57/C55,N57-SUM(E67:T67),N57/C55),0)</f>
        <v>0</v>
      </c>
      <c r="V67" s="21">
        <f>IF(SUM(E67:U67)&lt;N57,IF((N57-SUM(E67:U67))&lt;N57/C55,N57-SUM(E67:U67),N57/C55),0)</f>
        <v>0</v>
      </c>
      <c r="W67" s="21">
        <f>IF(SUM(E67:V67)&lt;N57,IF((N57-SUM(E67:V67))&lt;N57/C55,N57-SUM(E67:V67),N57/C55),0)</f>
        <v>0</v>
      </c>
      <c r="X67" s="30">
        <f>IF(SUM(E67:W67)&lt;N57,IF((N57-SUM(E67:W67))&lt;N57/C55,N57-SUM(E67:W67),N57/C55),0)</f>
        <v>0</v>
      </c>
    </row>
    <row r="68" spans="1:24" ht="25.2" customHeight="1" x14ac:dyDescent="0.25">
      <c r="A68" s="302"/>
      <c r="B68" s="20" t="s">
        <v>277</v>
      </c>
      <c r="C68" s="18"/>
      <c r="D68" s="19">
        <f t="shared" si="7"/>
        <v>0</v>
      </c>
      <c r="E68" s="21"/>
      <c r="F68" s="21"/>
      <c r="G68" s="21"/>
      <c r="H68" s="21"/>
      <c r="I68" s="21"/>
      <c r="J68" s="21"/>
      <c r="K68" s="21"/>
      <c r="L68" s="21"/>
      <c r="M68" s="21"/>
      <c r="N68" s="21"/>
      <c r="O68" s="21">
        <f>P68*(1-O56/12)</f>
        <v>0</v>
      </c>
      <c r="P68" s="21">
        <f>O57/C55</f>
        <v>0</v>
      </c>
      <c r="Q68" s="21">
        <f>IF(SUM(E68:P68)&lt;O57,IF((O57-SUM(E68:P68))&lt;O57/C55,O57-SUM(E68:P68),O57/C55),0)</f>
        <v>0</v>
      </c>
      <c r="R68" s="21">
        <f>IF(SUM(E68:Q68)&lt;O57,IF((O57-SUM(E68:Q68))&lt;O57/C55,O57-SUM(E68:Q68),O57/C55),0)</f>
        <v>0</v>
      </c>
      <c r="S68" s="21">
        <f>IF(SUM(E68:R68)&lt;O57,IF((O57-SUM(E68:R68))&lt;O57/C55,O57-SUM(E68:R68),O57/C55),0)</f>
        <v>0</v>
      </c>
      <c r="T68" s="21">
        <f>IF(SUM(E68:S68)&lt;O57,IF((O57-SUM(E68:S68))&lt;O57/C55,O57-SUM(E68:S68),O57/C55),0)</f>
        <v>0</v>
      </c>
      <c r="U68" s="21">
        <f>IF(SUM(E68:T68)&lt;O57,IF((O57-SUM(E68:T68))&lt;O57/C55,O57-SUM(E68:T68),O57/C55),0)</f>
        <v>0</v>
      </c>
      <c r="V68" s="21">
        <f>IF(SUM(E68:U68)&lt;O57,IF((O57-SUM(E68:U68))&lt;O57/C55,O57-SUM(E68:U68),O57/C55),0)</f>
        <v>0</v>
      </c>
      <c r="W68" s="21">
        <f>IF(SUM(E68:V68)&lt;O57,IF((O57-SUM(E68:V68))&lt;O57/C55,O57-SUM(E68:V68),O57/C55),0)</f>
        <v>0</v>
      </c>
      <c r="X68" s="30">
        <f>IF(SUM(E68:W68)&lt;O57,IF((O57-SUM(E68:W68))&lt;O57/C55,O57-SUM(E68:W68),O57/C55),0)</f>
        <v>0</v>
      </c>
    </row>
    <row r="69" spans="1:24" ht="25.2" customHeight="1" x14ac:dyDescent="0.25">
      <c r="A69" s="302"/>
      <c r="B69" s="291"/>
      <c r="C69" s="292"/>
      <c r="D69" s="292"/>
      <c r="E69" s="292"/>
      <c r="F69" s="292"/>
      <c r="G69" s="292"/>
      <c r="H69" s="292"/>
      <c r="I69" s="292"/>
      <c r="J69" s="292"/>
      <c r="K69" s="292"/>
      <c r="L69" s="292"/>
      <c r="M69" s="292"/>
      <c r="N69" s="292"/>
      <c r="O69" s="292"/>
      <c r="P69" s="292"/>
      <c r="Q69" s="292"/>
      <c r="R69" s="292"/>
      <c r="S69" s="292"/>
      <c r="T69" s="292"/>
      <c r="U69" s="292"/>
      <c r="V69" s="292"/>
      <c r="W69" s="292"/>
      <c r="X69" s="293"/>
    </row>
    <row r="70" spans="1:24" ht="25.2" customHeight="1" x14ac:dyDescent="0.25">
      <c r="A70" s="302"/>
      <c r="B70" s="9" t="s">
        <v>285</v>
      </c>
      <c r="C70" s="10"/>
      <c r="D70" s="11">
        <f t="shared" ref="D70:D84" si="9">SUM(E70:X70)</f>
        <v>0</v>
      </c>
      <c r="E70" s="12">
        <f t="shared" ref="E70:X70" si="10">SUM(E74:E84)</f>
        <v>0</v>
      </c>
      <c r="F70" s="12">
        <f t="shared" si="10"/>
        <v>0</v>
      </c>
      <c r="G70" s="12">
        <f t="shared" si="10"/>
        <v>0</v>
      </c>
      <c r="H70" s="12">
        <f t="shared" si="10"/>
        <v>0</v>
      </c>
      <c r="I70" s="12">
        <f t="shared" si="10"/>
        <v>0</v>
      </c>
      <c r="J70" s="12">
        <f t="shared" si="10"/>
        <v>0</v>
      </c>
      <c r="K70" s="12">
        <f t="shared" si="10"/>
        <v>0</v>
      </c>
      <c r="L70" s="12">
        <f t="shared" si="10"/>
        <v>0</v>
      </c>
      <c r="M70" s="12">
        <f t="shared" si="10"/>
        <v>0</v>
      </c>
      <c r="N70" s="12">
        <f t="shared" si="10"/>
        <v>0</v>
      </c>
      <c r="O70" s="12">
        <f t="shared" si="10"/>
        <v>0</v>
      </c>
      <c r="P70" s="12">
        <f t="shared" si="10"/>
        <v>0</v>
      </c>
      <c r="Q70" s="12">
        <f t="shared" si="10"/>
        <v>0</v>
      </c>
      <c r="R70" s="12">
        <f t="shared" si="10"/>
        <v>0</v>
      </c>
      <c r="S70" s="12">
        <f t="shared" si="10"/>
        <v>0</v>
      </c>
      <c r="T70" s="12">
        <f t="shared" si="10"/>
        <v>0</v>
      </c>
      <c r="U70" s="12">
        <f t="shared" si="10"/>
        <v>0</v>
      </c>
      <c r="V70" s="12">
        <f t="shared" si="10"/>
        <v>0</v>
      </c>
      <c r="W70" s="12">
        <f t="shared" si="10"/>
        <v>0</v>
      </c>
      <c r="X70" s="28">
        <f t="shared" si="10"/>
        <v>0</v>
      </c>
    </row>
    <row r="71" spans="1:24" ht="25.2" customHeight="1" x14ac:dyDescent="0.25">
      <c r="A71" s="302"/>
      <c r="B71" s="13" t="s">
        <v>264</v>
      </c>
      <c r="C71" s="14">
        <v>5</v>
      </c>
      <c r="D71" s="288"/>
      <c r="E71" s="289"/>
      <c r="F71" s="289"/>
      <c r="G71" s="289"/>
      <c r="H71" s="289"/>
      <c r="I71" s="289"/>
      <c r="J71" s="289"/>
      <c r="K71" s="289"/>
      <c r="L71" s="289"/>
      <c r="M71" s="289"/>
      <c r="N71" s="289"/>
      <c r="O71" s="289"/>
      <c r="P71" s="289"/>
      <c r="Q71" s="289"/>
      <c r="R71" s="289"/>
      <c r="S71" s="289"/>
      <c r="T71" s="289"/>
      <c r="U71" s="289"/>
      <c r="V71" s="289"/>
      <c r="W71" s="289"/>
      <c r="X71" s="290"/>
    </row>
    <row r="72" spans="1:24" ht="25.2" customHeight="1" x14ac:dyDescent="0.25">
      <c r="A72" s="302"/>
      <c r="B72" s="13" t="s">
        <v>286</v>
      </c>
      <c r="C72" s="15"/>
      <c r="D72" s="15"/>
      <c r="E72" s="16">
        <v>0</v>
      </c>
      <c r="F72" s="16">
        <v>0</v>
      </c>
      <c r="G72" s="16">
        <v>0</v>
      </c>
      <c r="H72" s="16">
        <v>0</v>
      </c>
      <c r="I72" s="16">
        <v>0</v>
      </c>
      <c r="J72" s="16">
        <v>0</v>
      </c>
      <c r="K72" s="16">
        <v>0</v>
      </c>
      <c r="L72" s="16">
        <v>0</v>
      </c>
      <c r="M72" s="16">
        <v>0</v>
      </c>
      <c r="N72" s="16">
        <v>0</v>
      </c>
      <c r="O72" s="16">
        <v>0</v>
      </c>
      <c r="P72" s="24"/>
      <c r="Q72" s="24"/>
      <c r="R72" s="24"/>
      <c r="S72" s="24"/>
      <c r="T72" s="24"/>
      <c r="U72" s="24"/>
      <c r="V72" s="24"/>
      <c r="W72" s="24"/>
      <c r="X72" s="29"/>
    </row>
    <row r="73" spans="1:24" ht="25.2" customHeight="1" x14ac:dyDescent="0.25">
      <c r="A73" s="302"/>
      <c r="B73" s="17" t="s">
        <v>287</v>
      </c>
      <c r="C73" s="18"/>
      <c r="D73" s="19">
        <f>SUM(E73:O73)</f>
        <v>0</v>
      </c>
      <c r="E73" s="16"/>
      <c r="F73" s="16"/>
      <c r="G73" s="16"/>
      <c r="H73" s="16"/>
      <c r="I73" s="16"/>
      <c r="J73" s="16"/>
      <c r="K73" s="16"/>
      <c r="L73" s="16"/>
      <c r="M73" s="16"/>
      <c r="N73" s="16"/>
      <c r="O73" s="16"/>
      <c r="P73" s="24"/>
      <c r="Q73" s="24"/>
      <c r="R73" s="24"/>
      <c r="S73" s="24"/>
      <c r="T73" s="24"/>
      <c r="U73" s="24"/>
      <c r="V73" s="24"/>
      <c r="W73" s="24"/>
      <c r="X73" s="29"/>
    </row>
    <row r="74" spans="1:24" ht="25.2" customHeight="1" x14ac:dyDescent="0.25">
      <c r="A74" s="302"/>
      <c r="B74" s="20" t="s">
        <v>267</v>
      </c>
      <c r="C74" s="18"/>
      <c r="D74" s="19">
        <f t="shared" si="9"/>
        <v>0</v>
      </c>
      <c r="E74" s="21">
        <f>F74*(1-E72/12)</f>
        <v>0</v>
      </c>
      <c r="F74" s="21">
        <f>E73/C71</f>
        <v>0</v>
      </c>
      <c r="G74" s="21">
        <f>IF(SUM(E74:F74)&lt;E73,IF((E73-SUM(E74:F74))&lt;E73/C71,E73-SUM(E74:F74),E73/C71),0)</f>
        <v>0</v>
      </c>
      <c r="H74" s="21">
        <f>IF(SUM(E74:G74)&lt;E73,IF((E73-SUM(E74:G74))&lt;E73/C71,E73-SUM(E74:G74),E73/C71),0)</f>
        <v>0</v>
      </c>
      <c r="I74" s="21">
        <f>IF(SUM(E74:H74)&lt;E73,IF((E73-SUM(E74:H74))&lt;E73/C71,E73-SUM(E74:H74),E73/C71),0)</f>
        <v>0</v>
      </c>
      <c r="J74" s="21">
        <f>IF(SUM(E74:I74)&lt;E73,IF((E73-SUM(E74:I74))&lt;E73/C71,E73-SUM(E74:I74),E73/C71),0)</f>
        <v>0</v>
      </c>
      <c r="K74" s="21">
        <f>IF(SUM(E74:J74)&lt;E73,IF((E73-SUM(E74:J74))&lt;E73/C71,E73-SUM(E74:J74),E73/C71),0)</f>
        <v>0</v>
      </c>
      <c r="L74" s="21">
        <f>IF(SUM(E74:K74)&lt;E73,IF((E73-SUM(E74:K74))&lt;E73/C71,E73-SUM(E74:K74),E73/C71),0)</f>
        <v>0</v>
      </c>
      <c r="M74" s="21">
        <f>IF(SUM(E74:L74)&lt;E73,IF((E73-SUM(E74:L74))&lt;E73/C71,E73-SUM(E74:L74),E73/C71),0)</f>
        <v>0</v>
      </c>
      <c r="N74" s="21">
        <f>IF(SUM(E74:M74)&lt;E73,IF((E73-SUM(E74:M74))&lt;E73/C71,E73-SUM(E74:M74),E73/C71),0)</f>
        <v>0</v>
      </c>
      <c r="O74" s="21">
        <f>IF(SUM(E74:N74)&lt;E73,IF((E73-SUM(E74:N74))&lt;E73/C71,E73-SUM(E74:N74),E73/C71),0)</f>
        <v>0</v>
      </c>
      <c r="P74" s="21">
        <f>IF(SUM(E74:O74)&lt;E73,IF((E73-SUM(E74:O74))&lt;E73/C71,E73-SUM(E74:O74),E73/C71),0)</f>
        <v>0</v>
      </c>
      <c r="Q74" s="21">
        <f>IF(SUM(E74:P74)&lt;E73,IF((E73-SUM(E74:P74))&lt;E73/C71,E73-SUM(E74:P74),E73/C71),0)</f>
        <v>0</v>
      </c>
      <c r="R74" s="21">
        <f>IF(SUM(E74:Q74)&lt;E73,IF((E73-SUM(E74:Q74))&lt;E73/C71,E73-SUM(E74:Q74),E73/C71),0)</f>
        <v>0</v>
      </c>
      <c r="S74" s="21">
        <f>IF(SUM(E74:R74)&lt;E73,IF((E73-SUM(E74:R74))&lt;E73/C71,E73-SUM(E74:R74),E73/C71),0)</f>
        <v>0</v>
      </c>
      <c r="T74" s="21">
        <f>IF(SUM(E74:S74)&lt;E73,IF((E73-SUM(E74:S74))&lt;E73/C71,E73-SUM(E74:S74),E73/C71),0)</f>
        <v>0</v>
      </c>
      <c r="U74" s="21">
        <f>IF(SUM(E74:T74)&lt;E73,IF((E73-SUM(E74:T74))&lt;E73/C71,E73-SUM(E74:T74),E73/C71),0)</f>
        <v>0</v>
      </c>
      <c r="V74" s="21">
        <f>IF(SUM(E74:U74)&lt;E73,IF((E73-SUM(E74:U74))&lt;E73/C71,E73-SUM(E74:U74),E73/C71),0)</f>
        <v>0</v>
      </c>
      <c r="W74" s="21">
        <f>IF(SUM(E74:V74)&lt;E73,IF((E73-SUM(E74:V74))&lt;E73/C71,E73-SUM(E74:V74),E73/C71),0)</f>
        <v>0</v>
      </c>
      <c r="X74" s="30">
        <f>IF(SUM(E74:W74)&lt;E73,IF((E73-SUM(E74:W74))&lt;E73/C71,E73-SUM(E74:W74),E73/C71),0)</f>
        <v>0</v>
      </c>
    </row>
    <row r="75" spans="1:24" ht="25.2" customHeight="1" x14ac:dyDescent="0.25">
      <c r="A75" s="302"/>
      <c r="B75" s="20" t="s">
        <v>268</v>
      </c>
      <c r="C75" s="18"/>
      <c r="D75" s="19">
        <f t="shared" si="9"/>
        <v>0</v>
      </c>
      <c r="E75" s="21"/>
      <c r="F75" s="21">
        <f>G75*(1-F72/12)</f>
        <v>0</v>
      </c>
      <c r="G75" s="21">
        <f>F73/C71</f>
        <v>0</v>
      </c>
      <c r="H75" s="21">
        <f>IF(SUM(E75:G75)&lt;F73,IF((F73-SUM(E75:G75))&lt;F73/C71,F73-SUM(E75:G75),F73/C71),0)</f>
        <v>0</v>
      </c>
      <c r="I75" s="21">
        <f>IF(SUM(E75:H75)&lt;F73,IF((F73-SUM(E75:H75))&lt;F73/C71,F73-SUM(E75:H75),F73/C71),0)</f>
        <v>0</v>
      </c>
      <c r="J75" s="21">
        <f>IF(SUM(E75:I75)&lt;F73,IF((F73-SUM(E75:I75))&lt;F73/C71,F73-SUM(E75:I75),F73/C71),0)</f>
        <v>0</v>
      </c>
      <c r="K75" s="21">
        <f>IF(SUM(E75:J75)&lt;F73,IF((F73-SUM(E75:J75))&lt;F73/C71,F73-SUM(E75:J75),F73/C71),0)</f>
        <v>0</v>
      </c>
      <c r="L75" s="21">
        <f>IF(SUM(E75:K75)&lt;F73,IF((F73-SUM(E75:K75))&lt;F73/C71,F73-SUM(E75:K75),F73/C71),0)</f>
        <v>0</v>
      </c>
      <c r="M75" s="21">
        <f>IF(SUM(E75:L75)&lt;F73,IF((F73-SUM(E75:L75))&lt;F73/C71,F73-SUM(E75:L75),F73/C71),0)</f>
        <v>0</v>
      </c>
      <c r="N75" s="21">
        <f>IF(SUM(E75:M75)&lt;F73,IF((F73-SUM(E75:M75))&lt;F73/C71,F73-SUM(E75:M75),F73/C71),0)</f>
        <v>0</v>
      </c>
      <c r="O75" s="21">
        <f>IF(SUM(E75:N75)&lt;F73,IF((F73-SUM(E75:N75))&lt;F73/C71,F73-SUM(E75:N75),F73/C71),0)</f>
        <v>0</v>
      </c>
      <c r="P75" s="21">
        <f>IF(SUM(E75:O75)&lt;F73,IF((F73-SUM(E75:O75))&lt;F73/C71,F73-SUM(E75:O75),F73/C71),0)</f>
        <v>0</v>
      </c>
      <c r="Q75" s="21">
        <f>IF(SUM(E75:P75)&lt;F73,IF((F73-SUM(E75:P75))&lt;F73/C71,F73-SUM(E75:P75),F73/C71),0)</f>
        <v>0</v>
      </c>
      <c r="R75" s="21">
        <f>IF(SUM(E75:Q75)&lt;F73,IF((F73-SUM(E75:Q75))&lt;F73/C71,F73-SUM(E75:Q75),F73/C71),0)</f>
        <v>0</v>
      </c>
      <c r="S75" s="21">
        <f>IF(SUM(E75:R75)&lt;F73,IF((F73-SUM(E75:R75))&lt;F73/C71,F73-SUM(E75:R75),F73/C71),0)</f>
        <v>0</v>
      </c>
      <c r="T75" s="21">
        <f>IF(SUM(E75:S75)&lt;F73,IF((F73-SUM(E75:S75))&lt;F73/C71,F73-SUM(E75:S75),F73/C71),0)</f>
        <v>0</v>
      </c>
      <c r="U75" s="21">
        <f>IF(SUM(E75:T75)&lt;F73,IF((F73-SUM(E75:T75))&lt;F73/C71,F73-SUM(E75:T75),F73/C71),0)</f>
        <v>0</v>
      </c>
      <c r="V75" s="21">
        <f>IF(SUM(E75:U75)&lt;F73,IF((F73-SUM(E75:U75))&lt;F73/C71,F73-SUM(E75:U75),F73/C71),0)</f>
        <v>0</v>
      </c>
      <c r="W75" s="21">
        <f>IF(SUM(E75:V75)&lt;F73,IF((F73-SUM(E75:V75))&lt;F73/C71,F73-SUM(E75:V75),F73/C71),0)</f>
        <v>0</v>
      </c>
      <c r="X75" s="30">
        <f>IF(SUM(E75:W75)&lt;F73,IF((F73-SUM(E75:W75))&lt;F73/C71,F73-SUM(E75:W75),F73/C71),0)</f>
        <v>0</v>
      </c>
    </row>
    <row r="76" spans="1:24" ht="25.2" customHeight="1" x14ac:dyDescent="0.25">
      <c r="A76" s="302"/>
      <c r="B76" s="20" t="s">
        <v>269</v>
      </c>
      <c r="C76" s="18"/>
      <c r="D76" s="19">
        <f t="shared" si="9"/>
        <v>0</v>
      </c>
      <c r="E76" s="21"/>
      <c r="F76" s="21"/>
      <c r="G76" s="21">
        <f>H76*(1-G72/12)</f>
        <v>0</v>
      </c>
      <c r="H76" s="21">
        <f>G73/C71</f>
        <v>0</v>
      </c>
      <c r="I76" s="21">
        <f>IF(SUM(E76:H76)&lt;G73,IF((G73-SUM(E76:H76))&lt;G73/C71,G73-SUM(E76:H76),G73/C71),0)</f>
        <v>0</v>
      </c>
      <c r="J76" s="21">
        <f>IF(SUM(E76:I76)&lt;G73,IF((G73-SUM(E76:I76))&lt;G73/C71,G73-SUM(E76:I76),G73/C71),0)</f>
        <v>0</v>
      </c>
      <c r="K76" s="21">
        <f>IF(SUM(E76:J76)&lt;G73,IF((G73-SUM(E76:J76))&lt;G73/C71,G73-SUM(E76:J76),G73/C71),0)</f>
        <v>0</v>
      </c>
      <c r="L76" s="21">
        <f>IF(SUM(E76:K76)&lt;G73,IF((G73-SUM(E76:K76))&lt;G73/C71,G73-SUM(E76:K76),G73/C71),0)</f>
        <v>0</v>
      </c>
      <c r="M76" s="21">
        <f>IF(SUM(E76:L76)&lt;G73,IF((G73-SUM(E76:L76))&lt;G73/C71,G73-SUM(E76:L76),G73/C71),0)</f>
        <v>0</v>
      </c>
      <c r="N76" s="21">
        <f>IF(SUM(E76:M76)&lt;G73,IF((G73-SUM(E76:M76))&lt;G73/C71,G73-SUM(E76:M76),G73/C71),0)</f>
        <v>0</v>
      </c>
      <c r="O76" s="21">
        <f>IF(SUM(E76:N76)&lt;G73,IF((G73-SUM(E76:N76))&lt;G73/C71,G73-SUM(E76:N76),G73/C71),0)</f>
        <v>0</v>
      </c>
      <c r="P76" s="21">
        <f>IF(SUM(E76:O76)&lt;G73,IF((G73-SUM(E76:O76))&lt;G73/C71,G73-SUM(E76:O76),G73/C71),0)</f>
        <v>0</v>
      </c>
      <c r="Q76" s="21">
        <f>IF(SUM(E76:P76)&lt;G73,IF((G73-SUM(E76:P76))&lt;G73/C71,G73-SUM(E76:P76),G73/C71),0)</f>
        <v>0</v>
      </c>
      <c r="R76" s="21">
        <f>IF(SUM(E76:Q76)&lt;G73,IF((G73-SUM(E76:Q76))&lt;G73/C71,G73-SUM(E76:Q76),G73/C71),0)</f>
        <v>0</v>
      </c>
      <c r="S76" s="21">
        <f>IF(SUM(E76:R76)&lt;G73,IF((G73-SUM(E76:R76))&lt;G73/C71,G73-SUM(E76:R76),G73/C71),0)</f>
        <v>0</v>
      </c>
      <c r="T76" s="21">
        <f>IF(SUM(E76:S76)&lt;G73,IF((G73-SUM(E76:S76))&lt;G73/C71,G73-SUM(E76:S76),G73/C71),0)</f>
        <v>0</v>
      </c>
      <c r="U76" s="21">
        <f>IF(SUM(E76:T76)&lt;G73,IF((G73-SUM(E76:T76))&lt;G73/C71,G73-SUM(E76:T76),G73/C71),0)</f>
        <v>0</v>
      </c>
      <c r="V76" s="21">
        <f>IF(SUM(E76:U76)&lt;G73,IF((G73-SUM(E76:U76))&lt;G73/C71,G73-SUM(E76:U76),G73/C71),0)</f>
        <v>0</v>
      </c>
      <c r="W76" s="21">
        <f>IF(SUM(E76:V76)&lt;G73,IF((G73-SUM(E76:V76))&lt;G73/C71,G73-SUM(E76:V76),G73/C71),0)</f>
        <v>0</v>
      </c>
      <c r="X76" s="30">
        <f>IF(SUM(E76:W76)&lt;G73,IF((G73-SUM(E76:W76))&lt;G73/C71,G73-SUM(E76:W76),G73/C71),0)</f>
        <v>0</v>
      </c>
    </row>
    <row r="77" spans="1:24" ht="25.2" customHeight="1" x14ac:dyDescent="0.25">
      <c r="A77" s="302"/>
      <c r="B77" s="20" t="s">
        <v>270</v>
      </c>
      <c r="C77" s="18"/>
      <c r="D77" s="19">
        <f t="shared" si="9"/>
        <v>0</v>
      </c>
      <c r="E77" s="21"/>
      <c r="F77" s="21"/>
      <c r="G77" s="21"/>
      <c r="H77" s="21">
        <f>I77*(1-H72/12)</f>
        <v>0</v>
      </c>
      <c r="I77" s="21">
        <f>H73/C71</f>
        <v>0</v>
      </c>
      <c r="J77" s="21">
        <f>IF(SUM(E77:I77)&lt;H73,IF((H73-SUM(E77:I77))&lt;H73/C71,H73-SUM(E77:I77),H73/C71),0)</f>
        <v>0</v>
      </c>
      <c r="K77" s="21">
        <f>IF(SUM(E77:J77)&lt;H73,IF((H73-SUM(E77:J77))&lt;H73/C71,H73-SUM(E77:J77),H73/C71),0)</f>
        <v>0</v>
      </c>
      <c r="L77" s="21">
        <f>IF(SUM(E77:K77)&lt;H73,IF((H73-SUM(E77:K77))&lt;H73/C71,H73-SUM(E77:K77),H73/C71),0)</f>
        <v>0</v>
      </c>
      <c r="M77" s="21">
        <f>IF(SUM(E77:L77)&lt;H73,IF((H73-SUM(E77:L77))&lt;H73/C71,H73-SUM(E77:L77),H73/C71),0)</f>
        <v>0</v>
      </c>
      <c r="N77" s="21">
        <f>IF(SUM(E77:M77)&lt;H73,IF((H73-SUM(E77:M77))&lt;H73/C71,H73-SUM(E77:M77),H73/C71),0)</f>
        <v>0</v>
      </c>
      <c r="O77" s="21">
        <f>IF(SUM(E77:N77)&lt;H73,IF((H73-SUM(E77:N77))&lt;H73/C71,H73-SUM(E77:N77),H73/C71),0)</f>
        <v>0</v>
      </c>
      <c r="P77" s="21">
        <f>IF(SUM(E77:O77)&lt;H73,IF((H73-SUM(E77:O77))&lt;H73/C71,H73-SUM(E77:O77),H73/C71),0)</f>
        <v>0</v>
      </c>
      <c r="Q77" s="21">
        <f>IF(SUM(E77:P77)&lt;H73,IF((H73-SUM(E77:P77))&lt;H73/C71,H73-SUM(E77:P77),H73/C71),0)</f>
        <v>0</v>
      </c>
      <c r="R77" s="21">
        <f>IF(SUM(E77:Q77)&lt;H73,IF((H73-SUM(E77:Q77))&lt;H73/C71,H73-SUM(E77:Q77),H73/C71),0)</f>
        <v>0</v>
      </c>
      <c r="S77" s="21">
        <f>IF(SUM(E77:R77)&lt;H73,IF((H73-SUM(E77:R77))&lt;H73/C71,H73-SUM(E77:R77),H73/C71),0)</f>
        <v>0</v>
      </c>
      <c r="T77" s="21">
        <f>IF(SUM(E77:S77)&lt;H73,IF((H73-SUM(E77:S77))&lt;H73/C71,H73-SUM(E77:S77),H73/C71),0)</f>
        <v>0</v>
      </c>
      <c r="U77" s="21">
        <f>IF(SUM(E77:T77)&lt;H73,IF((H73-SUM(E77:T77))&lt;H73/C71,H73-SUM(E77:T77),H73/C71),0)</f>
        <v>0</v>
      </c>
      <c r="V77" s="21">
        <f>IF(SUM(E77:U77)&lt;H73,IF((H73-SUM(E77:U77))&lt;H73/C71,H73-SUM(E77:U77),H73/C71),0)</f>
        <v>0</v>
      </c>
      <c r="W77" s="21">
        <f>IF(SUM(E77:V77)&lt;H73,IF((H73-SUM(E77:V77))&lt;H73/C71,H73-SUM(E77:V77),H73/C71),0)</f>
        <v>0</v>
      </c>
      <c r="X77" s="30">
        <f>IF(SUM(E77:W77)&lt;H73,IF((H73-SUM(E77:W77))&lt;H73/C71,H73-SUM(E77:W77),H73/C71),0)</f>
        <v>0</v>
      </c>
    </row>
    <row r="78" spans="1:24" ht="25.2" customHeight="1" x14ac:dyDescent="0.25">
      <c r="A78" s="302"/>
      <c r="B78" s="20" t="s">
        <v>271</v>
      </c>
      <c r="C78" s="18"/>
      <c r="D78" s="19">
        <f t="shared" si="9"/>
        <v>0</v>
      </c>
      <c r="E78" s="21"/>
      <c r="F78" s="21"/>
      <c r="G78" s="21"/>
      <c r="H78" s="21"/>
      <c r="I78" s="21">
        <f>J78*(1-I72/12)</f>
        <v>0</v>
      </c>
      <c r="J78" s="21">
        <f>I73/C71</f>
        <v>0</v>
      </c>
      <c r="K78" s="21">
        <f>IF(SUM(E78:J78)&lt;I73,IF((I73-SUM(E78:J78))&lt;I73/C71,I73-SUM(E78:J78),I73/C71),0)</f>
        <v>0</v>
      </c>
      <c r="L78" s="21">
        <f>IF(SUM(E78:K78)&lt;I73,IF((I73-SUM(E78:K78))&lt;I73/C71,I73-SUM(E78:K78),I73/C71),0)</f>
        <v>0</v>
      </c>
      <c r="M78" s="21">
        <f>IF(SUM(E78:L78)&lt;I73,IF((I73-SUM(E78:L78))&lt;I73/C71,I73-SUM(E78:L78),I73/C71),0)</f>
        <v>0</v>
      </c>
      <c r="N78" s="21">
        <f>IF(SUM(E78:M78)&lt;I73,IF((I73-SUM(E78:M78))&lt;I73/C71,I73-SUM(E78:M78),I73/C71),0)</f>
        <v>0</v>
      </c>
      <c r="O78" s="21">
        <f>IF(SUM(E78:N78)&lt;I73,IF((I73-SUM(E78:N78))&lt;I73/C71,I73-SUM(E78:N78),I73/C71),0)</f>
        <v>0</v>
      </c>
      <c r="P78" s="21">
        <f>IF(SUM(E78:O78)&lt;I73,IF((I73-SUM(E78:O78))&lt;I73/C71,I73-SUM(E78:O78),I73/C71),0)</f>
        <v>0</v>
      </c>
      <c r="Q78" s="21">
        <f>IF(SUM(E78:P78)&lt;I73,IF((I73-SUM(E78:P78))&lt;I73/C71,I73-SUM(E78:P78),I73/C71),0)</f>
        <v>0</v>
      </c>
      <c r="R78" s="21">
        <f>IF(SUM(E78:Q78)&lt;I73,IF((I73-SUM(E78:Q78))&lt;I73/C71,I73-SUM(E78:Q78),I73/C71),0)</f>
        <v>0</v>
      </c>
      <c r="S78" s="21">
        <f>IF(SUM(E78:R78)&lt;I73,IF((I73-SUM(E78:R78))&lt;I73/C71,I73-SUM(E78:R78),I73/C71),0)</f>
        <v>0</v>
      </c>
      <c r="T78" s="21">
        <f>IF(SUM(E78:S78)&lt;I73,IF((I73-SUM(E78:S78))&lt;I73/C71,I73-SUM(E78:S78),I73/C71),0)</f>
        <v>0</v>
      </c>
      <c r="U78" s="21">
        <f>IF(SUM(E78:T78)&lt;I73,IF((I73-SUM(E78:T78))&lt;I73/C71,I73-SUM(E78:T78),I73/C71),0)</f>
        <v>0</v>
      </c>
      <c r="V78" s="21">
        <f>IF(SUM(E78:U78)&lt;I73,IF((I73-SUM(E78:U78))&lt;I73/C71,I73-SUM(E78:U78),I73/C71),0)</f>
        <v>0</v>
      </c>
      <c r="W78" s="21">
        <f>IF(SUM(E78:V78)&lt;I73,IF((I73-SUM(E78:V78))&lt;I73/C71,I73-SUM(E78:V78),I73/C71),0)</f>
        <v>0</v>
      </c>
      <c r="X78" s="30">
        <f>IF(SUM(E78:W78)&lt;I73,IF((I73-SUM(E78:W78))&lt;I73/C71,I73-SUM(E78:W78),I73/C71),0)</f>
        <v>0</v>
      </c>
    </row>
    <row r="79" spans="1:24" ht="25.2" customHeight="1" x14ac:dyDescent="0.25">
      <c r="A79" s="302"/>
      <c r="B79" s="20" t="s">
        <v>272</v>
      </c>
      <c r="C79" s="18"/>
      <c r="D79" s="19">
        <f t="shared" si="9"/>
        <v>0</v>
      </c>
      <c r="E79" s="21"/>
      <c r="F79" s="21"/>
      <c r="G79" s="21"/>
      <c r="H79" s="21"/>
      <c r="I79" s="21"/>
      <c r="J79" s="21">
        <f>K79*(1-J72/12)</f>
        <v>0</v>
      </c>
      <c r="K79" s="21">
        <f>J73/C71</f>
        <v>0</v>
      </c>
      <c r="L79" s="21">
        <f>IF(SUM(E79:K79)&lt;J73,IF((J73-SUM(E79:K79))&lt;J73/C71,J73-SUM(E79:K79),J73/C71),0)</f>
        <v>0</v>
      </c>
      <c r="M79" s="21">
        <f>IF(SUM(E79:L79)&lt;J73,IF((J73-SUM(E79:L79))&lt;J73/C71,J73-SUM(E79:L79),J73/C71),0)</f>
        <v>0</v>
      </c>
      <c r="N79" s="21">
        <f>IF(SUM(E79:M79)&lt;J73,IF((J73-SUM(E79:M79))&lt;J73/C71,J73-SUM(E79:M79),J73/C71),0)</f>
        <v>0</v>
      </c>
      <c r="O79" s="21">
        <f>IF(SUM(E79:N79)&lt;J73,IF((J73-SUM(E79:N79))&lt;J73/C71,J73-SUM(E79:N79),J73/C71),0)</f>
        <v>0</v>
      </c>
      <c r="P79" s="21">
        <f>IF(SUM(E79:O79)&lt;J73,IF((J73-SUM(E79:O79))&lt;J73/C71,J73-SUM(E79:O79),J73/C71),0)</f>
        <v>0</v>
      </c>
      <c r="Q79" s="21">
        <f>IF(SUM(E79:P79)&lt;J73,IF((J73-SUM(E79:P79))&lt;J73/C71,J73-SUM(E79:P79),J73/C71),0)</f>
        <v>0</v>
      </c>
      <c r="R79" s="21">
        <f>IF(SUM(E79:Q79)&lt;J73,IF((J73-SUM(E79:Q79))&lt;J73/C71,J73-SUM(E79:Q79),J73/C71),0)</f>
        <v>0</v>
      </c>
      <c r="S79" s="21">
        <f>IF(SUM(E79:R79)&lt;J73,IF((J73-SUM(E79:R79))&lt;J73/C71,J73-SUM(E79:R79),J73/C71),0)</f>
        <v>0</v>
      </c>
      <c r="T79" s="21">
        <f>IF(SUM(E79:S79)&lt;J73,IF((J73-SUM(E79:S79))&lt;J73/C71,J73-SUM(E79:S79),J73/C71),0)</f>
        <v>0</v>
      </c>
      <c r="U79" s="21">
        <f>IF(SUM(E79:T79)&lt;J73,IF((J73-SUM(E79:T79))&lt;J73/C71,J73-SUM(E79:T79),J73/C71),0)</f>
        <v>0</v>
      </c>
      <c r="V79" s="21">
        <f>IF(SUM(E79:U79)&lt;J73,IF((J73-SUM(E79:U79))&lt;J73/C71,J73-SUM(E79:U79),J73/C71),0)</f>
        <v>0</v>
      </c>
      <c r="W79" s="21">
        <f>IF(SUM(E79:V79)&lt;J73,IF((J73-SUM(E79:V79))&lt;J73/C71,J73-SUM(E79:V79),J73/C71),0)</f>
        <v>0</v>
      </c>
      <c r="X79" s="30">
        <f>IF(SUM(E79:W79)&lt;J73,IF((J73-SUM(E79:W79))&lt;J73/C71,J73-SUM(E79:W79),J73/C71),0)</f>
        <v>0</v>
      </c>
    </row>
    <row r="80" spans="1:24" ht="25.2" customHeight="1" x14ac:dyDescent="0.25">
      <c r="A80" s="302"/>
      <c r="B80" s="20" t="s">
        <v>273</v>
      </c>
      <c r="C80" s="18"/>
      <c r="D80" s="19">
        <f t="shared" si="9"/>
        <v>0</v>
      </c>
      <c r="E80" s="21"/>
      <c r="F80" s="21"/>
      <c r="G80" s="21"/>
      <c r="H80" s="21"/>
      <c r="I80" s="21"/>
      <c r="J80" s="21"/>
      <c r="K80" s="21">
        <f>L80*(1-K72/12)</f>
        <v>0</v>
      </c>
      <c r="L80" s="21">
        <f>K73/C71</f>
        <v>0</v>
      </c>
      <c r="M80" s="21">
        <f>IF(SUM(E80:L80)&lt;K73,IF((K73-SUM(E80:L80))&lt;K73/C71,K73-SUM(E80:L80),K73/C71),0)</f>
        <v>0</v>
      </c>
      <c r="N80" s="21">
        <f>IF(SUM(E80:M80)&lt;K73,IF((K73-SUM(E80:M80))&lt;K73/C71,K73-SUM(E80:M80),K73/C71),0)</f>
        <v>0</v>
      </c>
      <c r="O80" s="21">
        <f>IF(SUM(E80:N80)&lt;K73,IF((K73-SUM(E80:N80))&lt;K73/C71,K73-SUM(E80:N80),K73/C71),0)</f>
        <v>0</v>
      </c>
      <c r="P80" s="21">
        <f>IF(SUM(E80:O80)&lt;K73,IF((K73-SUM(E80:O80))&lt;K73/C71,K73-SUM(E80:O80),K73/C71),0)</f>
        <v>0</v>
      </c>
      <c r="Q80" s="21">
        <f>IF(SUM(E80:P80)&lt;K73,IF((K73-SUM(E80:P80))&lt;K73/C71,K73-SUM(E80:P80),K73/C71),0)</f>
        <v>0</v>
      </c>
      <c r="R80" s="21">
        <f>IF(SUM(E80:Q80)&lt;K73,IF((K73-SUM(E80:Q80))&lt;K73/C71,K73-SUM(E80:Q80),K73/C71),0)</f>
        <v>0</v>
      </c>
      <c r="S80" s="21">
        <f>IF(SUM(E80:R80)&lt;K73,IF((K73-SUM(E80:R80))&lt;K73/C71,K73-SUM(E80:R80),K73/C71),0)</f>
        <v>0</v>
      </c>
      <c r="T80" s="21">
        <f>IF(SUM(E80:S80)&lt;K73,IF((K73-SUM(E80:S80))&lt;K73/C71,K73-SUM(E80:S80),K73/C71),0)</f>
        <v>0</v>
      </c>
      <c r="U80" s="21">
        <f>IF(SUM(E80:T80)&lt;K73,IF((K73-SUM(E80:T80))&lt;K73/C71,K73-SUM(E80:T80),K73/C71),0)</f>
        <v>0</v>
      </c>
      <c r="V80" s="21">
        <f>IF(SUM(E80:U80)&lt;K73,IF((K73-SUM(E80:U80))&lt;K73/C71,K73-SUM(E80:U80),K73/C71),0)</f>
        <v>0</v>
      </c>
      <c r="W80" s="21">
        <f>IF(SUM(E80:V80)&lt;K73,IF((K73-SUM(E80:V80))&lt;K73/C71,K73-SUM(E80:V80),K73/C71),0)</f>
        <v>0</v>
      </c>
      <c r="X80" s="30">
        <f>IF(SUM(E80:W80)&lt;K73,IF((K73-SUM(E80:W80))&lt;K73/C71,K73-SUM(E80:W80),K73/C71),0)</f>
        <v>0</v>
      </c>
    </row>
    <row r="81" spans="1:24" ht="25.2" customHeight="1" x14ac:dyDescent="0.25">
      <c r="A81" s="302"/>
      <c r="B81" s="20" t="s">
        <v>274</v>
      </c>
      <c r="C81" s="18"/>
      <c r="D81" s="19">
        <f t="shared" si="9"/>
        <v>0</v>
      </c>
      <c r="E81" s="21"/>
      <c r="F81" s="21"/>
      <c r="G81" s="21"/>
      <c r="H81" s="21"/>
      <c r="I81" s="21"/>
      <c r="J81" s="21"/>
      <c r="K81" s="21"/>
      <c r="L81" s="21">
        <f>M81*(1-L72/12)</f>
        <v>0</v>
      </c>
      <c r="M81" s="21">
        <f>L73/C71</f>
        <v>0</v>
      </c>
      <c r="N81" s="21">
        <f>IF(SUM(E81:M81)&lt;L73,IF((L73-SUM(E81:M81))&lt;L73/C71,L73-SUM(E81:M81),L73/C71),0)</f>
        <v>0</v>
      </c>
      <c r="O81" s="21">
        <f>IF(SUM(E81:N81)&lt;L73,IF((L73-SUM(E81:N81))&lt;L73/C71,L73-SUM(E81:N81),L73/C71),0)</f>
        <v>0</v>
      </c>
      <c r="P81" s="21">
        <f>IF(SUM(E81:O81)&lt;L73,IF((L73-SUM(E81:O81))&lt;L73/C71,L73-SUM(E81:O81),L73/C71),0)</f>
        <v>0</v>
      </c>
      <c r="Q81" s="21">
        <f>IF(SUM(E81:P81)&lt;L73,IF((L73-SUM(E81:P81))&lt;L73/C71,L73-SUM(E81:P81),L73/C71),0)</f>
        <v>0</v>
      </c>
      <c r="R81" s="21">
        <f>IF(SUM(E81:Q81)&lt;L73,IF((L73-SUM(E81:Q81))&lt;L73/C71,L73-SUM(E81:Q81),L73/C71),0)</f>
        <v>0</v>
      </c>
      <c r="S81" s="21">
        <f>IF(SUM(E81:R81)&lt;L73,IF((L73-SUM(E81:R81))&lt;L73/C71,L73-SUM(E81:R81),L73/C71),0)</f>
        <v>0</v>
      </c>
      <c r="T81" s="21">
        <f>IF(SUM(E81:S81)&lt;L73,IF((L73-SUM(E81:S81))&lt;L73/C71,L73-SUM(E81:S81),L73/C71),0)</f>
        <v>0</v>
      </c>
      <c r="U81" s="21">
        <f>IF(SUM(E81:T81)&lt;L73,IF((L73-SUM(E81:T81))&lt;L73/C71,L73-SUM(E81:T81),L73/C71),0)</f>
        <v>0</v>
      </c>
      <c r="V81" s="21">
        <f>IF(SUM(E81:U81)&lt;L73,IF((L73-SUM(E81:U81))&lt;L73/C71,L73-SUM(E81:U81),L73/C71),0)</f>
        <v>0</v>
      </c>
      <c r="W81" s="21">
        <f>IF(SUM(E81:V81)&lt;L73,IF((L73-SUM(E81:V81))&lt;L73/C71,L73-SUM(E81:V81),L73/C71),0)</f>
        <v>0</v>
      </c>
      <c r="X81" s="30">
        <f>IF(SUM(E81:W81)&lt;L73,IF((L73-SUM(E81:W81))&lt;L73/C71,L73-SUM(E81:W81),L73/C71),0)</f>
        <v>0</v>
      </c>
    </row>
    <row r="82" spans="1:24" ht="25.2" customHeight="1" x14ac:dyDescent="0.25">
      <c r="A82" s="302"/>
      <c r="B82" s="20" t="s">
        <v>275</v>
      </c>
      <c r="C82" s="18"/>
      <c r="D82" s="19">
        <f t="shared" si="9"/>
        <v>0</v>
      </c>
      <c r="E82" s="21"/>
      <c r="F82" s="21"/>
      <c r="G82" s="21"/>
      <c r="H82" s="21"/>
      <c r="I82" s="21"/>
      <c r="J82" s="21"/>
      <c r="K82" s="21"/>
      <c r="L82" s="21"/>
      <c r="M82" s="21">
        <f>N82*(1-M72/12)</f>
        <v>0</v>
      </c>
      <c r="N82" s="21">
        <f>M73/C71</f>
        <v>0</v>
      </c>
      <c r="O82" s="21">
        <f>IF(SUM(E82:N82)&lt;M73,IF((M73-SUM(E82:N82))&lt;M73/C71,M73-SUM(E82:N82),M73/C71),0)</f>
        <v>0</v>
      </c>
      <c r="P82" s="21">
        <f>IF(SUM(E82:O82)&lt;M73,IF((M73-SUM(E82:O82))&lt;M73/C71,M73-SUM(E82:O82),M73/C71),0)</f>
        <v>0</v>
      </c>
      <c r="Q82" s="21">
        <f>IF(SUM(E82:P82)&lt;M73,IF((M73-SUM(E82:P82))&lt;M73/C71,M73-SUM(E82:P82),M73/C71),0)</f>
        <v>0</v>
      </c>
      <c r="R82" s="21">
        <f>IF(SUM(E82:Q82)&lt;M73,IF((M73-SUM(E82:Q82))&lt;M73/C71,M73-SUM(E82:Q82),M73/C71),0)</f>
        <v>0</v>
      </c>
      <c r="S82" s="21">
        <f>IF(SUM(E82:R82)&lt;M73,IF((M73-SUM(E82:R82))&lt;M73/C71,M73-SUM(E82:R82),M73/C71),0)</f>
        <v>0</v>
      </c>
      <c r="T82" s="21">
        <f>IF(SUM(E82:S82)&lt;M73,IF((M73-SUM(E82:S82))&lt;M73/C71,M73-SUM(E82:S82),M73/C71),0)</f>
        <v>0</v>
      </c>
      <c r="U82" s="21">
        <f>IF(SUM(E82:T82)&lt;M73,IF((M73-SUM(E82:T82))&lt;M73/C71,M73-SUM(E82:T82),M73/C71),0)</f>
        <v>0</v>
      </c>
      <c r="V82" s="21">
        <f>IF(SUM(E82:U82)&lt;M73,IF((M73-SUM(E82:U82))&lt;M73/C71,M73-SUM(E82:U82),M73/C71),0)</f>
        <v>0</v>
      </c>
      <c r="W82" s="21">
        <f>IF(SUM(E82:V82)&lt;M73,IF((M73-SUM(E82:V82))&lt;M73/C71,M73-SUM(E82:V82),M73/C71),0)</f>
        <v>0</v>
      </c>
      <c r="X82" s="30">
        <f>IF(SUM(E82:W82)&lt;M73,IF((M73-SUM(E82:W82))&lt;M73/C71,M73-SUM(E82:W82),M73/C71),0)</f>
        <v>0</v>
      </c>
    </row>
    <row r="83" spans="1:24" ht="25.2" customHeight="1" x14ac:dyDescent="0.25">
      <c r="A83" s="302"/>
      <c r="B83" s="20" t="s">
        <v>276</v>
      </c>
      <c r="C83" s="18"/>
      <c r="D83" s="19">
        <f t="shared" si="9"/>
        <v>0</v>
      </c>
      <c r="E83" s="21"/>
      <c r="F83" s="21"/>
      <c r="G83" s="21"/>
      <c r="H83" s="21"/>
      <c r="I83" s="21"/>
      <c r="J83" s="21"/>
      <c r="K83" s="21"/>
      <c r="L83" s="21"/>
      <c r="M83" s="21"/>
      <c r="N83" s="21">
        <f>O83*(1-N72/12)</f>
        <v>0</v>
      </c>
      <c r="O83" s="21">
        <f>N73/C71</f>
        <v>0</v>
      </c>
      <c r="P83" s="21">
        <f>IF(SUM(E83:O83)&lt;N73,IF((N73-SUM(E83:O83))&lt;N73/C71,N73-SUM(E83:O83),N73/C71),0)</f>
        <v>0</v>
      </c>
      <c r="Q83" s="21">
        <f>IF(SUM(E83:P83)&lt;N73,IF((N73-SUM(E83:P83))&lt;N73/C71,N73-SUM(E83:P83),N73/C71),0)</f>
        <v>0</v>
      </c>
      <c r="R83" s="21">
        <f>IF(SUM(E83:Q83)&lt;N73,IF((N73-SUM(E83:Q83))&lt;N73/C71,N73-SUM(E83:Q83),N73/C71),0)</f>
        <v>0</v>
      </c>
      <c r="S83" s="21">
        <f>IF(SUM(E83:R83)&lt;N73,IF((N73-SUM(E83:R83))&lt;N73/C71,N73-SUM(E83:R83),N73/C71),0)</f>
        <v>0</v>
      </c>
      <c r="T83" s="21">
        <f>IF(SUM(E83:S83)&lt;N73,IF((N73-SUM(E83:S83))&lt;N73/C71,N73-SUM(E83:S83),N73/C71),0)</f>
        <v>0</v>
      </c>
      <c r="U83" s="21">
        <f>IF(SUM(E83:T83)&lt;N73,IF((N73-SUM(E83:T83))&lt;N73/C71,N73-SUM(E83:T83),N73/C71),0)</f>
        <v>0</v>
      </c>
      <c r="V83" s="21">
        <f>IF(SUM(E83:U83)&lt;N73,IF((N73-SUM(E83:U83))&lt;N73/C71,N73-SUM(E83:U83),N73/C71),0)</f>
        <v>0</v>
      </c>
      <c r="W83" s="21">
        <f>IF(SUM(E83:V83)&lt;N73,IF((N73-SUM(E83:V83))&lt;N73/C71,N73-SUM(E83:V83),N73/C71),0)</f>
        <v>0</v>
      </c>
      <c r="X83" s="30">
        <f>IF(SUM(E83:W83)&lt;N73,IF((N73-SUM(E83:W83))&lt;N73/C71,N73-SUM(E83:W83),N73/C71),0)</f>
        <v>0</v>
      </c>
    </row>
    <row r="84" spans="1:24" ht="25.2" customHeight="1" x14ac:dyDescent="0.25">
      <c r="A84" s="303"/>
      <c r="B84" s="23" t="s">
        <v>277</v>
      </c>
      <c r="C84" s="31"/>
      <c r="D84" s="32">
        <f t="shared" si="9"/>
        <v>0</v>
      </c>
      <c r="E84" s="33"/>
      <c r="F84" s="33"/>
      <c r="G84" s="33"/>
      <c r="H84" s="33"/>
      <c r="I84" s="33"/>
      <c r="J84" s="33"/>
      <c r="K84" s="33"/>
      <c r="L84" s="33"/>
      <c r="M84" s="33"/>
      <c r="N84" s="33"/>
      <c r="O84" s="33">
        <f>P84*(1-O72/12)</f>
        <v>0</v>
      </c>
      <c r="P84" s="33">
        <f>O73/C71</f>
        <v>0</v>
      </c>
      <c r="Q84" s="33">
        <f>IF(SUM(E84:P84)&lt;O73,IF((O73-SUM(E84:P84))&lt;O73/C71,O73-SUM(E84:P84),O73/C71),0)</f>
        <v>0</v>
      </c>
      <c r="R84" s="33">
        <f>IF(SUM(E84:Q84)&lt;O73,IF((O73-SUM(E84:Q84))&lt;O73/C71,O73-SUM(E84:Q84),O73/C71),0)</f>
        <v>0</v>
      </c>
      <c r="S84" s="33">
        <f>IF(SUM(E84:R84)&lt;O73,IF((O73-SUM(E84:R84))&lt;O73/C71,O73-SUM(E84:R84),O73/C71),0)</f>
        <v>0</v>
      </c>
      <c r="T84" s="33">
        <f>IF(SUM(E84:S84)&lt;O73,IF((O73-SUM(E84:S84))&lt;O73/C71,O73-SUM(E84:S84),O73/C71),0)</f>
        <v>0</v>
      </c>
      <c r="U84" s="33">
        <f>IF(SUM(E84:T84)&lt;O73,IF((O73-SUM(E84:T84))&lt;O73/C71,O73-SUM(E84:T84),O73/C71),0)</f>
        <v>0</v>
      </c>
      <c r="V84" s="33">
        <f>IF(SUM(E84:U84)&lt;O73,IF((O73-SUM(E84:U84))&lt;O73/C71,O73-SUM(E84:U84),O73/C71),0)</f>
        <v>0</v>
      </c>
      <c r="W84" s="33">
        <f>IF(SUM(E84:V84)&lt;O73,IF((O73-SUM(E84:V84))&lt;O73/C71,O73-SUM(E84:V84),O73/C71),0)</f>
        <v>0</v>
      </c>
      <c r="X84" s="37">
        <f>IF(SUM(E84:W84)&lt;O73,IF((O73-SUM(E84:W84))&lt;O73/C71,O73-SUM(E84:W84),O73/C71),0)</f>
        <v>0</v>
      </c>
    </row>
    <row r="86" spans="1:24" ht="25.2" customHeight="1" x14ac:dyDescent="0.25">
      <c r="A86" s="294" t="s">
        <v>288</v>
      </c>
      <c r="B86" s="294"/>
      <c r="C86" s="294"/>
      <c r="D86" s="34" t="s">
        <v>212</v>
      </c>
      <c r="E86" s="34" t="s">
        <v>289</v>
      </c>
      <c r="F86" s="34" t="s">
        <v>290</v>
      </c>
      <c r="G86" s="34" t="s">
        <v>291</v>
      </c>
      <c r="H86" s="34" t="s">
        <v>292</v>
      </c>
      <c r="I86" s="34" t="s">
        <v>293</v>
      </c>
      <c r="J86" s="34" t="s">
        <v>294</v>
      </c>
      <c r="K86" s="34" t="s">
        <v>295</v>
      </c>
      <c r="L86" s="34" t="s">
        <v>296</v>
      </c>
      <c r="M86" s="34" t="s">
        <v>297</v>
      </c>
      <c r="N86" s="34" t="s">
        <v>298</v>
      </c>
      <c r="O86" s="34"/>
      <c r="P86" s="34"/>
      <c r="Q86" s="34"/>
      <c r="R86" s="34"/>
      <c r="S86" s="34"/>
      <c r="T86" s="34"/>
      <c r="U86" s="34"/>
      <c r="V86" s="34"/>
      <c r="W86" s="34"/>
      <c r="X86" s="34"/>
    </row>
    <row r="87" spans="1:24" ht="38.4" customHeight="1" x14ac:dyDescent="0.25">
      <c r="A87" s="295" t="s">
        <v>299</v>
      </c>
      <c r="B87" s="296"/>
      <c r="C87" s="297"/>
      <c r="D87" s="35">
        <f t="shared" ref="D87:N87" si="11">D9+D25+D41+D57+D73</f>
        <v>0</v>
      </c>
      <c r="E87" s="35">
        <f t="shared" si="11"/>
        <v>0</v>
      </c>
      <c r="F87" s="35">
        <f t="shared" si="11"/>
        <v>0</v>
      </c>
      <c r="G87" s="35">
        <f t="shared" si="11"/>
        <v>0</v>
      </c>
      <c r="H87" s="35">
        <f t="shared" si="11"/>
        <v>0</v>
      </c>
      <c r="I87" s="35">
        <f t="shared" si="11"/>
        <v>0</v>
      </c>
      <c r="J87" s="35">
        <f t="shared" si="11"/>
        <v>0</v>
      </c>
      <c r="K87" s="35">
        <f t="shared" si="11"/>
        <v>0</v>
      </c>
      <c r="L87" s="35">
        <f t="shared" si="11"/>
        <v>0</v>
      </c>
      <c r="M87" s="35">
        <f t="shared" si="11"/>
        <v>0</v>
      </c>
      <c r="N87" s="35">
        <f t="shared" si="11"/>
        <v>0</v>
      </c>
      <c r="O87" s="35"/>
      <c r="P87" s="35"/>
      <c r="Q87" s="35"/>
      <c r="R87" s="35"/>
      <c r="S87" s="35"/>
      <c r="T87" s="35"/>
      <c r="U87" s="35"/>
      <c r="V87" s="35"/>
      <c r="W87" s="35"/>
      <c r="X87" s="35"/>
    </row>
    <row r="88" spans="1:24" ht="38.4" customHeight="1" x14ac:dyDescent="0.25">
      <c r="A88" s="295" t="s">
        <v>300</v>
      </c>
      <c r="B88" s="296"/>
      <c r="C88" s="297"/>
      <c r="D88" s="35">
        <f>SUM([1]数据明细表!F40:F50)</f>
        <v>20</v>
      </c>
      <c r="E88" s="35">
        <f>SUM([1]数据明细表!H40:H50)</f>
        <v>20</v>
      </c>
      <c r="F88" s="35">
        <f>SUM([1]数据明细表!I40:I50)</f>
        <v>0</v>
      </c>
      <c r="G88" s="35">
        <f>SUM([1]数据明细表!J40:J50)</f>
        <v>0</v>
      </c>
      <c r="H88" s="35">
        <f>SUM([1]数据明细表!K40:K50)</f>
        <v>0</v>
      </c>
      <c r="I88" s="35">
        <f>SUM([1]数据明细表!L40:L50)</f>
        <v>0</v>
      </c>
      <c r="J88" s="35">
        <f>SUM([1]数据明细表!M40:M50)</f>
        <v>0</v>
      </c>
      <c r="K88" s="35">
        <f>SUM([1]数据明细表!N40:N50)</f>
        <v>0</v>
      </c>
      <c r="L88" s="35">
        <f>SUM([1]数据明细表!O40:O50)</f>
        <v>0</v>
      </c>
      <c r="M88" s="35">
        <f>SUM([1]数据明细表!P40:P50)</f>
        <v>0</v>
      </c>
      <c r="N88" s="35">
        <f>SUM([1]数据明细表!Q40:Q50)</f>
        <v>0</v>
      </c>
      <c r="O88" s="35"/>
      <c r="P88" s="35"/>
      <c r="Q88" s="35"/>
      <c r="R88" s="35"/>
      <c r="S88" s="35"/>
      <c r="T88" s="35"/>
      <c r="U88" s="35"/>
      <c r="V88" s="35"/>
      <c r="W88" s="35"/>
      <c r="X88" s="35"/>
    </row>
    <row r="89" spans="1:24" ht="38.4" customHeight="1" x14ac:dyDescent="0.25">
      <c r="A89" s="298" t="s">
        <v>301</v>
      </c>
      <c r="B89" s="299"/>
      <c r="C89" s="300"/>
      <c r="D89" s="35">
        <f t="shared" ref="D89:N89" si="12">D87-D88</f>
        <v>-20</v>
      </c>
      <c r="E89" s="35">
        <f t="shared" si="12"/>
        <v>-20</v>
      </c>
      <c r="F89" s="35">
        <f t="shared" si="12"/>
        <v>0</v>
      </c>
      <c r="G89" s="35">
        <f t="shared" si="12"/>
        <v>0</v>
      </c>
      <c r="H89" s="35">
        <f t="shared" si="12"/>
        <v>0</v>
      </c>
      <c r="I89" s="35">
        <f t="shared" si="12"/>
        <v>0</v>
      </c>
      <c r="J89" s="35">
        <f t="shared" si="12"/>
        <v>0</v>
      </c>
      <c r="K89" s="35">
        <f t="shared" si="12"/>
        <v>0</v>
      </c>
      <c r="L89" s="35">
        <f t="shared" si="12"/>
        <v>0</v>
      </c>
      <c r="M89" s="35">
        <f t="shared" si="12"/>
        <v>0</v>
      </c>
      <c r="N89" s="35">
        <f t="shared" si="12"/>
        <v>0</v>
      </c>
      <c r="O89" s="35"/>
      <c r="P89" s="35"/>
      <c r="Q89" s="35"/>
      <c r="R89" s="35"/>
      <c r="S89" s="35"/>
      <c r="T89" s="35"/>
      <c r="U89" s="35"/>
      <c r="V89" s="35"/>
      <c r="W89" s="35"/>
      <c r="X89" s="35"/>
    </row>
    <row r="90" spans="1:24" ht="25.2" customHeight="1" x14ac:dyDescent="0.25">
      <c r="A90" s="36" t="s">
        <v>302</v>
      </c>
    </row>
  </sheetData>
  <mergeCells count="15">
    <mergeCell ref="A86:C86"/>
    <mergeCell ref="A87:C87"/>
    <mergeCell ref="A88:C88"/>
    <mergeCell ref="A89:C89"/>
    <mergeCell ref="A4:A84"/>
    <mergeCell ref="D39:X39"/>
    <mergeCell ref="B53:X53"/>
    <mergeCell ref="D55:X55"/>
    <mergeCell ref="B69:X69"/>
    <mergeCell ref="D71:X71"/>
    <mergeCell ref="A1:X1"/>
    <mergeCell ref="A2:B2"/>
    <mergeCell ref="A3:C3"/>
    <mergeCell ref="D7:X7"/>
    <mergeCell ref="D23:X23"/>
  </mergeCells>
  <phoneticPr fontId="45"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2</vt:i4>
      </vt:variant>
    </vt:vector>
  </HeadingPairs>
  <TitlesOfParts>
    <vt:vector size="9" baseType="lpstr">
      <vt:lpstr>模型说明</vt:lpstr>
      <vt:lpstr>综合评估表</vt:lpstr>
      <vt:lpstr>收入支出明细表（基础数据表）</vt:lpstr>
      <vt:lpstr>收入支出明细表（含税）</vt:lpstr>
      <vt:lpstr>收入支出明细表（不含税)</vt:lpstr>
      <vt:lpstr>现金流量明细表</vt:lpstr>
      <vt:lpstr>折旧及摊销辅助明细表</vt:lpstr>
      <vt:lpstr>现金流量明细表!Print_Area</vt:lpstr>
      <vt:lpstr>综合评估表!Print_Area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Wayne W</cp:lastModifiedBy>
  <dcterms:created xsi:type="dcterms:W3CDTF">2006-09-13T11:21:00Z</dcterms:created>
  <dcterms:modified xsi:type="dcterms:W3CDTF">2024-10-14T12:03:17Z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ICV">
    <vt:lpwstr>E1507A9FF8B94C079474BB27B8657B41</vt:lpwstr>
  </property>
  <property fmtid="{D5CDD505-2E9C-101B-9397-08002B2CF9AE}" pid="5" name="KSOProductBuildVer">
    <vt:lpwstr>2052-11.8.2.11716</vt:lpwstr>
  </property>
</Properties>
</file>