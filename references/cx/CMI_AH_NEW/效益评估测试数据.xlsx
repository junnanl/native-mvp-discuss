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7.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模型说明" sheetId="1" r:id="rId1"/>
    <sheet name="综合评估表" sheetId="2" r:id="rId2"/>
    <sheet name="收入支出明细表（基础数据表）" sheetId="3" r:id="rId3"/>
    <sheet name="收入支出明细表（含税）" sheetId="4" r:id="rId4"/>
    <sheet name="收入支出明细表（不含税)" sheetId="5" r:id="rId5"/>
    <sheet name="现金流量明细表" sheetId="6" r:id="rId6"/>
    <sheet name="折旧及摊销辅助明细表" sheetId="7" r:id="rId7" state="hidden"/>
  </sheets>
  <definedNames>
    <definedName name="_xlnm._FilterDatabase" localSheetId="4" hidden="1">'收入支出明细表（不含税)'!A2:X84</definedName>
    <definedName name="_xlnm._FilterDatabase" localSheetId="3" hidden="1">'收入支出明细表（含税）'!A2:X223</definedName>
    <definedName name="_xlnm._FilterDatabase" localSheetId="2" hidden="1">'收入支出明细表（基础数据表）'!$A$2:$AL$223</definedName>
    <definedName name="_xlnm.Print_Area" localSheetId="5">现金流量明细表!$A$1:$Q$40</definedName>
    <definedName name="_xlnm.Print_Area" localSheetId="1">综合评估表!$A$1:$G$31</definedName>
  </definedNames>
</workbook>
</file>

<file path=xl/comments7.xml><?xml version="1.0" encoding="utf-8"?>
<comments xmlns="http://schemas.openxmlformats.org/spreadsheetml/2006/main">
  <authors>
    <author>weiqianyun</author>
  </authors>
  <commentList>
    <comment ref="B4" authorId="0">
      <text>
        <t xml:space="preserve">weiqianyun:
模型保存时，设置检验关系，总投资各年折旧及摊销合计应与收入支出明细表中IT类投资不含税合计与CT类投资不含税合计相等</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3">
    <numFmt numFmtId="41" formatCode="_ * #,##0_ ;_ * \-#,##0_ ;_ * &quot;-&quot;_ ;_ @_ "/>
    <numFmt numFmtId="43" formatCode="_ * #,##0.00_ ;_ * \-#,##0.00_ ;_ * &quot;-&quot;??_ ;_ @_ "/>
    <numFmt numFmtId="56" formatCode="&quot;上午/下午 &quot;hh&quot;時&quot;mm&quot;分&quot;ss&quot;秒 &quot;"/>
    <numFmt numFmtId="178" formatCode="0_);[Red]\(0\)"/>
    <numFmt numFmtId="179" formatCode="#,##0.0_ "/>
    <numFmt numFmtId="180" formatCode="0.0_ "/>
    <numFmt numFmtId="181" formatCode="0_ "/>
    <numFmt numFmtId="182" formatCode="0.0%"/>
    <numFmt numFmtId="183" formatCode="0.00_ "/>
    <numFmt numFmtId="184" formatCode="_ * #,##0_ ;_ * \-#,##0_ ;_ * &quot;-&quot;??_ ;_ @_ "/>
    <numFmt numFmtId="185" formatCode="_ * #,##0.0_ ;_ * \-#,##0.0_ ;_ * &quot;-&quot;??_ ;_ @_ "/>
    <numFmt numFmtId="186" formatCode="#,##0.00_ "/>
    <numFmt numFmtId="187" formatCode="\¥#,##0.00;[Red]\¥\-#,##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dimension ref="A1:A12"/>
  <sheetViews>
    <sheetView workbookViewId="0" rightToLeft="0"/>
  </sheetViews>
  <sheetData>
    <row r="1">
      <c r="A1" t="str">
        <v>模型说明（2023年8月）</v>
      </c>
    </row>
    <row r="2">
      <c r="A2" t="str">
        <v>一、模型构成</v>
      </c>
    </row>
    <row r="3">
      <c r="A3" t="str">
        <v>（一）ICT项目效益评估模型由“综合评估表”“收入支出明细表（基础数据表）”“收入支出明细表（含税）”“收入支出明细表（不含税）”“现金流量明细表”构成。</v>
      </c>
    </row>
    <row r="4">
      <c r="A4" t="str">
        <v>（二）“综合评估表”是ICT项目综合效益的最终评估结果展示表，包括“基础信息表”“财务价值评估”与“业务价值评估”三部分。其中，“财务价值评估”的指标值从“收入支出明细表（基础数据表）”“收入支出明细表（含税）”“收入支出明细表（不含税）”“现金流量明细表”中直接运算提取，“业务价值评估”的指标值需要手工填写。</v>
      </c>
    </row>
    <row r="5">
      <c r="A5" t="str">
        <v>（三）“收入支出明细表（基础数据表）”：根据会计核算规范，填写预计入账的收入、支出数据，收入、付款进度即现金流入、流出情况，填写完成后，可自动生成“收入支出明细表（含税）”“收入支出明细表（不含税）”“现金流量表”三张表。</v>
      </c>
    </row>
    <row r="6">
      <c r="A6" t="str">
        <v>（四）“收入支出明细表（基础数据表）”中含税收支与现金流入流出存在校验关系。其中含税收入合计应等于现金流入合计，含税支出合计应等于现金流出合计。</v>
      </c>
    </row>
    <row r="7">
      <c r="A7" t="str">
        <v>二、适用范围</v>
      </c>
    </row>
    <row r="8">
      <c r="A8" t="str">
        <v xml:space="preserve">  本模型既适用于“售前阶段”的项目价值前评估，也可用于“售中阶段”的项目效益过程评估及“售后阶段”的项目效益后评估。</v>
      </c>
    </row>
    <row r="9">
      <c r="A9" t="str">
        <v>三、填表说明</v>
      </c>
    </row>
    <row r="10">
      <c r="A10" t="str">
        <v>（一）在“收入支出明细表（基础数据表）”的黄色底纹“手工输入区”据实填写项目信息与原始测算数据，“收入支出明细表（含税）”“收入支出明细表（不含税）”“现金流量明细表”“综合评估表””将自动计算产出财务价值评价指标的结果。</v>
      </c>
    </row>
    <row r="11">
      <c r="A11" t="str">
        <v>（二）在“综合评估表”的“业务价值评估”中填写业务价值评估指标的达成情况描述，产出完整的综合效益评估结果。</v>
      </c>
    </row>
    <row r="12">
      <c r="A12" t="str">
        <v>（三）本模型财务指标值在某些特殊场景下可能无法计算，如有特殊情况，需结合项目实际情况进行手工调整。</v>
      </c>
    </row>
  </sheetData>
  <pageMargins left="0.7" right="0.7" top="0.75" bottom="0.75" header="0.3" footer="0.3"/>
  <ignoredErrors>
    <ignoredError numberStoredAsText="1" sqref="A1:A12"/>
  </ignoredErrors>
</worksheet>
</file>

<file path=xl/worksheets/sheet2.xml><?xml version="1.0" encoding="utf-8"?>
<worksheet xmlns="http://schemas.openxmlformats.org/spreadsheetml/2006/main" xmlns:r="http://schemas.openxmlformats.org/officeDocument/2006/relationships">
  <dimension ref="A1:P31"/>
  <sheetViews>
    <sheetView workbookViewId="0" rightToLeft="0"/>
  </sheetViews>
  <sheetData>
    <row r="1">
      <c r="A1" t="str">
        <v>ICT项目综合评估表</v>
      </c>
    </row>
    <row r="4">
      <c r="B4" t="str">
        <v>基础信息表</v>
      </c>
    </row>
    <row r="5">
      <c r="B5" t="str">
        <v>项目名称</v>
      </c>
      <c r="D5" t="str">
        <v>项目承建单位</v>
      </c>
      <c r="F5" t="str">
        <v>项目需求单位</v>
      </c>
    </row>
    <row r="6">
      <c r="B6" t="str">
        <v>项目模式（IT服务）</v>
      </c>
      <c r="D6" t="str">
        <v>项目模式（IT设备）（可多选）</v>
      </c>
      <c r="F6" t="str">
        <v>资产权属（可多选）</v>
      </c>
    </row>
    <row r="7">
      <c r="B7" t="str">
        <v>合作年限</v>
      </c>
      <c r="C7">
        <v>5</v>
      </c>
      <c r="D7" t="str">
        <v>是否涉及固定资产投资</v>
      </c>
      <c r="F7" t="str">
        <v>是否为续建项目</v>
      </c>
    </row>
    <row r="10">
      <c r="B10" t="str">
        <v>财务价值评估表</v>
      </c>
    </row>
    <row r="11">
      <c r="B11" t="str">
        <v>评价指标</v>
      </c>
      <c r="C11" t="str">
        <v>指标值</v>
      </c>
      <c r="D11" t="str">
        <v>指标类型</v>
      </c>
      <c r="E11" t="str">
        <v>指标说明</v>
      </c>
      <c r="G11" t="str">
        <v>参考值</v>
      </c>
    </row>
    <row r="12">
      <c r="B12" t="str">
        <v>净现值</v>
      </c>
      <c r="C12">
        <f>现金流量明细表!C22</f>
        <v>0</v>
      </c>
      <c r="D12" t="str">
        <v>基础指标</v>
      </c>
      <c r="E12" t="str">
        <v>净现值指建设期及生产期各年净现金流量现值合计值，如果净现值为正，说明投资报酬率大于资本成本，该项目可以增加企业价值，反之则可能降低企业价值。</v>
      </c>
      <c r="G12" t="str">
        <v>项目净现值要求应大于0</v>
      </c>
    </row>
    <row r="13">
      <c r="B13" t="str">
        <v>净现值率</v>
      </c>
      <c r="C13" t="e">
        <f>现金流量明细表!C24/现金流量明细表!C20</f>
        <v>#DIV/0!</v>
      </c>
      <c r="D13" t="str">
        <v>基础指标</v>
      </c>
      <c r="E13" t="str">
        <v>净现值率指项目净现值与原始投入现值的比率，等于累计净现值/项目总投入现值*100%，单位投资现值所能带来的财务净现，财务净现值率约高，表明投资的单位效率越高。</v>
      </c>
      <c r="G13" t="str">
        <v>项目财务净现值率要求应大于0</v>
      </c>
    </row>
    <row r="14">
      <c r="B14" t="str">
        <v>内部收益率</v>
      </c>
      <c r="C14" t="e">
        <f>IRR(现金流量明细表!D10:O10)</f>
        <v>#NUM!</v>
      </c>
      <c r="D14" t="str">
        <v>基础指标</v>
      </c>
      <c r="E14" t="str">
        <v>内部收益率又称内含报酬率，指资金流入现值总额与资金流出现值总额相等、净现值等于零时的折现率。如果内含报酬率高于资本成本，该项目可以为企业带来经济效益，反之则可能为企业带来亏损。</v>
      </c>
      <c r="G14" t="str">
        <v>项目内部收益率要求原则上不应低于8%</v>
      </c>
      <c r="I14" t="str">
        <v>第一层找0对应的年份减1</v>
      </c>
      <c r="J14" t="str">
        <v>第二层找（0对应的年份减1）对应的累计现值的绝对值</v>
      </c>
      <c r="K14" t="str">
        <v>第三层找0对应的当年的值</v>
      </c>
      <c r="L14" t="str">
        <v>公式</v>
      </c>
    </row>
    <row r="15" xml:space="preserve">
      <c r="B15" t="str">
        <v>动态回收期</v>
      </c>
      <c r="C15" t="e">
        <f>(HLOOKUP(0,现金流量明细表!$16:$28,ROW(现金流量明细表!E18)-ROW(现金流量明细表!E16)+1,FALSE)-1)+ABS(HLOOKUP((HLOOKUP(0,现金流量明细表!$16:$28,ROW(现金流量明细表!E18)-ROW(现金流量明细表!E16)+1,FALSE)-1),现金流量明细表!$18:$28,ROW(现金流量明细表!D24)-ROW(现金流量明细表!D18)+1,FALSE))/(HLOOKUP(0,现金流量明细表!$16:$28,ROW(现金流量明细表!D22)-ROW(现金流量明细表!E16)+1,FALSE))</f>
        <v>#N/A</v>
      </c>
      <c r="D15" t="str">
        <v>基础指标</v>
      </c>
      <c r="E15" t="str" xml:space="preserve">
        <v xml:space="preserve">动态回收期指考虑资金的时间价值时收回初始投资所需的时间，回收年限越短，对项目而言越有利。_x000d_
动态回收期=（累计净现金流量现值出现正值的年数-1）+上一年累计净现金流量现值的绝对值/出现正值年份净现金流量的现值。</v>
      </c>
      <c r="G15" t="str">
        <v>考虑资金时间价值时收回初始投资需要的时间。动态投资回收期应不高于5年（一般3年，且不超过项目合同期限）</v>
      </c>
      <c r="I15" t="e">
        <f>(HLOOKUP(0,现金流量明细表!$16:$28,ROW(现金流量明细表!E18)-ROW(现金流量明细表!E16)+1,FALSE)-1)</f>
        <v>#N/A</v>
      </c>
      <c r="J15" t="e">
        <f>ABS(HLOOKUP((HLOOKUP(0,现金流量明细表!$16:$28,ROW(现金流量明细表!E18)-ROW(现金流量明细表!E16)+1,FALSE)-1),现金流量明细表!$18:$28,ROW(现金流量明细表!D24)-ROW(现金流量明细表!D18)+1,FALSE))</f>
        <v>#N/A</v>
      </c>
      <c r="K15" t="e">
        <f>(HLOOKUP(0,现金流量明细表!$16:$28,ROW(现金流量明细表!D22)-ROW(现金流量明细表!E16)+1,FALSE))</f>
        <v>#N/A</v>
      </c>
      <c r="L15" t="e">
        <f>I15+J15/K15</f>
        <v>#N/A</v>
      </c>
    </row>
    <row r="16" xml:space="preserve">
      <c r="B16" t="str">
        <v>静态回收期</v>
      </c>
      <c r="C16" t="e">
        <f>(HLOOKUP(0,现金流量明细表!$17:$28,ROW(现金流量明细表!D18)-ROW(现金流量明细表!D17)+1,FALSE)-1)+ABS(HLOOKUP((HLOOKUP(0,现金流量明细表!$17:$28,ROW(现金流量明细表!E18)-ROW(现金流量明细表!E17)+1,FALSE)-1),现金流量明细表!$18:$28,ROW(现金流量明细表!D23)-ROW(现金流量明细表!D18)+1,FALSE))/(HLOOKUP(0,现金流量明细表!$17:$28,ROW(现金流量明细表!D21)-ROW(现金流量明细表!E17)+1,FALSE))</f>
        <v>#N/A</v>
      </c>
      <c r="D16" t="str">
        <v>基础指标</v>
      </c>
      <c r="E16" t="str" xml:space="preserve">
        <v xml:space="preserve">静态回收期指不考虑资金的时间价值时收回初始投资所需的时间，回收年限越短，对项目而言越有利。_x000d_
静态回收期=（累计净现金流量出现正值的年数-1）+上一年累计净现金流量的绝对值/出现正值年份净现金流量</v>
      </c>
      <c r="G16" t="str">
        <v>不考虑资金时间价值时收回初始投资需要的时间。静态投资回收期应不高于5年（一般3年，且不超过项目合同期限）</v>
      </c>
      <c r="I16" t="e">
        <f>(HLOOKUP(0,现金流量明细表!$17:$28,ROW(现金流量明细表!D18)-ROW(现金流量明细表!D17)+1,FALSE)-1)</f>
        <v>#N/A</v>
      </c>
      <c r="J16" t="e">
        <f>ABS(HLOOKUP((HLOOKUP(0,现金流量明细表!$17:$28,ROW(现金流量明细表!E18)-ROW(现金流量明细表!E17)+1,FALSE)-1),现金流量明细表!$18:$28,ROW(现金流量明细表!D23)-ROW(现金流量明细表!D18)+1,FALSE))</f>
        <v>#N/A</v>
      </c>
      <c r="K16" t="e">
        <f>(HLOOKUP(0,现金流量明细表!$17:$28,ROW(现金流量明细表!D21)-ROW(现金流量明细表!E17)+1,FALSE))</f>
        <v>#N/A</v>
      </c>
      <c r="L16" t="e">
        <f>I16+J16/K16</f>
        <v>#N/A</v>
      </c>
    </row>
    <row r="17">
      <c r="B17" t="str">
        <v>项目整体毛利</v>
      </c>
      <c r="C17">
        <f>('收入支出明细表（基础数据表）'!T3-'收入支出明细表（基础数据表）'!T96-'收入支出明细表（基础数据表）'!T215)</f>
        <v>0</v>
      </c>
      <c r="D17" t="str">
        <v>辅助指标</v>
      </c>
      <c r="E17" t="str">
        <v>利润指项目收入减去项目支出（含成本与投资）后的余额。</v>
      </c>
      <c r="G17" t="str">
        <v>结合实际情况和往年情况确定</v>
      </c>
    </row>
    <row r="18">
      <c r="B18" t="str">
        <v>项目整体利润率</v>
      </c>
      <c r="C18" t="e">
        <f>('收入支出明细表（基础数据表）'!T3-'收入支出明细表（基础数据表）'!T96-'收入支出明细表（基础数据表）'!T215)/'收入支出明细表（基础数据表）'!T3</f>
        <v>#DIV/0!</v>
      </c>
      <c r="D18" t="str">
        <v>辅助指标</v>
      </c>
      <c r="E18" t="str">
        <v>利润指项目收入减去项目支出（含成本与投资）后的余额。利润率是指利润与项目收入的比率。利润率越高，说明项目的盈利能力强。</v>
      </c>
      <c r="G18" t="str">
        <v>结合实际情况和往年情况确定</v>
      </c>
    </row>
    <row r="19">
      <c r="B19" t="str">
        <v>IT部分毛利</v>
      </c>
      <c r="C19">
        <f>('收入支出明细表（基础数据表）'!T6-'收入支出明细表（基础数据表）'!T99-'收入支出明细表（基础数据表）'!T140)</f>
        <v>0</v>
      </c>
      <c r="D19" t="str">
        <v>辅助指标</v>
      </c>
      <c r="E19" t="str">
        <v>IT部分毛利指IT类项目收入减去IT类项目支出（含成本与投资）后的余额。</v>
      </c>
      <c r="G19" t="str">
        <v>结合实际情况和往年情况确定</v>
      </c>
    </row>
    <row r="20">
      <c r="B20" t="str">
        <v>IT部分利润率</v>
      </c>
      <c r="C20" t="e">
        <f>('收入支出明细表（基础数据表）'!T6-'收入支出明细表（基础数据表）'!T99-'收入支出明细表（基础数据表）'!T140)/'收入支出明细表（基础数据表）'!T6</f>
        <v>#DIV/0!</v>
      </c>
      <c r="D20" t="str">
        <v>辅助指标</v>
      </c>
      <c r="E20" t="str">
        <v>IT部分利润指IT类项目收入减去IT类项目支出（含成本与投资）后的余额。利润率是指利润与项目收入的比率。利润率越高，说明项目的盈利能力强。</v>
      </c>
      <c r="G20" t="str">
        <v>结合实际情况和往年情况确定</v>
      </c>
    </row>
    <row r="22">
      <c r="B22" t="str">
        <v>业务价值评估</v>
      </c>
    </row>
    <row r="23">
      <c r="B23" t="str">
        <v>评价指标</v>
      </c>
      <c r="C23" t="str">
        <v>指标说明</v>
      </c>
      <c r="E23" t="str">
        <v>指标达成情况描述</v>
      </c>
    </row>
    <row r="24">
      <c r="B24" t="str">
        <v>客户规模</v>
      </c>
      <c r="C24" t="str">
        <v>主要评价集团客户的级别，规模和影响力。</v>
      </c>
    </row>
    <row r="25">
      <c r="B25" t="str">
        <v>标杆效应及对CT拉动效应分析</v>
      </c>
      <c r="C25" t="str">
        <v>主要考核项目对于行业的影响作用；对CT拉动的影响作用。</v>
      </c>
    </row>
    <row r="26">
      <c r="B26" t="str">
        <v>政府重点建设项目</v>
      </c>
      <c r="C26" t="str">
        <v>主要考核政府对于项目的重视程度。</v>
      </c>
    </row>
    <row r="27">
      <c r="B27" t="str">
        <v>项目可能涉及5G应用场景的复制</v>
      </c>
      <c r="C27" t="str">
        <v>主要评价项目是否涉及5G应用场景，能否复制已有的应用场景，并对5G应用场景有其他方面的扩展。</v>
      </c>
    </row>
    <row r="28">
      <c r="B28" t="str">
        <v>对市场占有率的影响</v>
      </c>
      <c r="C28" t="str">
        <v>主要评价项目投资对于扩大市场占有率和影响力的带动作用。</v>
      </c>
    </row>
    <row r="29">
      <c r="B29" t="str">
        <v>其他业务价值</v>
      </c>
      <c r="C29" t="str">
        <v>如有其他业务价值，可视需求增加，请自行补充。</v>
      </c>
    </row>
  </sheetData>
  <mergeCells count="29">
    <mergeCell ref="A31:G31"/>
    <mergeCell ref="A1:G3"/>
    <mergeCell ref="C27:D27"/>
    <mergeCell ref="E27:G27"/>
    <mergeCell ref="C28:D28"/>
    <mergeCell ref="E28:G28"/>
    <mergeCell ref="C29:D29"/>
    <mergeCell ref="E29:G29"/>
    <mergeCell ref="C24:D24"/>
    <mergeCell ref="E24:G24"/>
    <mergeCell ref="C25:D25"/>
    <mergeCell ref="E25:G25"/>
    <mergeCell ref="C26:D26"/>
    <mergeCell ref="E26:G26"/>
    <mergeCell ref="E19:F19"/>
    <mergeCell ref="E20:F20"/>
    <mergeCell ref="B22:G22"/>
    <mergeCell ref="C23:D23"/>
    <mergeCell ref="E23:G23"/>
    <mergeCell ref="E14:F14"/>
    <mergeCell ref="E15:F15"/>
    <mergeCell ref="E16:F16"/>
    <mergeCell ref="E17:F17"/>
    <mergeCell ref="E18:F18"/>
    <mergeCell ref="B4:G4"/>
    <mergeCell ref="B10:G10"/>
    <mergeCell ref="E11:F11"/>
    <mergeCell ref="E12:F12"/>
    <mergeCell ref="E13:F13"/>
  </mergeCells>
  <pageMargins left="0.708661417322835" right="0.708661417322835" top="0.748031496062992" bottom="0.748031496062992" header="0.31496062992126" footer="0.31496062992126"/>
  <ignoredErrors>
    <ignoredError numberStoredAsText="1" sqref="A1:P31"/>
  </ignoredErrors>
</worksheet>
</file>

<file path=xl/worksheets/sheet3.xml><?xml version="1.0" encoding="utf-8"?>
<worksheet xmlns="http://schemas.openxmlformats.org/spreadsheetml/2006/main" xmlns:r="http://schemas.openxmlformats.org/officeDocument/2006/relationships">
  <dimension ref="A1:AL225"/>
  <sheetViews>
    <sheetView workbookViewId="0" rightToLeft="0"/>
  </sheetViews>
  <sheetData>
    <row r="1">
      <c r="A1" t="str">
        <v>填写方式</v>
      </c>
      <c r="B1" t="str">
        <v>分年填写</v>
      </c>
      <c r="C1" t="str">
        <v/>
      </c>
      <c r="D1" t="str">
        <v>ICT项目收入支出（基础数据表）</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c r="AG1" t="str">
        <v/>
      </c>
      <c r="AH1" t="str">
        <v/>
      </c>
      <c r="AI1" t="str">
        <v/>
      </c>
      <c r="AJ1" t="str">
        <v/>
      </c>
      <c r="AK1" t="str">
        <v/>
      </c>
      <c r="AL1" t="str">
        <v/>
      </c>
    </row>
    <row r="2" xml:space="preserve">
      <c r="A2" t="str">
        <v>分类</v>
      </c>
      <c r="B2" t="str">
        <v/>
      </c>
      <c r="C2" t="str">
        <v/>
      </c>
      <c r="D2" t="str">
        <v/>
      </c>
      <c r="E2" t="str">
        <v>收入/支出具体内容</v>
      </c>
      <c r="F2" t="str">
        <v>增值税率</v>
      </c>
      <c r="G2" t="str">
        <v>金额（含税）</v>
      </c>
      <c r="H2" t="str">
        <v>期初</v>
      </c>
      <c r="I2" t="str">
        <v>第1年</v>
      </c>
      <c r="J2" t="str">
        <v>第2年</v>
      </c>
      <c r="K2" t="str">
        <v>第3年</v>
      </c>
      <c r="L2" t="str">
        <v>第4年</v>
      </c>
      <c r="M2" t="str">
        <v>第5年</v>
      </c>
      <c r="N2" t="str">
        <v>第6年</v>
      </c>
      <c r="O2" t="str">
        <v>第7年</v>
      </c>
      <c r="P2" t="str">
        <v>第8年</v>
      </c>
      <c r="Q2" t="str">
        <v>第9年</v>
      </c>
      <c r="R2" t="str">
        <v>第10年</v>
      </c>
      <c r="S2" t="str">
        <v>...</v>
      </c>
      <c r="T2" t="str">
        <v>金额（不含税）</v>
      </c>
      <c r="U2" t="str" xml:space="preserve">
        <v xml:space="preserve">第0年_x000d_
</v>
      </c>
      <c r="V2" t="str" xml:space="preserve">
        <v xml:space="preserve">第1年_x000d_
</v>
      </c>
      <c r="W2" t="str" xml:space="preserve">
        <v xml:space="preserve">第2年_x000d_
</v>
      </c>
      <c r="X2" t="str" xml:space="preserve">
        <v xml:space="preserve">第3年_x000d_
</v>
      </c>
      <c r="Y2" t="str" xml:space="preserve">
        <v xml:space="preserve">第4年_x000d_
</v>
      </c>
      <c r="Z2" t="str" xml:space="preserve">
        <v xml:space="preserve">第5年_x000d_
</v>
      </c>
      <c r="AA2" t="str" xml:space="preserve">
        <v xml:space="preserve">第6年_x000d_
</v>
      </c>
      <c r="AB2" t="str" xml:space="preserve">
        <v xml:space="preserve">第7年_x000d_
</v>
      </c>
      <c r="AC2" t="str" xml:space="preserve">
        <v xml:space="preserve">第8年_x000d_
</v>
      </c>
      <c r="AD2" t="str" xml:space="preserve">
        <v xml:space="preserve">第9年_x000d_
</v>
      </c>
      <c r="AE2" t="str">
        <v>第10年</v>
      </c>
      <c r="AF2" t="str">
        <v>...</v>
      </c>
      <c r="AG2" t="str">
        <v>指标说明</v>
      </c>
      <c r="AH2" t="str">
        <v/>
      </c>
      <c r="AI2" t="str">
        <v/>
      </c>
      <c r="AJ2" t="str">
        <v/>
      </c>
      <c r="AK2" t="str">
        <v/>
      </c>
      <c r="AL2" t="str">
        <v/>
      </c>
    </row>
    <row r="3">
      <c r="A3" t="str">
        <v>收入</v>
      </c>
      <c r="B3" t="str">
        <v>项目收入合计</v>
      </c>
      <c r="C3" t="str">
        <v/>
      </c>
      <c r="D3" t="str">
        <v>收入</v>
      </c>
      <c r="E3" t="str">
        <v/>
      </c>
      <c r="F3" t="str">
        <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t="str">
        <v/>
      </c>
      <c r="AH3" t="str">
        <v/>
      </c>
      <c r="AI3" t="str">
        <v/>
      </c>
      <c r="AJ3" t="str">
        <v/>
      </c>
      <c r="AK3" t="str">
        <v/>
      </c>
      <c r="AL3" t="str">
        <v/>
      </c>
    </row>
    <row r="4">
      <c r="A4" t="str">
        <v/>
      </c>
      <c r="B4" t="str">
        <v/>
      </c>
      <c r="C4" t="str">
        <v/>
      </c>
      <c r="D4" t="str">
        <v>收款进度-金额</v>
      </c>
      <c r="E4" t="str">
        <v/>
      </c>
      <c r="F4" t="str">
        <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t="str">
        <v/>
      </c>
      <c r="AH4" t="str">
        <v/>
      </c>
      <c r="AI4" t="str">
        <v/>
      </c>
      <c r="AJ4" t="str">
        <v/>
      </c>
      <c r="AK4" t="str">
        <v/>
      </c>
      <c r="AL4" t="str">
        <v/>
      </c>
    </row>
    <row r="5">
      <c r="A5" t="str">
        <v/>
      </c>
      <c r="B5" t="str">
        <v/>
      </c>
      <c r="C5" t="str">
        <v/>
      </c>
      <c r="D5" t="str">
        <v>收款进度-比例</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row>
    <row r="6">
      <c r="A6" t="str">
        <v/>
      </c>
      <c r="B6" t="str">
        <v>IT类收入</v>
      </c>
      <c r="C6" t="str">
        <v>IT类收入合计</v>
      </c>
      <c r="D6" t="str">
        <v>收入</v>
      </c>
      <c r="E6" t="str">
        <v/>
      </c>
      <c r="F6" t="str">
        <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t="str">
        <v/>
      </c>
      <c r="AH6" t="str">
        <v/>
      </c>
      <c r="AI6" t="str">
        <v/>
      </c>
      <c r="AJ6" t="str">
        <v/>
      </c>
      <c r="AK6" t="str">
        <v/>
      </c>
      <c r="AL6" t="str">
        <v/>
      </c>
    </row>
    <row r="7">
      <c r="A7" t="str">
        <v/>
      </c>
      <c r="B7" t="str">
        <v/>
      </c>
      <c r="C7" t="str">
        <v/>
      </c>
      <c r="D7" t="str">
        <v>收款进度-金额</v>
      </c>
      <c r="E7" t="str">
        <v/>
      </c>
      <c r="F7" t="str">
        <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t="str">
        <v/>
      </c>
      <c r="AH7" t="str">
        <v/>
      </c>
      <c r="AI7" t="str">
        <v/>
      </c>
      <c r="AJ7" t="str">
        <v/>
      </c>
      <c r="AK7" t="str">
        <v/>
      </c>
      <c r="AL7" t="str">
        <v/>
      </c>
    </row>
    <row r="8">
      <c r="A8" t="str">
        <v/>
      </c>
      <c r="B8" t="str">
        <v/>
      </c>
      <c r="C8" t="str">
        <v/>
      </c>
      <c r="D8" t="str">
        <v>收款进度-比例</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c r="AG8" t="str">
        <v/>
      </c>
      <c r="AH8" t="str">
        <v/>
      </c>
      <c r="AI8" t="str">
        <v/>
      </c>
      <c r="AJ8" t="str">
        <v/>
      </c>
      <c r="AK8" t="str">
        <v/>
      </c>
      <c r="AL8" t="str">
        <v/>
      </c>
    </row>
    <row r="9">
      <c r="A9" t="str">
        <v/>
      </c>
      <c r="B9" t="str">
        <v/>
      </c>
      <c r="C9" t="str">
        <v>1、通信及信息服务收入合计</v>
      </c>
      <c r="D9" t="str">
        <v>收入</v>
      </c>
      <c r="E9" t="str">
        <v/>
      </c>
      <c r="F9">
        <v>0.06</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tr">
        <v/>
      </c>
      <c r="AH9" t="str">
        <v/>
      </c>
      <c r="AI9" t="str">
        <v/>
      </c>
      <c r="AJ9" t="str">
        <v/>
      </c>
      <c r="AK9" t="str">
        <v/>
      </c>
      <c r="AL9" t="str">
        <v/>
      </c>
    </row>
    <row r="10">
      <c r="A10" t="str">
        <v/>
      </c>
      <c r="B10" t="str">
        <v/>
      </c>
      <c r="C10" t="str">
        <v/>
      </c>
      <c r="D10" t="str">
        <v>收款进度-金额</v>
      </c>
      <c r="E10" t="str">
        <v/>
      </c>
      <c r="F10" t="str">
        <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t="str">
        <v/>
      </c>
      <c r="AH10" t="str">
        <v/>
      </c>
      <c r="AI10" t="str">
        <v/>
      </c>
      <c r="AJ10" t="str">
        <v/>
      </c>
      <c r="AK10" t="str">
        <v/>
      </c>
      <c r="AL10" t="str">
        <v/>
      </c>
    </row>
    <row r="11">
      <c r="A11" t="str">
        <v/>
      </c>
      <c r="B11" t="str">
        <v/>
      </c>
      <c r="C11" t="str">
        <v/>
      </c>
      <c r="D11" t="str">
        <v>收款进度-比例</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c r="AG11" t="str">
        <v/>
      </c>
      <c r="AH11" t="str">
        <v/>
      </c>
      <c r="AI11" t="str">
        <v/>
      </c>
      <c r="AJ11" t="str">
        <v/>
      </c>
      <c r="AK11" t="str">
        <v/>
      </c>
      <c r="AL11" t="str">
        <v/>
      </c>
    </row>
    <row r="12">
      <c r="A12" t="str">
        <v/>
      </c>
      <c r="B12" t="str">
        <v/>
      </c>
      <c r="C12" t="str">
        <v>1-1 集成收入-信息服务</v>
      </c>
      <c r="D12" t="str">
        <v>收入</v>
      </c>
      <c r="E12" t="str">
        <v/>
      </c>
      <c r="F12">
        <v>0.06</v>
      </c>
      <c r="G12">
        <v>450000</v>
      </c>
      <c r="H12" t="str">
        <v/>
      </c>
      <c r="I12">
        <v>120000</v>
      </c>
      <c r="J12">
        <v>150000</v>
      </c>
      <c r="K12">
        <v>180000</v>
      </c>
      <c r="L12" t="str">
        <v/>
      </c>
      <c r="M12" t="str">
        <v/>
      </c>
      <c r="N12" t="str">
        <v/>
      </c>
      <c r="O12" t="str">
        <v/>
      </c>
      <c r="P12" t="str">
        <v/>
      </c>
      <c r="Q12" t="str">
        <v/>
      </c>
      <c r="R12" t="str">
        <v/>
      </c>
      <c r="S12" t="str">
        <v/>
      </c>
      <c r="T12">
        <v>0</v>
      </c>
      <c r="U12">
        <v>0</v>
      </c>
      <c r="V12">
        <v>0</v>
      </c>
      <c r="W12">
        <v>0</v>
      </c>
      <c r="X12">
        <v>0</v>
      </c>
      <c r="Y12">
        <v>0</v>
      </c>
      <c r="Z12">
        <v>0</v>
      </c>
      <c r="AA12">
        <v>0</v>
      </c>
      <c r="AB12">
        <v>0</v>
      </c>
      <c r="AC12">
        <v>0</v>
      </c>
      <c r="AD12">
        <v>0</v>
      </c>
      <c r="AE12">
        <v>0</v>
      </c>
      <c r="AF12">
        <v>0</v>
      </c>
      <c r="AG12" t="str">
        <v>根据客户的需求，将硬件、网络、数据库及相应的应用软件进行优化整合，提供全面系统解决方案而向客户收取的系统集成费，主要包括项目集成方案的咨询、设计、软硬件安装、通信工程服务、调测开通等项目实施服务费，为一次性费用。</v>
      </c>
      <c r="AH12" t="str">
        <v/>
      </c>
      <c r="AI12" t="str">
        <v/>
      </c>
      <c r="AJ12" t="str">
        <v/>
      </c>
      <c r="AK12" t="str">
        <v/>
      </c>
      <c r="AL12" t="str">
        <v/>
      </c>
    </row>
    <row r="13">
      <c r="A13" t="str">
        <v/>
      </c>
      <c r="B13" t="str">
        <v/>
      </c>
      <c r="C13" t="str">
        <v/>
      </c>
      <c r="D13" t="str">
        <v>收款进度-金额</v>
      </c>
      <c r="E13" t="str">
        <v/>
      </c>
      <c r="F13" t="str">
        <v/>
      </c>
      <c r="G13">
        <v>0</v>
      </c>
      <c r="H13" t="str">
        <v/>
      </c>
      <c r="I13">
        <v>120000</v>
      </c>
      <c r="J13">
        <v>150000</v>
      </c>
      <c r="K13">
        <v>180000</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c>
      <c r="AJ13" t="str">
        <v/>
      </c>
      <c r="AK13" t="str">
        <v/>
      </c>
      <c r="AL13" t="str">
        <v/>
      </c>
    </row>
    <row r="14">
      <c r="A14" t="str">
        <v/>
      </c>
      <c r="B14" t="str">
        <v/>
      </c>
      <c r="C14" t="str">
        <v/>
      </c>
      <c r="D14" t="str">
        <v>收款进度-比例</v>
      </c>
      <c r="E14" t="str">
        <v/>
      </c>
      <c r="F14" t="str">
        <v/>
      </c>
      <c r="G14" t="str">
        <v/>
      </c>
      <c r="H14" t="str">
        <v/>
      </c>
      <c r="I14">
        <v>1</v>
      </c>
      <c r="J14">
        <v>1</v>
      </c>
      <c r="K14">
        <v>1</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c r="AG14" t="str">
        <v/>
      </c>
      <c r="AH14" t="str">
        <v/>
      </c>
      <c r="AI14" t="str">
        <v/>
      </c>
      <c r="AJ14" t="str">
        <v/>
      </c>
      <c r="AK14" t="str">
        <v/>
      </c>
      <c r="AL14" t="str">
        <v/>
      </c>
    </row>
    <row r="15">
      <c r="A15" t="str">
        <v/>
      </c>
      <c r="B15" t="str">
        <v/>
      </c>
      <c r="C15" t="str">
        <v>1-2 集成收入-安装服务</v>
      </c>
      <c r="D15" t="str">
        <v>收入</v>
      </c>
      <c r="E15" t="str">
        <v/>
      </c>
      <c r="F15">
        <v>0.09</v>
      </c>
      <c r="G15">
        <v>0</v>
      </c>
      <c r="H15" t="str">
        <v/>
      </c>
      <c r="I15" t="str">
        <v/>
      </c>
      <c r="J15" t="str">
        <v/>
      </c>
      <c r="K15" t="str">
        <v/>
      </c>
      <c r="L15" t="str">
        <v/>
      </c>
      <c r="M15" t="str">
        <v/>
      </c>
      <c r="N15" t="str">
        <v/>
      </c>
      <c r="O15" t="str">
        <v/>
      </c>
      <c r="P15" t="str">
        <v/>
      </c>
      <c r="Q15" t="str">
        <v/>
      </c>
      <c r="R15" t="str">
        <v/>
      </c>
      <c r="S15" t="str">
        <v/>
      </c>
      <c r="T15">
        <v>0</v>
      </c>
      <c r="U15">
        <v>0</v>
      </c>
      <c r="V15">
        <v>0</v>
      </c>
      <c r="W15">
        <v>0</v>
      </c>
      <c r="X15">
        <v>0</v>
      </c>
      <c r="Y15">
        <v>0</v>
      </c>
      <c r="Z15">
        <v>0</v>
      </c>
      <c r="AA15">
        <v>0</v>
      </c>
      <c r="AB15">
        <v>0</v>
      </c>
      <c r="AC15">
        <v>0</v>
      </c>
      <c r="AD15">
        <v>0</v>
      </c>
      <c r="AE15">
        <v>0</v>
      </c>
      <c r="AF15">
        <v>0</v>
      </c>
      <c r="AG15" t="str">
        <v/>
      </c>
      <c r="AH15" t="str">
        <v/>
      </c>
      <c r="AI15" t="str">
        <v/>
      </c>
      <c r="AJ15" t="str">
        <v/>
      </c>
      <c r="AK15" t="str">
        <v/>
      </c>
      <c r="AL15" t="str">
        <v/>
      </c>
    </row>
    <row r="16">
      <c r="A16" t="str">
        <v/>
      </c>
      <c r="B16" t="str">
        <v/>
      </c>
      <c r="C16" t="str">
        <v/>
      </c>
      <c r="D16" t="str">
        <v>收款进度-金额</v>
      </c>
      <c r="E16" t="str">
        <v/>
      </c>
      <c r="F16" t="str">
        <v/>
      </c>
      <c r="G16">
        <v>0</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c r="AG16" t="str">
        <v/>
      </c>
      <c r="AH16" t="str">
        <v/>
      </c>
      <c r="AI16" t="str">
        <v/>
      </c>
      <c r="AJ16" t="str">
        <v/>
      </c>
      <c r="AK16" t="str">
        <v/>
      </c>
      <c r="AL16" t="str">
        <v/>
      </c>
    </row>
    <row r="17">
      <c r="A17" t="str">
        <v/>
      </c>
      <c r="B17" t="str">
        <v/>
      </c>
      <c r="C17" t="str">
        <v/>
      </c>
      <c r="D17" t="str">
        <v>收款进度-比例</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c r="AF17" t="str">
        <v/>
      </c>
      <c r="AG17" t="str">
        <v/>
      </c>
      <c r="AH17" t="str">
        <v/>
      </c>
      <c r="AI17" t="str">
        <v/>
      </c>
      <c r="AJ17" t="str">
        <v/>
      </c>
      <c r="AK17" t="str">
        <v/>
      </c>
      <c r="AL17" t="str">
        <v/>
      </c>
    </row>
    <row r="18">
      <c r="A18" t="str">
        <v/>
      </c>
      <c r="B18" t="str">
        <v/>
      </c>
      <c r="C18" t="str">
        <v>1-3 维保收入-信息服务</v>
      </c>
      <c r="D18" t="str">
        <v>收入</v>
      </c>
      <c r="E18" t="str">
        <v/>
      </c>
      <c r="F18">
        <v>0.06</v>
      </c>
      <c r="G18">
        <v>320000</v>
      </c>
      <c r="H18" t="str">
        <v/>
      </c>
      <c r="I18">
        <v>80000</v>
      </c>
      <c r="J18">
        <v>80000</v>
      </c>
      <c r="K18">
        <v>80000</v>
      </c>
      <c r="L18">
        <v>80000</v>
      </c>
      <c r="M18" t="str">
        <v/>
      </c>
      <c r="N18" t="str">
        <v/>
      </c>
      <c r="O18" t="str">
        <v/>
      </c>
      <c r="P18" t="str">
        <v/>
      </c>
      <c r="Q18" t="str">
        <v/>
      </c>
      <c r="R18" t="str">
        <v/>
      </c>
      <c r="S18" t="str">
        <v/>
      </c>
      <c r="T18">
        <v>0</v>
      </c>
      <c r="U18">
        <v>0</v>
      </c>
      <c r="V18">
        <v>0</v>
      </c>
      <c r="W18">
        <v>0</v>
      </c>
      <c r="X18">
        <v>0</v>
      </c>
      <c r="Y18">
        <v>0</v>
      </c>
      <c r="Z18">
        <v>0</v>
      </c>
      <c r="AA18">
        <v>0</v>
      </c>
      <c r="AB18">
        <v>0</v>
      </c>
      <c r="AC18">
        <v>0</v>
      </c>
      <c r="AD18">
        <v>0</v>
      </c>
      <c r="AE18">
        <v>0</v>
      </c>
      <c r="AF18">
        <v>0</v>
      </c>
      <c r="AG18" t="str">
        <v>公司在ICT项目建成后，因提供后续维护保障服务而向客户收取的IT支撑服务、软硬件及系统支撑等支撑和维保费。</v>
      </c>
      <c r="AH18" t="str">
        <v/>
      </c>
      <c r="AI18" t="str">
        <v/>
      </c>
      <c r="AJ18" t="str">
        <v/>
      </c>
      <c r="AK18" t="str">
        <v/>
      </c>
      <c r="AL18" t="str">
        <v/>
      </c>
    </row>
    <row r="19">
      <c r="A19" t="str">
        <v/>
      </c>
      <c r="B19" t="str">
        <v/>
      </c>
      <c r="C19" t="str">
        <v/>
      </c>
      <c r="D19" t="str">
        <v>收款进度-金额</v>
      </c>
      <c r="E19" t="str">
        <v/>
      </c>
      <c r="F19" t="str">
        <v/>
      </c>
      <c r="G19">
        <v>0</v>
      </c>
      <c r="H19" t="str">
        <v/>
      </c>
      <c r="I19">
        <v>80000</v>
      </c>
      <c r="J19">
        <v>80000</v>
      </c>
      <c r="K19">
        <v>80000</v>
      </c>
      <c r="L19">
        <v>80000</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c r="AF19" t="str">
        <v/>
      </c>
      <c r="AG19" t="str">
        <v/>
      </c>
      <c r="AH19" t="str">
        <v/>
      </c>
      <c r="AI19" t="str">
        <v/>
      </c>
      <c r="AJ19" t="str">
        <v/>
      </c>
      <c r="AK19" t="str">
        <v/>
      </c>
      <c r="AL19" t="str">
        <v/>
      </c>
    </row>
    <row r="20">
      <c r="A20" t="str">
        <v/>
      </c>
      <c r="B20" t="str">
        <v/>
      </c>
      <c r="C20" t="str">
        <v/>
      </c>
      <c r="D20" t="str">
        <v>收款进度-比例</v>
      </c>
      <c r="E20" t="str">
        <v/>
      </c>
      <c r="F20" t="str">
        <v/>
      </c>
      <c r="G20" t="str">
        <v/>
      </c>
      <c r="H20" t="str">
        <v/>
      </c>
      <c r="I20">
        <v>1</v>
      </c>
      <c r="J20">
        <v>1</v>
      </c>
      <c r="K20">
        <v>1</v>
      </c>
      <c r="L20">
        <v>1</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c r="AF20" t="str">
        <v/>
      </c>
      <c r="AG20" t="str">
        <v/>
      </c>
      <c r="AH20" t="str">
        <v/>
      </c>
      <c r="AI20" t="str">
        <v/>
      </c>
      <c r="AJ20" t="str">
        <v/>
      </c>
      <c r="AK20" t="str">
        <v/>
      </c>
      <c r="AL20" t="str">
        <v/>
      </c>
    </row>
    <row r="21">
      <c r="A21" t="str">
        <v/>
      </c>
      <c r="B21" t="str">
        <v/>
      </c>
      <c r="C21" t="str">
        <v>1-4 维保收入-安装服务</v>
      </c>
      <c r="D21" t="str">
        <v>收入</v>
      </c>
      <c r="E21" t="str">
        <v/>
      </c>
      <c r="F21">
        <v>0.09</v>
      </c>
      <c r="G21">
        <v>0</v>
      </c>
      <c r="H21" t="str">
        <v/>
      </c>
      <c r="I21" t="str">
        <v/>
      </c>
      <c r="J21" t="str">
        <v/>
      </c>
      <c r="K21" t="str">
        <v/>
      </c>
      <c r="L21" t="str">
        <v/>
      </c>
      <c r="M21" t="str">
        <v/>
      </c>
      <c r="N21" t="str">
        <v/>
      </c>
      <c r="O21" t="str">
        <v/>
      </c>
      <c r="P21" t="str">
        <v/>
      </c>
      <c r="Q21" t="str">
        <v/>
      </c>
      <c r="R21" t="str">
        <v/>
      </c>
      <c r="S21" t="str">
        <v/>
      </c>
      <c r="T21">
        <v>0</v>
      </c>
      <c r="U21">
        <v>0</v>
      </c>
      <c r="V21">
        <v>0</v>
      </c>
      <c r="W21">
        <v>0</v>
      </c>
      <c r="X21">
        <v>0</v>
      </c>
      <c r="Y21">
        <v>0</v>
      </c>
      <c r="Z21">
        <v>0</v>
      </c>
      <c r="AA21">
        <v>0</v>
      </c>
      <c r="AB21">
        <v>0</v>
      </c>
      <c r="AC21">
        <v>0</v>
      </c>
      <c r="AD21">
        <v>0</v>
      </c>
      <c r="AE21">
        <v>0</v>
      </c>
      <c r="AF21">
        <v>0</v>
      </c>
      <c r="AG21" t="str">
        <v/>
      </c>
      <c r="AH21" t="str">
        <v/>
      </c>
      <c r="AI21" t="str">
        <v/>
      </c>
      <c r="AJ21" t="str">
        <v/>
      </c>
      <c r="AK21" t="str">
        <v/>
      </c>
      <c r="AL21" t="str">
        <v/>
      </c>
    </row>
    <row r="22">
      <c r="A22" t="str">
        <v/>
      </c>
      <c r="B22" t="str">
        <v/>
      </c>
      <c r="C22" t="str">
        <v/>
      </c>
      <c r="D22" t="str">
        <v>收款进度-金额</v>
      </c>
      <c r="E22" t="str">
        <v/>
      </c>
      <c r="F22" t="str">
        <v/>
      </c>
      <c r="G22">
        <v>0</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c r="AH22" t="str">
        <v/>
      </c>
      <c r="AI22" t="str">
        <v/>
      </c>
      <c r="AJ22" t="str">
        <v/>
      </c>
      <c r="AK22" t="str">
        <v/>
      </c>
      <c r="AL22" t="str">
        <v/>
      </c>
    </row>
    <row r="23">
      <c r="A23" t="str">
        <v/>
      </c>
      <c r="B23" t="str">
        <v/>
      </c>
      <c r="C23" t="str">
        <v/>
      </c>
      <c r="D23" t="str">
        <v>收款进度-比例</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c r="AF23" t="str">
        <v/>
      </c>
      <c r="AG23" t="str">
        <v/>
      </c>
      <c r="AH23" t="str">
        <v/>
      </c>
      <c r="AI23" t="str">
        <v/>
      </c>
      <c r="AJ23" t="str">
        <v/>
      </c>
      <c r="AK23" t="str">
        <v/>
      </c>
      <c r="AL23" t="str">
        <v/>
      </c>
    </row>
    <row r="24">
      <c r="A24" t="str">
        <v/>
      </c>
      <c r="B24" t="str">
        <v/>
      </c>
      <c r="C24" t="str">
        <v>1-5 维保收入-设备及其他硬件维修服务</v>
      </c>
      <c r="D24" t="str">
        <v>收入</v>
      </c>
      <c r="E24" t="str">
        <v/>
      </c>
      <c r="F24">
        <v>0.13</v>
      </c>
      <c r="G24">
        <v>0</v>
      </c>
      <c r="H24" t="str">
        <v/>
      </c>
      <c r="I24" t="str">
        <v/>
      </c>
      <c r="J24" t="str">
        <v/>
      </c>
      <c r="K24" t="str">
        <v/>
      </c>
      <c r="L24" t="str">
        <v/>
      </c>
      <c r="M24" t="str">
        <v/>
      </c>
      <c r="N24" t="str">
        <v/>
      </c>
      <c r="O24" t="str">
        <v/>
      </c>
      <c r="P24" t="str">
        <v/>
      </c>
      <c r="Q24" t="str">
        <v/>
      </c>
      <c r="R24" t="str">
        <v/>
      </c>
      <c r="S24" t="str">
        <v/>
      </c>
      <c r="T24">
        <v>0</v>
      </c>
      <c r="U24">
        <v>0</v>
      </c>
      <c r="V24">
        <v>0</v>
      </c>
      <c r="W24">
        <v>0</v>
      </c>
      <c r="X24">
        <v>0</v>
      </c>
      <c r="Y24">
        <v>0</v>
      </c>
      <c r="Z24">
        <v>0</v>
      </c>
      <c r="AA24">
        <v>0</v>
      </c>
      <c r="AB24">
        <v>0</v>
      </c>
      <c r="AC24">
        <v>0</v>
      </c>
      <c r="AD24">
        <v>0</v>
      </c>
      <c r="AE24">
        <v>0</v>
      </c>
      <c r="AF24">
        <v>0</v>
      </c>
      <c r="AG24" t="str">
        <v/>
      </c>
      <c r="AH24" t="str">
        <v/>
      </c>
      <c r="AI24" t="str">
        <v/>
      </c>
      <c r="AJ24" t="str">
        <v/>
      </c>
      <c r="AK24" t="str">
        <v/>
      </c>
      <c r="AL24" t="str">
        <v/>
      </c>
    </row>
    <row r="25">
      <c r="A25" t="str">
        <v/>
      </c>
      <c r="B25" t="str">
        <v/>
      </c>
      <c r="C25" t="str">
        <v/>
      </c>
      <c r="D25" t="str">
        <v>收款进度-金额</v>
      </c>
      <c r="E25" t="str">
        <v/>
      </c>
      <c r="F25" t="str">
        <v/>
      </c>
      <c r="G25">
        <v>0</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c r="AH25" t="str">
        <v/>
      </c>
      <c r="AI25" t="str">
        <v/>
      </c>
      <c r="AJ25" t="str">
        <v/>
      </c>
      <c r="AK25" t="str">
        <v/>
      </c>
      <c r="AL25" t="str">
        <v/>
      </c>
    </row>
    <row r="26">
      <c r="A26" t="str">
        <v/>
      </c>
      <c r="B26" t="str">
        <v/>
      </c>
      <c r="C26" t="str">
        <v/>
      </c>
      <c r="D26" t="str">
        <v>收款进度-比例</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c r="AF26" t="str">
        <v/>
      </c>
      <c r="AG26" t="str">
        <v/>
      </c>
      <c r="AH26" t="str">
        <v/>
      </c>
      <c r="AI26" t="str">
        <v/>
      </c>
      <c r="AJ26" t="str">
        <v/>
      </c>
      <c r="AK26" t="str">
        <v/>
      </c>
      <c r="AL26" t="str">
        <v/>
      </c>
    </row>
    <row r="27">
      <c r="A27" t="str">
        <v/>
      </c>
      <c r="B27" t="str">
        <v/>
      </c>
      <c r="C27" t="str">
        <v>2、商品销售收入</v>
      </c>
      <c r="D27" t="str">
        <v>收入</v>
      </c>
      <c r="E27" t="str">
        <v/>
      </c>
      <c r="F27">
        <v>0.13</v>
      </c>
      <c r="G27">
        <v>500000</v>
      </c>
      <c r="H27" t="str">
        <v/>
      </c>
      <c r="I27">
        <v>500000</v>
      </c>
      <c r="J27" t="str">
        <v/>
      </c>
      <c r="K27" t="str">
        <v/>
      </c>
      <c r="L27" t="str">
        <v/>
      </c>
      <c r="M27" t="str">
        <v/>
      </c>
      <c r="N27" t="str">
        <v/>
      </c>
      <c r="O27" t="str">
        <v/>
      </c>
      <c r="P27" t="str">
        <v/>
      </c>
      <c r="Q27" t="str">
        <v/>
      </c>
      <c r="R27" t="str">
        <v/>
      </c>
      <c r="S27" t="str">
        <v/>
      </c>
      <c r="T27">
        <v>0</v>
      </c>
      <c r="U27">
        <v>0</v>
      </c>
      <c r="V27">
        <v>0</v>
      </c>
      <c r="W27">
        <v>0</v>
      </c>
      <c r="X27">
        <v>0</v>
      </c>
      <c r="Y27">
        <v>0</v>
      </c>
      <c r="Z27">
        <v>0</v>
      </c>
      <c r="AA27">
        <v>0</v>
      </c>
      <c r="AB27">
        <v>0</v>
      </c>
      <c r="AC27">
        <v>0</v>
      </c>
      <c r="AD27">
        <v>0</v>
      </c>
      <c r="AE27">
        <v>0</v>
      </c>
      <c r="AF27">
        <v>0</v>
      </c>
      <c r="AG27" t="str">
        <v>销售ICT设备/终端/软件产生的收入。</v>
      </c>
      <c r="AH27" t="str">
        <v/>
      </c>
      <c r="AI27" t="str">
        <v/>
      </c>
      <c r="AJ27" t="str">
        <v/>
      </c>
      <c r="AK27" t="str">
        <v/>
      </c>
      <c r="AL27" t="str">
        <v/>
      </c>
    </row>
    <row r="28">
      <c r="A28" t="str">
        <v/>
      </c>
      <c r="B28" t="str">
        <v/>
      </c>
      <c r="C28" t="str">
        <v/>
      </c>
      <c r="D28" t="str">
        <v>收款进度-金额</v>
      </c>
      <c r="E28" t="str">
        <v/>
      </c>
      <c r="F28" t="str">
        <v/>
      </c>
      <c r="G28">
        <v>0</v>
      </c>
      <c r="H28" t="str">
        <v/>
      </c>
      <c r="I28">
        <v>500000</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
      </c>
      <c r="AG28" t="str">
        <v/>
      </c>
      <c r="AH28" t="str">
        <v/>
      </c>
      <c r="AI28" t="str">
        <v/>
      </c>
      <c r="AJ28" t="str">
        <v/>
      </c>
      <c r="AK28" t="str">
        <v/>
      </c>
      <c r="AL28" t="str">
        <v/>
      </c>
    </row>
    <row r="29">
      <c r="A29" t="str">
        <v/>
      </c>
      <c r="B29" t="str">
        <v/>
      </c>
      <c r="C29" t="str">
        <v/>
      </c>
      <c r="D29" t="str">
        <v>收款进度-比例</v>
      </c>
      <c r="E29" t="str">
        <v/>
      </c>
      <c r="F29" t="str">
        <v/>
      </c>
      <c r="G29" t="str">
        <v/>
      </c>
      <c r="H29" t="str">
        <v/>
      </c>
      <c r="I29">
        <v>1</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c r="AH29" t="str">
        <v/>
      </c>
      <c r="AI29" t="str">
        <v/>
      </c>
      <c r="AJ29" t="str">
        <v/>
      </c>
      <c r="AK29" t="str">
        <v/>
      </c>
      <c r="AL29" t="str">
        <v/>
      </c>
    </row>
    <row r="30">
      <c r="A30" t="str">
        <v/>
      </c>
      <c r="B30" t="str">
        <v/>
      </c>
      <c r="C30" t="str">
        <v>3、ICT设备/终端租赁收入</v>
      </c>
      <c r="D30" t="str">
        <v>收入</v>
      </c>
      <c r="E30" t="str">
        <v/>
      </c>
      <c r="F30">
        <v>0.13</v>
      </c>
      <c r="G30">
        <v>0</v>
      </c>
      <c r="H30" t="str">
        <v/>
      </c>
      <c r="I30" t="str">
        <v/>
      </c>
      <c r="J30" t="str">
        <v/>
      </c>
      <c r="K30" t="str">
        <v/>
      </c>
      <c r="L30" t="str">
        <v/>
      </c>
      <c r="M30" t="str">
        <v/>
      </c>
      <c r="N30" t="str">
        <v/>
      </c>
      <c r="O30" t="str">
        <v/>
      </c>
      <c r="P30" t="str">
        <v/>
      </c>
      <c r="Q30" t="str">
        <v/>
      </c>
      <c r="R30" t="str">
        <v/>
      </c>
      <c r="S30" t="str">
        <v/>
      </c>
      <c r="T30">
        <v>0</v>
      </c>
      <c r="U30">
        <v>0</v>
      </c>
      <c r="V30">
        <v>0</v>
      </c>
      <c r="W30">
        <v>0</v>
      </c>
      <c r="X30">
        <v>0</v>
      </c>
      <c r="Y30">
        <v>0</v>
      </c>
      <c r="Z30">
        <v>0</v>
      </c>
      <c r="AA30">
        <v>0</v>
      </c>
      <c r="AB30">
        <v>0</v>
      </c>
      <c r="AC30">
        <v>0</v>
      </c>
      <c r="AD30">
        <v>0</v>
      </c>
      <c r="AE30">
        <v>0</v>
      </c>
      <c r="AF30">
        <v>0</v>
      </c>
      <c r="AG30" t="str">
        <v>出租ICT设备/终端产生的收入。</v>
      </c>
      <c r="AH30" t="str">
        <v/>
      </c>
      <c r="AI30" t="str">
        <v/>
      </c>
      <c r="AJ30" t="str">
        <v/>
      </c>
      <c r="AK30" t="str">
        <v/>
      </c>
      <c r="AL30" t="str">
        <v/>
      </c>
    </row>
    <row r="31">
      <c r="A31" t="str">
        <v/>
      </c>
      <c r="B31" t="str">
        <v/>
      </c>
      <c r="C31" t="str">
        <v/>
      </c>
      <c r="D31" t="str">
        <v>收款进度-金额</v>
      </c>
      <c r="E31" t="str">
        <v/>
      </c>
      <c r="F31" t="str">
        <v/>
      </c>
      <c r="G31">
        <v>0</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c r="AF31" t="str">
        <v/>
      </c>
      <c r="AG31" t="str">
        <v/>
      </c>
      <c r="AH31" t="str">
        <v/>
      </c>
      <c r="AI31" t="str">
        <v/>
      </c>
      <c r="AJ31" t="str">
        <v/>
      </c>
      <c r="AK31" t="str">
        <v/>
      </c>
      <c r="AL31" t="str">
        <v/>
      </c>
    </row>
    <row r="32">
      <c r="A32" t="str">
        <v/>
      </c>
      <c r="B32" t="str">
        <v/>
      </c>
      <c r="C32" t="str">
        <v/>
      </c>
      <c r="D32" t="str">
        <v>收款进度-比例</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c r="AF32" t="str">
        <v/>
      </c>
      <c r="AG32" t="str">
        <v/>
      </c>
      <c r="AH32" t="str">
        <v/>
      </c>
      <c r="AI32" t="str">
        <v/>
      </c>
      <c r="AJ32" t="str">
        <v/>
      </c>
      <c r="AK32" t="str">
        <v/>
      </c>
      <c r="AL32" t="str">
        <v/>
      </c>
    </row>
    <row r="33">
      <c r="A33" t="str">
        <v/>
      </c>
      <c r="B33" t="str">
        <v/>
      </c>
      <c r="C33" t="str">
        <v>4、ICT设备/终端转租收入</v>
      </c>
      <c r="D33" t="str">
        <v>收入</v>
      </c>
      <c r="E33" t="str">
        <v/>
      </c>
      <c r="F33">
        <v>0.13</v>
      </c>
      <c r="G33">
        <v>0</v>
      </c>
      <c r="H33" t="str">
        <v/>
      </c>
      <c r="I33" t="str">
        <v/>
      </c>
      <c r="J33" t="str">
        <v/>
      </c>
      <c r="K33" t="str">
        <v/>
      </c>
      <c r="L33" t="str">
        <v/>
      </c>
      <c r="M33" t="str">
        <v/>
      </c>
      <c r="N33" t="str">
        <v/>
      </c>
      <c r="O33" t="str">
        <v/>
      </c>
      <c r="P33" t="str">
        <v/>
      </c>
      <c r="Q33" t="str">
        <v/>
      </c>
      <c r="R33" t="str">
        <v/>
      </c>
      <c r="S33" t="str">
        <v/>
      </c>
      <c r="T33">
        <v>0</v>
      </c>
      <c r="U33">
        <v>0</v>
      </c>
      <c r="V33">
        <v>0</v>
      </c>
      <c r="W33">
        <v>0</v>
      </c>
      <c r="X33">
        <v>0</v>
      </c>
      <c r="Y33">
        <v>0</v>
      </c>
      <c r="Z33">
        <v>0</v>
      </c>
      <c r="AA33">
        <v>0</v>
      </c>
      <c r="AB33">
        <v>0</v>
      </c>
      <c r="AC33">
        <v>0</v>
      </c>
      <c r="AD33">
        <v>0</v>
      </c>
      <c r="AE33">
        <v>0</v>
      </c>
      <c r="AF33">
        <v>0</v>
      </c>
      <c r="AG33" t="str">
        <v>转租ICT设备/终端产生的租赁收入。</v>
      </c>
      <c r="AH33" t="str">
        <v/>
      </c>
      <c r="AI33" t="str">
        <v/>
      </c>
      <c r="AJ33" t="str">
        <v/>
      </c>
      <c r="AK33" t="str">
        <v/>
      </c>
      <c r="AL33" t="str">
        <v/>
      </c>
    </row>
    <row r="34">
      <c r="A34" t="str">
        <v/>
      </c>
      <c r="B34" t="str">
        <v/>
      </c>
      <c r="C34" t="str">
        <v/>
      </c>
      <c r="D34" t="str">
        <v>收款进度-金额</v>
      </c>
      <c r="E34" t="str">
        <v/>
      </c>
      <c r="F34" t="str">
        <v/>
      </c>
      <c r="G34">
        <v>0</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c r="AG34" t="str">
        <v/>
      </c>
      <c r="AH34" t="str">
        <v/>
      </c>
      <c r="AI34" t="str">
        <v/>
      </c>
      <c r="AJ34" t="str">
        <v/>
      </c>
      <c r="AK34" t="str">
        <v/>
      </c>
      <c r="AL34" t="str">
        <v/>
      </c>
    </row>
    <row r="35">
      <c r="A35" t="str">
        <v/>
      </c>
      <c r="B35" t="str">
        <v/>
      </c>
      <c r="C35" t="str">
        <v/>
      </c>
      <c r="D35" t="str">
        <v>收款进度-比例</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c r="AF35" t="str">
        <v/>
      </c>
      <c r="AG35" t="str">
        <v/>
      </c>
      <c r="AH35" t="str">
        <v/>
      </c>
      <c r="AI35" t="str">
        <v/>
      </c>
      <c r="AJ35" t="str">
        <v/>
      </c>
      <c r="AK35" t="str">
        <v/>
      </c>
      <c r="AL35" t="str">
        <v/>
      </c>
    </row>
    <row r="36">
      <c r="A36" t="str">
        <v/>
      </c>
      <c r="B36" t="str">
        <v/>
      </c>
      <c r="C36" t="str">
        <v>5、工程建设与服务收入</v>
      </c>
      <c r="D36" t="str">
        <v>收入</v>
      </c>
      <c r="E36" t="str">
        <v/>
      </c>
      <c r="F36">
        <v>0.09</v>
      </c>
      <c r="G36">
        <v>0</v>
      </c>
      <c r="H36" t="str">
        <v/>
      </c>
      <c r="I36" t="str">
        <v/>
      </c>
      <c r="J36" t="str">
        <v/>
      </c>
      <c r="K36" t="str">
        <v/>
      </c>
      <c r="L36" t="str">
        <v/>
      </c>
      <c r="M36" t="str">
        <v/>
      </c>
      <c r="N36" t="str">
        <v/>
      </c>
      <c r="O36" t="str">
        <v/>
      </c>
      <c r="P36" t="str">
        <v/>
      </c>
      <c r="Q36" t="str">
        <v/>
      </c>
      <c r="R36" t="str">
        <v/>
      </c>
      <c r="S36" t="str">
        <v/>
      </c>
      <c r="T36">
        <v>0</v>
      </c>
      <c r="U36">
        <v>0</v>
      </c>
      <c r="V36">
        <v>0</v>
      </c>
      <c r="W36">
        <v>0</v>
      </c>
      <c r="X36">
        <v>0</v>
      </c>
      <c r="Y36">
        <v>0</v>
      </c>
      <c r="Z36">
        <v>0</v>
      </c>
      <c r="AA36">
        <v>0</v>
      </c>
      <c r="AB36">
        <v>0</v>
      </c>
      <c r="AC36">
        <v>0</v>
      </c>
      <c r="AD36">
        <v>0</v>
      </c>
      <c r="AE36">
        <v>0</v>
      </c>
      <c r="AF36">
        <v>0</v>
      </c>
      <c r="AG36" t="str">
        <v>公司作为代理人，提供工程代办服务收取的代办管理费等收入或作为主要责任人提供工程服务产生的收入。</v>
      </c>
      <c r="AH36" t="str">
        <v/>
      </c>
      <c r="AI36" t="str">
        <v/>
      </c>
      <c r="AJ36" t="str">
        <v/>
      </c>
      <c r="AK36" t="str">
        <v/>
      </c>
      <c r="AL36" t="str">
        <v/>
      </c>
    </row>
    <row r="37">
      <c r="A37" t="str">
        <v/>
      </c>
      <c r="B37" t="str">
        <v/>
      </c>
      <c r="C37" t="str">
        <v/>
      </c>
      <c r="D37" t="str">
        <v>收款进度-金额</v>
      </c>
      <c r="E37" t="str">
        <v/>
      </c>
      <c r="F37" t="str">
        <v/>
      </c>
      <c r="G37">
        <v>0</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c r="AF37" t="str">
        <v/>
      </c>
      <c r="AG37" t="str">
        <v/>
      </c>
      <c r="AH37" t="str">
        <v/>
      </c>
      <c r="AI37" t="str">
        <v/>
      </c>
      <c r="AJ37" t="str">
        <v/>
      </c>
      <c r="AK37" t="str">
        <v/>
      </c>
      <c r="AL37" t="str">
        <v/>
      </c>
    </row>
    <row r="38">
      <c r="A38" t="str">
        <v/>
      </c>
      <c r="B38" t="str">
        <v/>
      </c>
      <c r="C38" t="str">
        <v/>
      </c>
      <c r="D38" t="str">
        <v>收款进度-比例</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c r="AF38" t="str">
        <v/>
      </c>
      <c r="AG38" t="str">
        <v/>
      </c>
      <c r="AH38" t="str">
        <v/>
      </c>
      <c r="AI38" t="str">
        <v/>
      </c>
      <c r="AJ38" t="str">
        <v/>
      </c>
      <c r="AK38" t="str">
        <v/>
      </c>
      <c r="AL38" t="str">
        <v/>
      </c>
    </row>
    <row r="39">
      <c r="A39" t="str">
        <v/>
      </c>
      <c r="B39" t="str">
        <v/>
      </c>
      <c r="C39" t="str">
        <v xml:space="preserve">        ……</v>
      </c>
      <c r="D39" t="str">
        <v/>
      </c>
      <c r="E39" t="str">
        <v/>
      </c>
      <c r="F39" t="str">
        <v/>
      </c>
      <c r="G39" t="str">
        <v/>
      </c>
      <c r="H39" t="str">
        <v/>
      </c>
      <c r="I39" t="str">
        <v/>
      </c>
      <c r="J39" t="str">
        <v/>
      </c>
      <c r="K39" t="str">
        <v/>
      </c>
      <c r="L39" t="str">
        <v/>
      </c>
      <c r="M39" t="str">
        <v/>
      </c>
      <c r="N39" t="str">
        <v/>
      </c>
      <c r="O39" t="str">
        <v/>
      </c>
      <c r="P39" t="str">
        <v/>
      </c>
      <c r="Q39" t="str">
        <v/>
      </c>
      <c r="R39" t="str">
        <v/>
      </c>
      <c r="S39" t="str">
        <v/>
      </c>
      <c r="T39">
        <v>0</v>
      </c>
      <c r="U39">
        <v>0</v>
      </c>
      <c r="V39">
        <v>0</v>
      </c>
      <c r="W39">
        <v>0</v>
      </c>
      <c r="X39">
        <v>0</v>
      </c>
      <c r="Y39">
        <v>0</v>
      </c>
      <c r="Z39">
        <v>0</v>
      </c>
      <c r="AA39">
        <v>0</v>
      </c>
      <c r="AB39">
        <v>0</v>
      </c>
      <c r="AC39">
        <v>0</v>
      </c>
      <c r="AD39">
        <v>0</v>
      </c>
      <c r="AE39">
        <v>0</v>
      </c>
      <c r="AF39">
        <v>0</v>
      </c>
      <c r="AG39" t="str">
        <v>除上述5项外的其他IT类收入，如有多个，可插行填写</v>
      </c>
      <c r="AH39" t="str">
        <v/>
      </c>
      <c r="AI39" t="str">
        <v/>
      </c>
      <c r="AJ39" t="str">
        <v/>
      </c>
      <c r="AK39" t="str">
        <v/>
      </c>
      <c r="AL39" t="str">
        <v/>
      </c>
    </row>
    <row r="40">
      <c r="A40" t="str">
        <v/>
      </c>
      <c r="B40" t="str">
        <v>CT类收入</v>
      </c>
      <c r="C40" t="str">
        <v>CT类收入合计</v>
      </c>
      <c r="D40" t="str">
        <v>收入</v>
      </c>
      <c r="E40" t="str">
        <v/>
      </c>
      <c r="F40" t="str">
        <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tr">
        <v/>
      </c>
      <c r="AH40" t="str">
        <v/>
      </c>
      <c r="AI40" t="str">
        <v/>
      </c>
      <c r="AJ40" t="str">
        <v/>
      </c>
      <c r="AK40" t="str">
        <v/>
      </c>
      <c r="AL40" t="str">
        <v/>
      </c>
    </row>
    <row r="41">
      <c r="A41" t="str">
        <v/>
      </c>
      <c r="B41" t="str">
        <v/>
      </c>
      <c r="C41" t="str">
        <v/>
      </c>
      <c r="D41" t="str">
        <v>收款进度-金额</v>
      </c>
      <c r="E41" t="str">
        <v/>
      </c>
      <c r="F41" t="str">
        <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tr">
        <v/>
      </c>
      <c r="AH41" t="str">
        <v/>
      </c>
      <c r="AI41" t="str">
        <v/>
      </c>
      <c r="AJ41" t="str">
        <v/>
      </c>
      <c r="AK41" t="str">
        <v/>
      </c>
      <c r="AL41" t="str">
        <v/>
      </c>
    </row>
    <row r="42">
      <c r="A42" t="str">
        <v/>
      </c>
      <c r="B42" t="str">
        <v/>
      </c>
      <c r="C42" t="str">
        <v/>
      </c>
      <c r="D42" t="str">
        <v>收款进度-比例</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
      </c>
      <c r="AG42" t="str">
        <v/>
      </c>
      <c r="AH42" t="str">
        <v/>
      </c>
      <c r="AI42" t="str">
        <v/>
      </c>
      <c r="AJ42" t="str">
        <v/>
      </c>
      <c r="AK42" t="str">
        <v/>
      </c>
      <c r="AL42" t="str">
        <v/>
      </c>
    </row>
    <row r="43">
      <c r="A43" t="str">
        <v/>
      </c>
      <c r="B43" t="str">
        <v/>
      </c>
      <c r="C43" t="str">
        <v>1、通信业务收入（基础电信服务）</v>
      </c>
      <c r="D43" t="str">
        <v>收入</v>
      </c>
      <c r="E43" t="str">
        <v/>
      </c>
      <c r="F43" t="str">
        <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tr">
        <v>项目建成后客户使用语音、数据专线等基础电信业务产生的收入，根据业务实质确定税率，如涉及多项可加行填写。</v>
      </c>
      <c r="AH43" t="str">
        <v/>
      </c>
      <c r="AI43" t="str">
        <v/>
      </c>
      <c r="AJ43" t="str">
        <v/>
      </c>
      <c r="AK43" t="str">
        <v/>
      </c>
      <c r="AL43" t="str">
        <v/>
      </c>
    </row>
    <row r="44">
      <c r="A44" t="str">
        <v/>
      </c>
      <c r="B44" t="str">
        <v/>
      </c>
      <c r="C44" t="str">
        <v/>
      </c>
      <c r="D44" t="str">
        <v>收款进度-金额</v>
      </c>
      <c r="E44" t="str">
        <v/>
      </c>
      <c r="F44" t="str">
        <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tr">
        <v/>
      </c>
      <c r="AH44" t="str">
        <v/>
      </c>
      <c r="AI44" t="str">
        <v/>
      </c>
      <c r="AJ44" t="str">
        <v/>
      </c>
      <c r="AK44" t="str">
        <v/>
      </c>
      <c r="AL44" t="str">
        <v/>
      </c>
    </row>
    <row r="45">
      <c r="A45" t="str">
        <v/>
      </c>
      <c r="B45" t="str">
        <v/>
      </c>
      <c r="C45" t="str">
        <v/>
      </c>
      <c r="D45" t="str">
        <v>收款进度-比例</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
      </c>
      <c r="AG45" t="str">
        <v/>
      </c>
      <c r="AH45" t="str">
        <v/>
      </c>
      <c r="AI45" t="str">
        <v/>
      </c>
      <c r="AJ45" t="str">
        <v/>
      </c>
      <c r="AK45" t="str">
        <v/>
      </c>
      <c r="AL45" t="str">
        <v/>
      </c>
    </row>
    <row r="46">
      <c r="A46" t="str">
        <v/>
      </c>
      <c r="B46" t="str">
        <v/>
      </c>
      <c r="C46" t="str">
        <v xml:space="preserve">        语音</v>
      </c>
      <c r="D46" t="str">
        <v>收入</v>
      </c>
      <c r="E46" t="str">
        <v/>
      </c>
      <c r="F46">
        <v>0.09</v>
      </c>
      <c r="G46">
        <v>0</v>
      </c>
      <c r="H46" t="str">
        <v/>
      </c>
      <c r="I46" t="str">
        <v/>
      </c>
      <c r="J46" t="str">
        <v/>
      </c>
      <c r="K46" t="str">
        <v/>
      </c>
      <c r="L46" t="str">
        <v/>
      </c>
      <c r="M46" t="str">
        <v/>
      </c>
      <c r="N46" t="str">
        <v/>
      </c>
      <c r="O46" t="str">
        <v/>
      </c>
      <c r="P46" t="str">
        <v/>
      </c>
      <c r="Q46" t="str">
        <v/>
      </c>
      <c r="R46" t="str">
        <v/>
      </c>
      <c r="S46" t="str">
        <v/>
      </c>
      <c r="T46">
        <v>0</v>
      </c>
      <c r="U46">
        <v>0</v>
      </c>
      <c r="V46">
        <v>0</v>
      </c>
      <c r="W46">
        <v>0</v>
      </c>
      <c r="X46">
        <v>0</v>
      </c>
      <c r="Y46">
        <v>0</v>
      </c>
      <c r="Z46">
        <v>0</v>
      </c>
      <c r="AA46">
        <v>0</v>
      </c>
      <c r="AB46">
        <v>0</v>
      </c>
      <c r="AC46">
        <v>0</v>
      </c>
      <c r="AD46">
        <v>0</v>
      </c>
      <c r="AE46">
        <v>0</v>
      </c>
      <c r="AF46">
        <v>0</v>
      </c>
      <c r="AG46" t="str">
        <v/>
      </c>
      <c r="AH46" t="str">
        <v/>
      </c>
      <c r="AI46" t="str">
        <v/>
      </c>
      <c r="AJ46" t="str">
        <v/>
      </c>
      <c r="AK46" t="str">
        <v/>
      </c>
      <c r="AL46" t="str">
        <v/>
      </c>
    </row>
    <row r="47">
      <c r="A47" t="str">
        <v/>
      </c>
      <c r="B47" t="str">
        <v/>
      </c>
      <c r="C47" t="str">
        <v/>
      </c>
      <c r="D47" t="str">
        <v>收款进度-金额</v>
      </c>
      <c r="E47" t="str">
        <v/>
      </c>
      <c r="F47" t="str">
        <v/>
      </c>
      <c r="G47">
        <v>0</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c r="AF47" t="str">
        <v/>
      </c>
      <c r="AG47" t="str">
        <v/>
      </c>
      <c r="AH47" t="str">
        <v/>
      </c>
      <c r="AI47" t="str">
        <v/>
      </c>
      <c r="AJ47" t="str">
        <v/>
      </c>
      <c r="AK47" t="str">
        <v/>
      </c>
      <c r="AL47" t="str">
        <v/>
      </c>
    </row>
    <row r="48">
      <c r="A48" t="str">
        <v/>
      </c>
      <c r="B48" t="str">
        <v/>
      </c>
      <c r="C48" t="str">
        <v/>
      </c>
      <c r="D48" t="str">
        <v>收款进度-比例</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row>
    <row r="49">
      <c r="A49" t="str">
        <v/>
      </c>
      <c r="B49" t="str">
        <v/>
      </c>
      <c r="C49" t="str">
        <v xml:space="preserve">        数据专线</v>
      </c>
      <c r="D49" t="str">
        <v>收入</v>
      </c>
      <c r="E49" t="str">
        <v/>
      </c>
      <c r="F49">
        <v>0.09</v>
      </c>
      <c r="G49">
        <v>0</v>
      </c>
      <c r="H49" t="str">
        <v/>
      </c>
      <c r="I49" t="str">
        <v/>
      </c>
      <c r="J49" t="str">
        <v/>
      </c>
      <c r="K49" t="str">
        <v/>
      </c>
      <c r="L49" t="str">
        <v/>
      </c>
      <c r="M49" t="str">
        <v/>
      </c>
      <c r="N49" t="str">
        <v/>
      </c>
      <c r="O49" t="str">
        <v/>
      </c>
      <c r="P49" t="str">
        <v/>
      </c>
      <c r="Q49" t="str">
        <v/>
      </c>
      <c r="R49" t="str">
        <v/>
      </c>
      <c r="S49" t="str">
        <v/>
      </c>
      <c r="T49">
        <v>0</v>
      </c>
      <c r="U49">
        <v>0</v>
      </c>
      <c r="V49">
        <v>0</v>
      </c>
      <c r="W49">
        <v>0</v>
      </c>
      <c r="X49">
        <v>0</v>
      </c>
      <c r="Y49">
        <v>0</v>
      </c>
      <c r="Z49">
        <v>0</v>
      </c>
      <c r="AA49">
        <v>0</v>
      </c>
      <c r="AB49">
        <v>0</v>
      </c>
      <c r="AC49">
        <v>0</v>
      </c>
      <c r="AD49">
        <v>0</v>
      </c>
      <c r="AE49">
        <v>0</v>
      </c>
      <c r="AF49">
        <v>0</v>
      </c>
      <c r="AG49" t="str">
        <v/>
      </c>
      <c r="AH49" t="str">
        <v/>
      </c>
      <c r="AI49" t="str">
        <v/>
      </c>
      <c r="AJ49" t="str">
        <v/>
      </c>
      <c r="AK49" t="str">
        <v/>
      </c>
      <c r="AL49" t="str">
        <v/>
      </c>
    </row>
    <row r="50">
      <c r="A50" t="str">
        <v/>
      </c>
      <c r="B50" t="str">
        <v/>
      </c>
      <c r="C50" t="str">
        <v/>
      </c>
      <c r="D50" t="str">
        <v>收款进度-金额</v>
      </c>
      <c r="E50" t="str">
        <v/>
      </c>
      <c r="F50" t="str">
        <v/>
      </c>
      <c r="G50">
        <v>0</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c r="AF50" t="str">
        <v/>
      </c>
      <c r="AG50" t="str">
        <v/>
      </c>
      <c r="AH50" t="str">
        <v/>
      </c>
      <c r="AI50" t="str">
        <v/>
      </c>
      <c r="AJ50" t="str">
        <v/>
      </c>
      <c r="AK50" t="str">
        <v/>
      </c>
      <c r="AL50" t="str">
        <v/>
      </c>
    </row>
    <row r="51">
      <c r="A51" t="str">
        <v/>
      </c>
      <c r="B51" t="str">
        <v/>
      </c>
      <c r="C51" t="str">
        <v/>
      </c>
      <c r="D51" t="str">
        <v>收款进度-比例</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c r="AF51" t="str">
        <v/>
      </c>
      <c r="AG51" t="str">
        <v/>
      </c>
      <c r="AH51" t="str">
        <v/>
      </c>
      <c r="AI51" t="str">
        <v/>
      </c>
      <c r="AJ51" t="str">
        <v/>
      </c>
      <c r="AK51" t="str">
        <v/>
      </c>
      <c r="AL51" t="str">
        <v/>
      </c>
    </row>
    <row r="52">
      <c r="A52" t="str">
        <v/>
      </c>
      <c r="B52" t="str">
        <v/>
      </c>
      <c r="C52" t="str">
        <v xml:space="preserve">        IMS固话</v>
      </c>
      <c r="D52" t="str">
        <v>收入</v>
      </c>
      <c r="E52" t="str">
        <v/>
      </c>
      <c r="F52">
        <v>0.09</v>
      </c>
      <c r="G52">
        <v>0</v>
      </c>
      <c r="H52" t="str">
        <v/>
      </c>
      <c r="I52" t="str">
        <v/>
      </c>
      <c r="J52" t="str">
        <v/>
      </c>
      <c r="K52" t="str">
        <v/>
      </c>
      <c r="L52" t="str">
        <v/>
      </c>
      <c r="M52" t="str">
        <v/>
      </c>
      <c r="N52" t="str">
        <v/>
      </c>
      <c r="O52" t="str">
        <v/>
      </c>
      <c r="P52" t="str">
        <v/>
      </c>
      <c r="Q52" t="str">
        <v/>
      </c>
      <c r="R52" t="str">
        <v/>
      </c>
      <c r="S52" t="str">
        <v/>
      </c>
      <c r="T52">
        <v>0</v>
      </c>
      <c r="U52">
        <v>0</v>
      </c>
      <c r="V52">
        <v>0</v>
      </c>
      <c r="W52">
        <v>0</v>
      </c>
      <c r="X52">
        <v>0</v>
      </c>
      <c r="Y52">
        <v>0</v>
      </c>
      <c r="Z52">
        <v>0</v>
      </c>
      <c r="AA52">
        <v>0</v>
      </c>
      <c r="AB52">
        <v>0</v>
      </c>
      <c r="AC52">
        <v>0</v>
      </c>
      <c r="AD52">
        <v>0</v>
      </c>
      <c r="AE52">
        <v>0</v>
      </c>
      <c r="AF52">
        <v>0</v>
      </c>
      <c r="AG52" t="str">
        <v/>
      </c>
      <c r="AH52" t="str">
        <v/>
      </c>
      <c r="AI52" t="str">
        <v/>
      </c>
      <c r="AJ52" t="str">
        <v/>
      </c>
      <c r="AK52" t="str">
        <v/>
      </c>
      <c r="AL52" t="str">
        <v/>
      </c>
    </row>
    <row r="53">
      <c r="A53" t="str">
        <v/>
      </c>
      <c r="B53" t="str">
        <v/>
      </c>
      <c r="C53" t="str">
        <v/>
      </c>
      <c r="D53" t="str">
        <v>收款进度-金额</v>
      </c>
      <c r="E53" t="str">
        <v/>
      </c>
      <c r="F53" t="str">
        <v/>
      </c>
      <c r="G53">
        <v>0</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c r="AF53" t="str">
        <v/>
      </c>
      <c r="AG53" t="str">
        <v/>
      </c>
      <c r="AH53" t="str">
        <v/>
      </c>
      <c r="AI53" t="str">
        <v/>
      </c>
      <c r="AJ53" t="str">
        <v/>
      </c>
      <c r="AK53" t="str">
        <v/>
      </c>
      <c r="AL53" t="str">
        <v/>
      </c>
    </row>
    <row r="54">
      <c r="A54" t="str">
        <v/>
      </c>
      <c r="B54" t="str">
        <v/>
      </c>
      <c r="C54" t="str">
        <v/>
      </c>
      <c r="D54" t="str">
        <v>收款进度-比例</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c r="AF54" t="str">
        <v/>
      </c>
      <c r="AG54" t="str">
        <v/>
      </c>
      <c r="AH54" t="str">
        <v/>
      </c>
      <c r="AI54" t="str">
        <v/>
      </c>
      <c r="AJ54" t="str">
        <v/>
      </c>
      <c r="AK54" t="str">
        <v/>
      </c>
      <c r="AL54" t="str">
        <v/>
      </c>
    </row>
    <row r="55">
      <c r="A55" t="str">
        <v/>
      </c>
      <c r="B55" t="str">
        <v/>
      </c>
      <c r="C55" t="str">
        <v xml:space="preserve">        语音专线</v>
      </c>
      <c r="D55" t="str">
        <v>收入</v>
      </c>
      <c r="E55" t="str">
        <v/>
      </c>
      <c r="F55">
        <v>0.09</v>
      </c>
      <c r="G55">
        <v>0</v>
      </c>
      <c r="H55" t="str">
        <v/>
      </c>
      <c r="I55" t="str">
        <v/>
      </c>
      <c r="J55" t="str">
        <v/>
      </c>
      <c r="K55" t="str">
        <v/>
      </c>
      <c r="L55" t="str">
        <v/>
      </c>
      <c r="M55" t="str">
        <v/>
      </c>
      <c r="N55" t="str">
        <v/>
      </c>
      <c r="O55" t="str">
        <v/>
      </c>
      <c r="P55" t="str">
        <v/>
      </c>
      <c r="Q55" t="str">
        <v/>
      </c>
      <c r="R55" t="str">
        <v/>
      </c>
      <c r="S55" t="str">
        <v/>
      </c>
      <c r="T55">
        <v>0</v>
      </c>
      <c r="U55">
        <v>0</v>
      </c>
      <c r="V55">
        <v>0</v>
      </c>
      <c r="W55">
        <v>0</v>
      </c>
      <c r="X55">
        <v>0</v>
      </c>
      <c r="Y55">
        <v>0</v>
      </c>
      <c r="Z55">
        <v>0</v>
      </c>
      <c r="AA55">
        <v>0</v>
      </c>
      <c r="AB55">
        <v>0</v>
      </c>
      <c r="AC55">
        <v>0</v>
      </c>
      <c r="AD55">
        <v>0</v>
      </c>
      <c r="AE55">
        <v>0</v>
      </c>
      <c r="AF55">
        <v>0</v>
      </c>
      <c r="AG55" t="str">
        <v/>
      </c>
      <c r="AH55" t="str">
        <v/>
      </c>
      <c r="AI55" t="str">
        <v/>
      </c>
      <c r="AJ55" t="str">
        <v/>
      </c>
      <c r="AK55" t="str">
        <v/>
      </c>
      <c r="AL55" t="str">
        <v/>
      </c>
    </row>
    <row r="56">
      <c r="A56" t="str">
        <v/>
      </c>
      <c r="B56" t="str">
        <v/>
      </c>
      <c r="C56" t="str">
        <v/>
      </c>
      <c r="D56" t="str">
        <v>收款进度-金额</v>
      </c>
      <c r="E56" t="str">
        <v/>
      </c>
      <c r="F56" t="str">
        <v/>
      </c>
      <c r="G56">
        <v>0</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
      </c>
      <c r="AH56" t="str">
        <v/>
      </c>
      <c r="AI56" t="str">
        <v/>
      </c>
      <c r="AJ56" t="str">
        <v/>
      </c>
      <c r="AK56" t="str">
        <v/>
      </c>
      <c r="AL56" t="str">
        <v/>
      </c>
    </row>
    <row r="57">
      <c r="A57" t="str">
        <v/>
      </c>
      <c r="B57" t="str">
        <v/>
      </c>
      <c r="C57" t="str">
        <v/>
      </c>
      <c r="D57" t="str">
        <v>收款进度-比例</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
      </c>
      <c r="AH57" t="str">
        <v/>
      </c>
      <c r="AI57" t="str">
        <v/>
      </c>
      <c r="AJ57" t="str">
        <v/>
      </c>
      <c r="AK57" t="str">
        <v/>
      </c>
      <c r="AL57" t="str">
        <v/>
      </c>
    </row>
    <row r="58">
      <c r="A58" t="str">
        <v/>
      </c>
      <c r="B58" t="str">
        <v/>
      </c>
      <c r="C58" t="str">
        <v xml:space="preserve">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
      </c>
      <c r="AH58" t="str">
        <v/>
      </c>
      <c r="AI58" t="str">
        <v/>
      </c>
      <c r="AJ58" t="str">
        <v/>
      </c>
      <c r="AK58" t="str">
        <v/>
      </c>
      <c r="AL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c r="AF59" t="str">
        <v/>
      </c>
      <c r="AG59" t="str">
        <v/>
      </c>
      <c r="AH59" t="str">
        <v/>
      </c>
      <c r="AI59" t="str">
        <v/>
      </c>
      <c r="AJ59" t="str">
        <v/>
      </c>
      <c r="AK59" t="str">
        <v/>
      </c>
      <c r="AL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
      </c>
      <c r="AH60" t="str">
        <v/>
      </c>
      <c r="AI60" t="str">
        <v/>
      </c>
      <c r="AJ60" t="str">
        <v/>
      </c>
      <c r="AK60" t="str">
        <v/>
      </c>
      <c r="AL60" t="str">
        <v/>
      </c>
    </row>
    <row r="61">
      <c r="A61" t="str">
        <v/>
      </c>
      <c r="B61" t="str">
        <v/>
      </c>
      <c r="C61" t="str">
        <v>2、通信业务收入（增值电信服务）</v>
      </c>
      <c r="D61" t="str">
        <v>收入</v>
      </c>
      <c r="E61" t="str">
        <v/>
      </c>
      <c r="F61" t="str">
        <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tr">
        <v>项目建成后客户使用短彩信、互联网专线、云存储等增值电信业务等产生的收入，根据业务实质确定税率，如涉及多项可加行填写。</v>
      </c>
      <c r="AH61" t="str">
        <v/>
      </c>
      <c r="AI61" t="str">
        <v/>
      </c>
      <c r="AJ61" t="str">
        <v/>
      </c>
      <c r="AK61" t="str">
        <v/>
      </c>
      <c r="AL61" t="str">
        <v/>
      </c>
    </row>
    <row r="62">
      <c r="A62" t="str">
        <v/>
      </c>
      <c r="B62" t="str">
        <v/>
      </c>
      <c r="C62" t="str">
        <v/>
      </c>
      <c r="D62" t="str">
        <v>收款进度-金额</v>
      </c>
      <c r="E62" t="str">
        <v/>
      </c>
      <c r="F62" t="str">
        <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tr">
        <v/>
      </c>
      <c r="AH62" t="str">
        <v/>
      </c>
      <c r="AI62" t="str">
        <v/>
      </c>
      <c r="AJ62" t="str">
        <v/>
      </c>
      <c r="AK62" t="str">
        <v/>
      </c>
      <c r="AL62" t="str">
        <v/>
      </c>
    </row>
    <row r="63">
      <c r="A63" t="str">
        <v/>
      </c>
      <c r="B63" t="str">
        <v/>
      </c>
      <c r="C63" t="str">
        <v/>
      </c>
      <c r="D63" t="str">
        <v>收款进度-比例</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
      </c>
      <c r="AG63" t="str">
        <v/>
      </c>
      <c r="AH63" t="str">
        <v/>
      </c>
      <c r="AI63" t="str">
        <v/>
      </c>
      <c r="AJ63" t="str">
        <v/>
      </c>
      <c r="AK63" t="str">
        <v/>
      </c>
      <c r="AL63" t="str">
        <v/>
      </c>
    </row>
    <row r="64">
      <c r="A64" t="str">
        <v/>
      </c>
      <c r="B64" t="str">
        <v/>
      </c>
      <c r="C64" t="str">
        <v xml:space="preserve">        短信</v>
      </c>
      <c r="D64" t="str">
        <v>收入</v>
      </c>
      <c r="E64" t="str">
        <v/>
      </c>
      <c r="F64">
        <v>0.06</v>
      </c>
      <c r="G64">
        <v>0</v>
      </c>
      <c r="H64" t="str">
        <v/>
      </c>
      <c r="I64" t="str">
        <v/>
      </c>
      <c r="J64" t="str">
        <v/>
      </c>
      <c r="K64" t="str">
        <v/>
      </c>
      <c r="L64" t="str">
        <v/>
      </c>
      <c r="M64" t="str">
        <v/>
      </c>
      <c r="N64" t="str">
        <v/>
      </c>
      <c r="O64" t="str">
        <v/>
      </c>
      <c r="P64" t="str">
        <v/>
      </c>
      <c r="Q64" t="str">
        <v/>
      </c>
      <c r="R64" t="str">
        <v/>
      </c>
      <c r="S64" t="str">
        <v/>
      </c>
      <c r="T64">
        <v>0</v>
      </c>
      <c r="U64">
        <v>0</v>
      </c>
      <c r="V64">
        <v>0</v>
      </c>
      <c r="W64">
        <v>0</v>
      </c>
      <c r="X64">
        <v>0</v>
      </c>
      <c r="Y64">
        <v>0</v>
      </c>
      <c r="Z64">
        <v>0</v>
      </c>
      <c r="AA64">
        <v>0</v>
      </c>
      <c r="AB64">
        <v>0</v>
      </c>
      <c r="AC64">
        <v>0</v>
      </c>
      <c r="AD64">
        <v>0</v>
      </c>
      <c r="AE64">
        <v>0</v>
      </c>
      <c r="AF64">
        <v>0</v>
      </c>
      <c r="AG64" t="str">
        <v/>
      </c>
      <c r="AH64" t="str">
        <v/>
      </c>
      <c r="AI64" t="str">
        <v/>
      </c>
      <c r="AJ64" t="str">
        <v/>
      </c>
      <c r="AK64" t="str">
        <v/>
      </c>
      <c r="AL64" t="str">
        <v/>
      </c>
    </row>
    <row r="65">
      <c r="A65" t="str">
        <v/>
      </c>
      <c r="B65" t="str">
        <v/>
      </c>
      <c r="C65" t="str">
        <v/>
      </c>
      <c r="D65" t="str">
        <v>收款进度-金额</v>
      </c>
      <c r="E65" t="str">
        <v/>
      </c>
      <c r="F65" t="str">
        <v/>
      </c>
      <c r="G65">
        <v>0</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
      </c>
      <c r="AH65" t="str">
        <v/>
      </c>
      <c r="AI65" t="str">
        <v/>
      </c>
      <c r="AJ65" t="str">
        <v/>
      </c>
      <c r="AK65" t="str">
        <v/>
      </c>
      <c r="AL65" t="str">
        <v/>
      </c>
    </row>
    <row r="66">
      <c r="A66" t="str">
        <v/>
      </c>
      <c r="B66" t="str">
        <v/>
      </c>
      <c r="C66" t="str">
        <v/>
      </c>
      <c r="D66" t="str">
        <v>收款进度-比例</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
      </c>
      <c r="AH66" t="str">
        <v/>
      </c>
      <c r="AI66" t="str">
        <v/>
      </c>
      <c r="AJ66" t="str">
        <v/>
      </c>
      <c r="AK66" t="str">
        <v/>
      </c>
      <c r="AL66" t="str">
        <v/>
      </c>
    </row>
    <row r="67">
      <c r="A67" t="str">
        <v/>
      </c>
      <c r="B67" t="str">
        <v/>
      </c>
      <c r="C67" t="str">
        <v xml:space="preserve">        数据流量</v>
      </c>
      <c r="D67" t="str">
        <v>收入</v>
      </c>
      <c r="E67" t="str">
        <v/>
      </c>
      <c r="F67">
        <v>0.06</v>
      </c>
      <c r="G67">
        <v>0</v>
      </c>
      <c r="H67" t="str">
        <v/>
      </c>
      <c r="I67" t="str">
        <v/>
      </c>
      <c r="J67" t="str">
        <v/>
      </c>
      <c r="K67" t="str">
        <v/>
      </c>
      <c r="L67" t="str">
        <v/>
      </c>
      <c r="M67" t="str">
        <v/>
      </c>
      <c r="N67" t="str">
        <v/>
      </c>
      <c r="O67" t="str">
        <v/>
      </c>
      <c r="P67" t="str">
        <v/>
      </c>
      <c r="Q67" t="str">
        <v/>
      </c>
      <c r="R67" t="str">
        <v/>
      </c>
      <c r="S67" t="str">
        <v/>
      </c>
      <c r="T67">
        <v>0</v>
      </c>
      <c r="U67">
        <v>0</v>
      </c>
      <c r="V67">
        <v>0</v>
      </c>
      <c r="W67">
        <v>0</v>
      </c>
      <c r="X67">
        <v>0</v>
      </c>
      <c r="Y67">
        <v>0</v>
      </c>
      <c r="Z67">
        <v>0</v>
      </c>
      <c r="AA67">
        <v>0</v>
      </c>
      <c r="AB67">
        <v>0</v>
      </c>
      <c r="AC67">
        <v>0</v>
      </c>
      <c r="AD67">
        <v>0</v>
      </c>
      <c r="AE67">
        <v>0</v>
      </c>
      <c r="AF67">
        <v>0</v>
      </c>
      <c r="AG67" t="str">
        <v/>
      </c>
      <c r="AH67" t="str">
        <v/>
      </c>
      <c r="AI67" t="str">
        <v/>
      </c>
      <c r="AJ67" t="str">
        <v/>
      </c>
      <c r="AK67" t="str">
        <v/>
      </c>
      <c r="AL67" t="str">
        <v/>
      </c>
    </row>
    <row r="68">
      <c r="A68" t="str">
        <v/>
      </c>
      <c r="B68" t="str">
        <v/>
      </c>
      <c r="C68" t="str">
        <v/>
      </c>
      <c r="D68" t="str">
        <v>收款进度-金额</v>
      </c>
      <c r="E68" t="str">
        <v/>
      </c>
      <c r="F68" t="str">
        <v/>
      </c>
      <c r="G68">
        <v>0</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c r="AF68" t="str">
        <v/>
      </c>
      <c r="AG68" t="str">
        <v/>
      </c>
      <c r="AH68" t="str">
        <v/>
      </c>
      <c r="AI68" t="str">
        <v/>
      </c>
      <c r="AJ68" t="str">
        <v/>
      </c>
      <c r="AK68" t="str">
        <v/>
      </c>
      <c r="AL68" t="str">
        <v/>
      </c>
    </row>
    <row r="69">
      <c r="A69" t="str">
        <v/>
      </c>
      <c r="B69" t="str">
        <v/>
      </c>
      <c r="C69" t="str">
        <v/>
      </c>
      <c r="D69" t="str">
        <v>收款进度-比例</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
      </c>
      <c r="AH69" t="str">
        <v/>
      </c>
      <c r="AI69" t="str">
        <v/>
      </c>
      <c r="AJ69" t="str">
        <v/>
      </c>
      <c r="AK69" t="str">
        <v/>
      </c>
      <c r="AL69" t="str">
        <v/>
      </c>
    </row>
    <row r="70">
      <c r="A70" t="str">
        <v/>
      </c>
      <c r="B70" t="str">
        <v/>
      </c>
      <c r="C70" t="str">
        <v xml:space="preserve">        企业宽带</v>
      </c>
      <c r="D70" t="str">
        <v>收入</v>
      </c>
      <c r="E70" t="str">
        <v/>
      </c>
      <c r="F70">
        <v>0.06</v>
      </c>
      <c r="G70">
        <v>0</v>
      </c>
      <c r="H70" t="str">
        <v/>
      </c>
      <c r="I70" t="str">
        <v/>
      </c>
      <c r="J70" t="str">
        <v/>
      </c>
      <c r="K70" t="str">
        <v/>
      </c>
      <c r="L70" t="str">
        <v/>
      </c>
      <c r="M70" t="str">
        <v/>
      </c>
      <c r="N70" t="str">
        <v/>
      </c>
      <c r="O70" t="str">
        <v/>
      </c>
      <c r="P70" t="str">
        <v/>
      </c>
      <c r="Q70" t="str">
        <v/>
      </c>
      <c r="R70" t="str">
        <v/>
      </c>
      <c r="S70" t="str">
        <v/>
      </c>
      <c r="T70">
        <v>0</v>
      </c>
      <c r="U70">
        <v>0</v>
      </c>
      <c r="V70">
        <v>0</v>
      </c>
      <c r="W70">
        <v>0</v>
      </c>
      <c r="X70">
        <v>0</v>
      </c>
      <c r="Y70">
        <v>0</v>
      </c>
      <c r="Z70">
        <v>0</v>
      </c>
      <c r="AA70">
        <v>0</v>
      </c>
      <c r="AB70">
        <v>0</v>
      </c>
      <c r="AC70">
        <v>0</v>
      </c>
      <c r="AD70">
        <v>0</v>
      </c>
      <c r="AE70">
        <v>0</v>
      </c>
      <c r="AF70">
        <v>0</v>
      </c>
      <c r="AG70" t="str">
        <v/>
      </c>
      <c r="AH70" t="str">
        <v/>
      </c>
      <c r="AI70" t="str">
        <v/>
      </c>
      <c r="AJ70" t="str">
        <v/>
      </c>
      <c r="AK70" t="str">
        <v/>
      </c>
      <c r="AL70" t="str">
        <v/>
      </c>
    </row>
    <row r="71">
      <c r="A71" t="str">
        <v/>
      </c>
      <c r="B71" t="str">
        <v/>
      </c>
      <c r="C71" t="str">
        <v/>
      </c>
      <c r="D71" t="str">
        <v>收款进度-金额</v>
      </c>
      <c r="E71" t="str">
        <v/>
      </c>
      <c r="F71" t="str">
        <v/>
      </c>
      <c r="G71">
        <v>0</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
      </c>
      <c r="AH71" t="str">
        <v/>
      </c>
      <c r="AI71" t="str">
        <v/>
      </c>
      <c r="AJ71" t="str">
        <v/>
      </c>
      <c r="AK71" t="str">
        <v/>
      </c>
      <c r="AL71" t="str">
        <v/>
      </c>
    </row>
    <row r="72">
      <c r="A72" t="str">
        <v/>
      </c>
      <c r="B72" t="str">
        <v/>
      </c>
      <c r="C72" t="str">
        <v/>
      </c>
      <c r="D72" t="str">
        <v>收款进度-比例</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
      </c>
      <c r="AH72" t="str">
        <v/>
      </c>
      <c r="AI72" t="str">
        <v/>
      </c>
      <c r="AJ72" t="str">
        <v/>
      </c>
      <c r="AK72" t="str">
        <v/>
      </c>
      <c r="AL72" t="str">
        <v/>
      </c>
    </row>
    <row r="73">
      <c r="A73" t="str">
        <v/>
      </c>
      <c r="B73" t="str">
        <v/>
      </c>
      <c r="C73" t="str">
        <v xml:space="preserve">        互联网专线</v>
      </c>
      <c r="D73" t="str">
        <v>收入</v>
      </c>
      <c r="E73" t="str">
        <v/>
      </c>
      <c r="F73">
        <v>0.06</v>
      </c>
      <c r="G73">
        <v>180000</v>
      </c>
      <c r="H73" t="str">
        <v/>
      </c>
      <c r="I73">
        <v>36000</v>
      </c>
      <c r="J73">
        <v>36000</v>
      </c>
      <c r="K73">
        <v>36000</v>
      </c>
      <c r="L73">
        <v>36000</v>
      </c>
      <c r="M73">
        <v>36000</v>
      </c>
      <c r="N73" t="str">
        <v/>
      </c>
      <c r="O73" t="str">
        <v/>
      </c>
      <c r="P73" t="str">
        <v/>
      </c>
      <c r="Q73" t="str">
        <v/>
      </c>
      <c r="R73" t="str">
        <v/>
      </c>
      <c r="S73" t="str">
        <v/>
      </c>
      <c r="T73">
        <v>0</v>
      </c>
      <c r="U73">
        <v>0</v>
      </c>
      <c r="V73">
        <v>0</v>
      </c>
      <c r="W73">
        <v>0</v>
      </c>
      <c r="X73">
        <v>0</v>
      </c>
      <c r="Y73">
        <v>0</v>
      </c>
      <c r="Z73">
        <v>0</v>
      </c>
      <c r="AA73">
        <v>0</v>
      </c>
      <c r="AB73">
        <v>0</v>
      </c>
      <c r="AC73">
        <v>0</v>
      </c>
      <c r="AD73">
        <v>0</v>
      </c>
      <c r="AE73">
        <v>0</v>
      </c>
      <c r="AF73">
        <v>0</v>
      </c>
      <c r="AG73" t="str">
        <v/>
      </c>
      <c r="AH73" t="str">
        <v/>
      </c>
      <c r="AI73" t="str">
        <v/>
      </c>
      <c r="AJ73" t="str">
        <v/>
      </c>
      <c r="AK73" t="str">
        <v/>
      </c>
      <c r="AL73" t="str">
        <v/>
      </c>
    </row>
    <row r="74">
      <c r="A74" t="str">
        <v/>
      </c>
      <c r="B74" t="str">
        <v/>
      </c>
      <c r="C74" t="str">
        <v/>
      </c>
      <c r="D74" t="str">
        <v>收款进度-金额</v>
      </c>
      <c r="E74" t="str">
        <v/>
      </c>
      <c r="F74" t="str">
        <v/>
      </c>
      <c r="G74">
        <v>0</v>
      </c>
      <c r="H74" t="str">
        <v/>
      </c>
      <c r="I74">
        <v>36000</v>
      </c>
      <c r="J74">
        <v>36000</v>
      </c>
      <c r="K74">
        <v>36000</v>
      </c>
      <c r="L74">
        <v>36000</v>
      </c>
      <c r="M74">
        <v>36000</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
      </c>
      <c r="AH74" t="str">
        <v/>
      </c>
      <c r="AI74" t="str">
        <v/>
      </c>
      <c r="AJ74" t="str">
        <v/>
      </c>
      <c r="AK74" t="str">
        <v/>
      </c>
      <c r="AL74" t="str">
        <v/>
      </c>
    </row>
    <row r="75">
      <c r="A75" t="str">
        <v/>
      </c>
      <c r="B75" t="str">
        <v/>
      </c>
      <c r="C75" t="str">
        <v/>
      </c>
      <c r="D75" t="str">
        <v>收款进度-比例</v>
      </c>
      <c r="E75" t="str">
        <v/>
      </c>
      <c r="F75" t="str">
        <v/>
      </c>
      <c r="G75" t="str">
        <v/>
      </c>
      <c r="H75" t="str">
        <v/>
      </c>
      <c r="I75">
        <v>1</v>
      </c>
      <c r="J75">
        <v>1</v>
      </c>
      <c r="K75">
        <v>1</v>
      </c>
      <c r="L75">
        <v>1</v>
      </c>
      <c r="M75">
        <v>1</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
      </c>
      <c r="AH75" t="str">
        <v/>
      </c>
      <c r="AI75" t="str">
        <v/>
      </c>
      <c r="AJ75" t="str">
        <v/>
      </c>
      <c r="AK75" t="str">
        <v/>
      </c>
      <c r="AL75" t="str">
        <v/>
      </c>
    </row>
    <row r="76">
      <c r="A76" t="str">
        <v/>
      </c>
      <c r="B76" t="str">
        <v/>
      </c>
      <c r="C76" t="str">
        <v xml:space="preserve">        云计算</v>
      </c>
      <c r="D76" t="str">
        <v>收入</v>
      </c>
      <c r="E76" t="str">
        <v/>
      </c>
      <c r="F76">
        <v>0.06</v>
      </c>
      <c r="G76">
        <v>72000</v>
      </c>
      <c r="H76" t="str">
        <v/>
      </c>
      <c r="I76">
        <v>24000</v>
      </c>
      <c r="J76">
        <v>24000</v>
      </c>
      <c r="K76">
        <v>24000</v>
      </c>
      <c r="L76" t="str">
        <v/>
      </c>
      <c r="M76" t="str">
        <v/>
      </c>
      <c r="N76" t="str">
        <v/>
      </c>
      <c r="O76" t="str">
        <v/>
      </c>
      <c r="P76" t="str">
        <v/>
      </c>
      <c r="Q76" t="str">
        <v/>
      </c>
      <c r="R76" t="str">
        <v/>
      </c>
      <c r="S76" t="str">
        <v/>
      </c>
      <c r="T76">
        <v>0</v>
      </c>
      <c r="U76">
        <v>0</v>
      </c>
      <c r="V76">
        <v>0</v>
      </c>
      <c r="W76">
        <v>0</v>
      </c>
      <c r="X76">
        <v>0</v>
      </c>
      <c r="Y76">
        <v>0</v>
      </c>
      <c r="Z76">
        <v>0</v>
      </c>
      <c r="AA76">
        <v>0</v>
      </c>
      <c r="AB76">
        <v>0</v>
      </c>
      <c r="AC76">
        <v>0</v>
      </c>
      <c r="AD76">
        <v>0</v>
      </c>
      <c r="AE76">
        <v>0</v>
      </c>
      <c r="AF76">
        <v>0</v>
      </c>
      <c r="AG76" t="str">
        <v/>
      </c>
      <c r="AH76" t="str">
        <v/>
      </c>
      <c r="AI76" t="str">
        <v/>
      </c>
      <c r="AJ76" t="str">
        <v/>
      </c>
      <c r="AK76" t="str">
        <v/>
      </c>
      <c r="AL76" t="str">
        <v/>
      </c>
    </row>
    <row r="77">
      <c r="A77" t="str">
        <v/>
      </c>
      <c r="B77" t="str">
        <v/>
      </c>
      <c r="C77" t="str">
        <v/>
      </c>
      <c r="D77" t="str">
        <v>收款进度-金额</v>
      </c>
      <c r="E77" t="str">
        <v/>
      </c>
      <c r="F77" t="str">
        <v/>
      </c>
      <c r="G77">
        <v>0</v>
      </c>
      <c r="H77" t="str">
        <v/>
      </c>
      <c r="I77">
        <v>24000</v>
      </c>
      <c r="J77">
        <v>24000</v>
      </c>
      <c r="K77">
        <v>24000</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
      </c>
      <c r="AH77" t="str">
        <v/>
      </c>
      <c r="AI77" t="str">
        <v/>
      </c>
      <c r="AJ77" t="str">
        <v/>
      </c>
      <c r="AK77" t="str">
        <v/>
      </c>
      <c r="AL77" t="str">
        <v/>
      </c>
    </row>
    <row r="78">
      <c r="A78" t="str">
        <v/>
      </c>
      <c r="B78" t="str">
        <v/>
      </c>
      <c r="C78" t="str">
        <v/>
      </c>
      <c r="D78" t="str">
        <v>收款进度-比例</v>
      </c>
      <c r="E78" t="str">
        <v/>
      </c>
      <c r="F78" t="str">
        <v/>
      </c>
      <c r="G78" t="str">
        <v/>
      </c>
      <c r="H78" t="str">
        <v/>
      </c>
      <c r="I78">
        <v>1</v>
      </c>
      <c r="J78">
        <v>1</v>
      </c>
      <c r="K78">
        <v>1</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
      </c>
      <c r="AH78" t="str">
        <v/>
      </c>
      <c r="AI78" t="str">
        <v/>
      </c>
      <c r="AJ78" t="str">
        <v/>
      </c>
      <c r="AK78" t="str">
        <v/>
      </c>
      <c r="AL78" t="str">
        <v/>
      </c>
    </row>
    <row r="79">
      <c r="A79" t="str">
        <v/>
      </c>
      <c r="B79" t="str">
        <v/>
      </c>
      <c r="C79" t="str">
        <v xml:space="preserve">        大数据</v>
      </c>
      <c r="D79" t="str">
        <v>收入</v>
      </c>
      <c r="E79" t="str">
        <v/>
      </c>
      <c r="F79">
        <v>0.06</v>
      </c>
      <c r="G79">
        <v>0</v>
      </c>
      <c r="H79" t="str">
        <v/>
      </c>
      <c r="I79" t="str">
        <v/>
      </c>
      <c r="J79" t="str">
        <v/>
      </c>
      <c r="K79" t="str">
        <v/>
      </c>
      <c r="L79" t="str">
        <v/>
      </c>
      <c r="M79" t="str">
        <v/>
      </c>
      <c r="N79" t="str">
        <v/>
      </c>
      <c r="O79" t="str">
        <v/>
      </c>
      <c r="P79" t="str">
        <v/>
      </c>
      <c r="Q79" t="str">
        <v/>
      </c>
      <c r="R79" t="str">
        <v/>
      </c>
      <c r="S79" t="str">
        <v/>
      </c>
      <c r="T79">
        <v>0</v>
      </c>
      <c r="U79">
        <v>0</v>
      </c>
      <c r="V79">
        <v>0</v>
      </c>
      <c r="W79">
        <v>0</v>
      </c>
      <c r="X79">
        <v>0</v>
      </c>
      <c r="Y79">
        <v>0</v>
      </c>
      <c r="Z79">
        <v>0</v>
      </c>
      <c r="AA79">
        <v>0</v>
      </c>
      <c r="AB79">
        <v>0</v>
      </c>
      <c r="AC79">
        <v>0</v>
      </c>
      <c r="AD79">
        <v>0</v>
      </c>
      <c r="AE79">
        <v>0</v>
      </c>
      <c r="AF79">
        <v>0</v>
      </c>
      <c r="AG79" t="str">
        <v/>
      </c>
      <c r="AH79" t="str">
        <v/>
      </c>
      <c r="AI79" t="str">
        <v/>
      </c>
      <c r="AJ79" t="str">
        <v/>
      </c>
      <c r="AK79" t="str">
        <v/>
      </c>
      <c r="AL79" t="str">
        <v/>
      </c>
    </row>
    <row r="80">
      <c r="A80" t="str">
        <v/>
      </c>
      <c r="B80" t="str">
        <v/>
      </c>
      <c r="C80" t="str">
        <v/>
      </c>
      <c r="D80" t="str">
        <v>收款进度-金额</v>
      </c>
      <c r="E80" t="str">
        <v/>
      </c>
      <c r="F80" t="str">
        <v/>
      </c>
      <c r="G80">
        <v>0</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
      </c>
      <c r="AH80" t="str">
        <v/>
      </c>
      <c r="AI80" t="str">
        <v/>
      </c>
      <c r="AJ80" t="str">
        <v/>
      </c>
      <c r="AK80" t="str">
        <v/>
      </c>
      <c r="AL80" t="str">
        <v/>
      </c>
    </row>
    <row r="81">
      <c r="A81" t="str">
        <v/>
      </c>
      <c r="B81" t="str">
        <v/>
      </c>
      <c r="C81" t="str">
        <v/>
      </c>
      <c r="D81" t="str">
        <v>收款进度-比例</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
      </c>
      <c r="AH81" t="str">
        <v/>
      </c>
      <c r="AI81" t="str">
        <v/>
      </c>
      <c r="AJ81" t="str">
        <v/>
      </c>
      <c r="AK81" t="str">
        <v/>
      </c>
      <c r="AL81" t="str">
        <v/>
      </c>
    </row>
    <row r="82">
      <c r="A82" t="str">
        <v/>
      </c>
      <c r="B82" t="str">
        <v/>
      </c>
      <c r="C82" t="str">
        <v xml:space="preserve">        IDC</v>
      </c>
      <c r="D82" t="str">
        <v>收入</v>
      </c>
      <c r="E82" t="str">
        <v/>
      </c>
      <c r="F82">
        <v>0.06</v>
      </c>
      <c r="G82">
        <v>0</v>
      </c>
      <c r="H82" t="str">
        <v/>
      </c>
      <c r="I82" t="str">
        <v/>
      </c>
      <c r="J82" t="str">
        <v/>
      </c>
      <c r="K82" t="str">
        <v/>
      </c>
      <c r="L82" t="str">
        <v/>
      </c>
      <c r="M82" t="str">
        <v/>
      </c>
      <c r="N82" t="str">
        <v/>
      </c>
      <c r="O82" t="str">
        <v/>
      </c>
      <c r="P82" t="str">
        <v/>
      </c>
      <c r="Q82" t="str">
        <v/>
      </c>
      <c r="R82" t="str">
        <v/>
      </c>
      <c r="S82" t="str">
        <v/>
      </c>
      <c r="T82">
        <v>0</v>
      </c>
      <c r="U82">
        <v>0</v>
      </c>
      <c r="V82">
        <v>0</v>
      </c>
      <c r="W82">
        <v>0</v>
      </c>
      <c r="X82">
        <v>0</v>
      </c>
      <c r="Y82">
        <v>0</v>
      </c>
      <c r="Z82">
        <v>0</v>
      </c>
      <c r="AA82">
        <v>0</v>
      </c>
      <c r="AB82">
        <v>0</v>
      </c>
      <c r="AC82">
        <v>0</v>
      </c>
      <c r="AD82">
        <v>0</v>
      </c>
      <c r="AE82">
        <v>0</v>
      </c>
      <c r="AF82">
        <v>0</v>
      </c>
      <c r="AG82" t="str">
        <v/>
      </c>
      <c r="AH82" t="str">
        <v/>
      </c>
      <c r="AI82" t="str">
        <v/>
      </c>
      <c r="AJ82" t="str">
        <v/>
      </c>
      <c r="AK82" t="str">
        <v/>
      </c>
      <c r="AL82" t="str">
        <v/>
      </c>
    </row>
    <row r="83">
      <c r="A83" t="str">
        <v/>
      </c>
      <c r="B83" t="str">
        <v/>
      </c>
      <c r="C83" t="str">
        <v/>
      </c>
      <c r="D83" t="str">
        <v>收款进度-金额</v>
      </c>
      <c r="E83" t="str">
        <v/>
      </c>
      <c r="F83" t="str">
        <v/>
      </c>
      <c r="G83">
        <v>0</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c r="AF83" t="str">
        <v/>
      </c>
      <c r="AG83" t="str">
        <v/>
      </c>
      <c r="AH83" t="str">
        <v/>
      </c>
      <c r="AI83" t="str">
        <v/>
      </c>
      <c r="AJ83" t="str">
        <v/>
      </c>
      <c r="AK83" t="str">
        <v/>
      </c>
      <c r="AL83" t="str">
        <v/>
      </c>
    </row>
    <row r="84">
      <c r="A84" t="str">
        <v/>
      </c>
      <c r="B84" t="str">
        <v/>
      </c>
      <c r="C84" t="str">
        <v/>
      </c>
      <c r="D84" t="str">
        <v>收款进度-比例</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
      </c>
      <c r="AH84" t="str">
        <v/>
      </c>
      <c r="AI84" t="str">
        <v/>
      </c>
      <c r="AJ84" t="str">
        <v/>
      </c>
      <c r="AK84" t="str">
        <v/>
      </c>
      <c r="AL84" t="str">
        <v/>
      </c>
    </row>
    <row r="85">
      <c r="A85" t="str">
        <v/>
      </c>
      <c r="B85" t="str">
        <v/>
      </c>
      <c r="C85" t="str">
        <v xml:space="preserve">        5G专网</v>
      </c>
      <c r="D85" t="str">
        <v>收入</v>
      </c>
      <c r="E85" t="str">
        <v/>
      </c>
      <c r="F85">
        <v>0.06</v>
      </c>
      <c r="G85">
        <v>0</v>
      </c>
      <c r="H85" t="str">
        <v/>
      </c>
      <c r="I85" t="str">
        <v/>
      </c>
      <c r="J85" t="str">
        <v/>
      </c>
      <c r="K85" t="str">
        <v/>
      </c>
      <c r="L85" t="str">
        <v/>
      </c>
      <c r="M85" t="str">
        <v/>
      </c>
      <c r="N85" t="str">
        <v/>
      </c>
      <c r="O85" t="str">
        <v/>
      </c>
      <c r="P85" t="str">
        <v/>
      </c>
      <c r="Q85" t="str">
        <v/>
      </c>
      <c r="R85" t="str">
        <v/>
      </c>
      <c r="S85" t="str">
        <v/>
      </c>
      <c r="T85">
        <v>0</v>
      </c>
      <c r="U85">
        <v>0</v>
      </c>
      <c r="V85">
        <v>0</v>
      </c>
      <c r="W85">
        <v>0</v>
      </c>
      <c r="X85">
        <v>0</v>
      </c>
      <c r="Y85">
        <v>0</v>
      </c>
      <c r="Z85">
        <v>0</v>
      </c>
      <c r="AA85">
        <v>0</v>
      </c>
      <c r="AB85">
        <v>0</v>
      </c>
      <c r="AC85">
        <v>0</v>
      </c>
      <c r="AD85">
        <v>0</v>
      </c>
      <c r="AE85">
        <v>0</v>
      </c>
      <c r="AF85">
        <v>0</v>
      </c>
      <c r="AG85" t="str">
        <v/>
      </c>
      <c r="AH85" t="str">
        <v/>
      </c>
      <c r="AI85" t="str">
        <v/>
      </c>
      <c r="AJ85" t="str">
        <v/>
      </c>
      <c r="AK85" t="str">
        <v/>
      </c>
      <c r="AL85" t="str">
        <v/>
      </c>
    </row>
    <row r="86">
      <c r="A86" t="str">
        <v/>
      </c>
      <c r="B86" t="str">
        <v/>
      </c>
      <c r="C86" t="str">
        <v/>
      </c>
      <c r="D86" t="str">
        <v>收款进度-金额</v>
      </c>
      <c r="E86" t="str">
        <v/>
      </c>
      <c r="F86" t="str">
        <v/>
      </c>
      <c r="G86">
        <v>0</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
      </c>
      <c r="AH86" t="str">
        <v/>
      </c>
      <c r="AI86" t="str">
        <v/>
      </c>
      <c r="AJ86" t="str">
        <v/>
      </c>
      <c r="AK86" t="str">
        <v/>
      </c>
      <c r="AL86" t="str">
        <v/>
      </c>
    </row>
    <row r="87">
      <c r="A87" t="str">
        <v/>
      </c>
      <c r="B87" t="str">
        <v/>
      </c>
      <c r="C87" t="str">
        <v/>
      </c>
      <c r="D87" t="str">
        <v>收款进度-比例</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
      </c>
      <c r="AH87" t="str">
        <v/>
      </c>
      <c r="AI87" t="str">
        <v/>
      </c>
      <c r="AJ87" t="str">
        <v/>
      </c>
      <c r="AK87" t="str">
        <v/>
      </c>
      <c r="AL87" t="str">
        <v/>
      </c>
    </row>
    <row r="88">
      <c r="A88" t="str">
        <v/>
      </c>
      <c r="B88" t="str">
        <v/>
      </c>
      <c r="C88" t="str">
        <v xml:space="preserve">        物联网</v>
      </c>
      <c r="D88" t="str">
        <v>收入</v>
      </c>
      <c r="E88" t="str">
        <v/>
      </c>
      <c r="F88">
        <v>0.06</v>
      </c>
      <c r="G88">
        <v>0</v>
      </c>
      <c r="H88" t="str">
        <v/>
      </c>
      <c r="I88" t="str">
        <v/>
      </c>
      <c r="J88" t="str">
        <v/>
      </c>
      <c r="K88" t="str">
        <v/>
      </c>
      <c r="L88" t="str">
        <v/>
      </c>
      <c r="M88" t="str">
        <v/>
      </c>
      <c r="N88" t="str">
        <v/>
      </c>
      <c r="O88" t="str">
        <v/>
      </c>
      <c r="P88" t="str">
        <v/>
      </c>
      <c r="Q88" t="str">
        <v/>
      </c>
      <c r="R88" t="str">
        <v/>
      </c>
      <c r="S88" t="str">
        <v/>
      </c>
      <c r="T88">
        <v>0</v>
      </c>
      <c r="U88">
        <v>0</v>
      </c>
      <c r="V88">
        <v>0</v>
      </c>
      <c r="W88">
        <v>0</v>
      </c>
      <c r="X88">
        <v>0</v>
      </c>
      <c r="Y88">
        <v>0</v>
      </c>
      <c r="Z88">
        <v>0</v>
      </c>
      <c r="AA88">
        <v>0</v>
      </c>
      <c r="AB88">
        <v>0</v>
      </c>
      <c r="AC88">
        <v>0</v>
      </c>
      <c r="AD88">
        <v>0</v>
      </c>
      <c r="AE88">
        <v>0</v>
      </c>
      <c r="AF88">
        <v>0</v>
      </c>
      <c r="AG88" t="str">
        <v/>
      </c>
      <c r="AH88" t="str">
        <v/>
      </c>
      <c r="AI88" t="str">
        <v/>
      </c>
      <c r="AJ88" t="str">
        <v/>
      </c>
      <c r="AK88" t="str">
        <v/>
      </c>
      <c r="AL88" t="str">
        <v/>
      </c>
    </row>
    <row r="89">
      <c r="A89" t="str">
        <v/>
      </c>
      <c r="B89" t="str">
        <v/>
      </c>
      <c r="C89" t="str">
        <v/>
      </c>
      <c r="D89" t="str">
        <v>收款进度-金额</v>
      </c>
      <c r="E89" t="str">
        <v/>
      </c>
      <c r="F89" t="str">
        <v/>
      </c>
      <c r="G89">
        <v>0</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c r="AF89" t="str">
        <v/>
      </c>
      <c r="AG89" t="str">
        <v/>
      </c>
      <c r="AH89" t="str">
        <v/>
      </c>
      <c r="AI89" t="str">
        <v/>
      </c>
      <c r="AJ89" t="str">
        <v/>
      </c>
      <c r="AK89" t="str">
        <v/>
      </c>
      <c r="AL89" t="str">
        <v/>
      </c>
    </row>
    <row r="90">
      <c r="A90" t="str">
        <v/>
      </c>
      <c r="B90" t="str">
        <v/>
      </c>
      <c r="C90" t="str">
        <v/>
      </c>
      <c r="D90" t="str">
        <v>收款进度-比例</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c r="AF90" t="str">
        <v/>
      </c>
      <c r="AG90" t="str">
        <v/>
      </c>
      <c r="AH90" t="str">
        <v/>
      </c>
      <c r="AI90" t="str">
        <v/>
      </c>
      <c r="AJ90" t="str">
        <v/>
      </c>
      <c r="AK90" t="str">
        <v/>
      </c>
      <c r="AL90" t="str">
        <v/>
      </c>
    </row>
    <row r="91">
      <c r="A91" t="str">
        <v/>
      </c>
      <c r="B91" t="str">
        <v/>
      </c>
      <c r="C91" t="str">
        <v xml:space="preserve">        和教育</v>
      </c>
      <c r="D91" t="str">
        <v>收入</v>
      </c>
      <c r="E91" t="str">
        <v/>
      </c>
      <c r="F91">
        <v>0.06</v>
      </c>
      <c r="G91">
        <v>0</v>
      </c>
      <c r="H91" t="str">
        <v/>
      </c>
      <c r="I91" t="str">
        <v/>
      </c>
      <c r="J91" t="str">
        <v/>
      </c>
      <c r="K91" t="str">
        <v/>
      </c>
      <c r="L91" t="str">
        <v/>
      </c>
      <c r="M91" t="str">
        <v/>
      </c>
      <c r="N91" t="str">
        <v/>
      </c>
      <c r="O91" t="str">
        <v/>
      </c>
      <c r="P91" t="str">
        <v/>
      </c>
      <c r="Q91" t="str">
        <v/>
      </c>
      <c r="R91" t="str">
        <v/>
      </c>
      <c r="S91" t="str">
        <v/>
      </c>
      <c r="T91">
        <v>0</v>
      </c>
      <c r="U91">
        <v>0</v>
      </c>
      <c r="V91">
        <v>0</v>
      </c>
      <c r="W91">
        <v>0</v>
      </c>
      <c r="X91">
        <v>0</v>
      </c>
      <c r="Y91">
        <v>0</v>
      </c>
      <c r="Z91">
        <v>0</v>
      </c>
      <c r="AA91">
        <v>0</v>
      </c>
      <c r="AB91">
        <v>0</v>
      </c>
      <c r="AC91">
        <v>0</v>
      </c>
      <c r="AD91">
        <v>0</v>
      </c>
      <c r="AE91">
        <v>0</v>
      </c>
      <c r="AF91">
        <v>0</v>
      </c>
      <c r="AG91" t="str">
        <v/>
      </c>
      <c r="AH91" t="str">
        <v/>
      </c>
      <c r="AI91" t="str">
        <v/>
      </c>
      <c r="AJ91" t="str">
        <v/>
      </c>
      <c r="AK91" t="str">
        <v/>
      </c>
      <c r="AL91" t="str">
        <v/>
      </c>
    </row>
    <row r="92">
      <c r="A92" t="str">
        <v/>
      </c>
      <c r="B92" t="str">
        <v/>
      </c>
      <c r="C92" t="str">
        <v/>
      </c>
      <c r="D92" t="str">
        <v>收款进度-金额</v>
      </c>
      <c r="E92" t="str">
        <v/>
      </c>
      <c r="F92" t="str">
        <v/>
      </c>
      <c r="G92">
        <v>0</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c r="AF92" t="str">
        <v/>
      </c>
      <c r="AG92" t="str">
        <v/>
      </c>
      <c r="AH92" t="str">
        <v/>
      </c>
      <c r="AI92" t="str">
        <v/>
      </c>
      <c r="AJ92" t="str">
        <v/>
      </c>
      <c r="AK92" t="str">
        <v/>
      </c>
      <c r="AL92" t="str">
        <v/>
      </c>
    </row>
    <row r="93">
      <c r="A93" t="str">
        <v/>
      </c>
      <c r="B93" t="str">
        <v/>
      </c>
      <c r="C93" t="str">
        <v/>
      </c>
      <c r="D93" t="str">
        <v>收款进度-比例</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c r="AF93" t="str">
        <v/>
      </c>
      <c r="AG93" t="str">
        <v/>
      </c>
      <c r="AH93" t="str">
        <v/>
      </c>
      <c r="AI93" t="str">
        <v/>
      </c>
      <c r="AJ93" t="str">
        <v/>
      </c>
      <c r="AK93" t="str">
        <v/>
      </c>
      <c r="AL93" t="str">
        <v/>
      </c>
    </row>
    <row r="94">
      <c r="A94" t="str">
        <v/>
      </c>
      <c r="B94" t="str">
        <v/>
      </c>
      <c r="C94" t="str">
        <v xml:space="preserve">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c r="AF94" t="str">
        <v/>
      </c>
      <c r="AG94" t="str">
        <v/>
      </c>
      <c r="AH94" t="str">
        <v/>
      </c>
      <c r="AI94" t="str">
        <v/>
      </c>
      <c r="AJ94" t="str">
        <v/>
      </c>
      <c r="AK94" t="str">
        <v/>
      </c>
      <c r="AL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c r="AF95" t="str">
        <v/>
      </c>
      <c r="AG95" t="str">
        <v/>
      </c>
      <c r="AH95" t="str">
        <v/>
      </c>
      <c r="AI95" t="str">
        <v/>
      </c>
      <c r="AJ95" t="str">
        <v/>
      </c>
      <c r="AK95" t="str">
        <v/>
      </c>
      <c r="AL95" t="str">
        <v/>
      </c>
    </row>
    <row r="96" xml:space="preserve">
      <c r="A96" t="str" xml:space="preserve">
        <v xml:space="preserve">投资支出_x000d_
（Capex）</v>
      </c>
      <c r="B96" t="str">
        <v>项目支出合计</v>
      </c>
      <c r="C96" t="str">
        <v/>
      </c>
      <c r="D96" t="str">
        <v>支出</v>
      </c>
      <c r="E96" t="str">
        <v/>
      </c>
      <c r="F96" t="str">
        <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t="str">
        <v/>
      </c>
      <c r="AH96" t="str">
        <v/>
      </c>
      <c r="AI96" t="str">
        <v/>
      </c>
      <c r="AJ96" t="str">
        <v/>
      </c>
      <c r="AK96" t="str">
        <v/>
      </c>
      <c r="AL96" t="str">
        <v/>
      </c>
    </row>
    <row r="97">
      <c r="A97" t="str">
        <v/>
      </c>
      <c r="B97" t="str">
        <v/>
      </c>
      <c r="C97" t="str">
        <v/>
      </c>
      <c r="D97" t="str">
        <v>付款进度-金额</v>
      </c>
      <c r="E97" t="str">
        <v/>
      </c>
      <c r="F97" t="str">
        <v/>
      </c>
      <c r="G97">
        <v>0</v>
      </c>
      <c r="H97">
        <v>0</v>
      </c>
      <c r="I97">
        <v>0</v>
      </c>
      <c r="J97">
        <v>0</v>
      </c>
      <c r="K97">
        <v>0</v>
      </c>
      <c r="L97">
        <v>0</v>
      </c>
      <c r="M97">
        <v>0</v>
      </c>
      <c r="N97">
        <v>0</v>
      </c>
      <c r="O97">
        <v>0</v>
      </c>
      <c r="P97">
        <v>0</v>
      </c>
      <c r="Q97">
        <v>0</v>
      </c>
      <c r="R97">
        <v>0</v>
      </c>
      <c r="S97">
        <v>0</v>
      </c>
      <c r="T97" t="str">
        <v/>
      </c>
      <c r="U97" t="str">
        <v/>
      </c>
      <c r="V97" t="str">
        <v/>
      </c>
      <c r="W97" t="str">
        <v/>
      </c>
      <c r="X97" t="str">
        <v/>
      </c>
      <c r="Y97" t="str">
        <v/>
      </c>
      <c r="Z97" t="str">
        <v/>
      </c>
      <c r="AA97" t="str">
        <v/>
      </c>
      <c r="AB97" t="str">
        <v/>
      </c>
      <c r="AC97" t="str">
        <v/>
      </c>
      <c r="AD97" t="str">
        <v/>
      </c>
      <c r="AE97" t="str">
        <v/>
      </c>
      <c r="AF97" t="str">
        <v/>
      </c>
      <c r="AG97" t="str">
        <v/>
      </c>
      <c r="AH97" t="str">
        <v/>
      </c>
      <c r="AI97" t="str">
        <v/>
      </c>
      <c r="AJ97" t="str">
        <v/>
      </c>
      <c r="AK97" t="str">
        <v/>
      </c>
      <c r="AL97" t="str">
        <v/>
      </c>
    </row>
    <row r="98">
      <c r="A98" t="str">
        <v/>
      </c>
      <c r="B98" t="str">
        <v/>
      </c>
      <c r="C98" t="str">
        <v/>
      </c>
      <c r="D98" t="str">
        <v>付款进度-比例</v>
      </c>
      <c r="E98" t="str">
        <v/>
      </c>
      <c r="F98" t="str">
        <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c r="AF98" t="str">
        <v/>
      </c>
      <c r="AG98" t="str">
        <v/>
      </c>
      <c r="AH98" t="str">
        <v/>
      </c>
      <c r="AI98" t="str">
        <v/>
      </c>
      <c r="AJ98" t="str">
        <v/>
      </c>
      <c r="AK98" t="str">
        <v/>
      </c>
      <c r="AL98" t="str">
        <v/>
      </c>
    </row>
    <row r="99">
      <c r="A99" t="str">
        <v/>
      </c>
      <c r="B99" t="str">
        <v>IT类投资</v>
      </c>
      <c r="C99" t="str">
        <v>IT类投资合计</v>
      </c>
      <c r="D99" t="str">
        <v>支出</v>
      </c>
      <c r="E99" t="str">
        <v/>
      </c>
      <c r="F99" t="str">
        <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t="str">
        <v/>
      </c>
      <c r="AH99" t="str">
        <v/>
      </c>
      <c r="AI99" t="str">
        <v/>
      </c>
      <c r="AJ99" t="str">
        <v/>
      </c>
      <c r="AK99" t="str">
        <v/>
      </c>
      <c r="AL99" t="str">
        <v/>
      </c>
    </row>
    <row r="100">
      <c r="A100" t="str">
        <v/>
      </c>
      <c r="B100" t="str">
        <v/>
      </c>
      <c r="C100" t="str">
        <v/>
      </c>
      <c r="D100" t="str">
        <v>付款进度-金额</v>
      </c>
      <c r="E100" t="str">
        <v/>
      </c>
      <c r="F100" t="str">
        <v/>
      </c>
      <c r="G100">
        <v>0</v>
      </c>
      <c r="H100">
        <v>0</v>
      </c>
      <c r="I100">
        <v>0</v>
      </c>
      <c r="J100">
        <v>0</v>
      </c>
      <c r="K100">
        <v>0</v>
      </c>
      <c r="L100">
        <v>0</v>
      </c>
      <c r="M100">
        <v>0</v>
      </c>
      <c r="N100">
        <v>0</v>
      </c>
      <c r="O100">
        <v>0</v>
      </c>
      <c r="P100">
        <v>0</v>
      </c>
      <c r="Q100">
        <v>0</v>
      </c>
      <c r="R100">
        <v>0</v>
      </c>
      <c r="S100">
        <v>0</v>
      </c>
      <c r="T100" t="str">
        <v/>
      </c>
      <c r="U100" t="str">
        <v/>
      </c>
      <c r="V100" t="str">
        <v/>
      </c>
      <c r="W100" t="str">
        <v/>
      </c>
      <c r="X100" t="str">
        <v/>
      </c>
      <c r="Y100" t="str">
        <v/>
      </c>
      <c r="Z100" t="str">
        <v/>
      </c>
      <c r="AA100" t="str">
        <v/>
      </c>
      <c r="AB100" t="str">
        <v/>
      </c>
      <c r="AC100" t="str">
        <v/>
      </c>
      <c r="AD100" t="str">
        <v/>
      </c>
      <c r="AE100" t="str">
        <v/>
      </c>
      <c r="AF100" t="str">
        <v/>
      </c>
      <c r="AG100" t="str">
        <v/>
      </c>
      <c r="AH100" t="str">
        <v/>
      </c>
      <c r="AI100" t="str">
        <v/>
      </c>
      <c r="AJ100" t="str">
        <v/>
      </c>
      <c r="AK100" t="str">
        <v/>
      </c>
      <c r="AL100" t="str">
        <v/>
      </c>
    </row>
    <row r="101">
      <c r="A101" t="str">
        <v/>
      </c>
      <c r="B101" t="str">
        <v/>
      </c>
      <c r="C101" t="str">
        <v/>
      </c>
      <c r="D101" t="str">
        <v>付款进度-比例</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c r="AF101" t="str">
        <v/>
      </c>
      <c r="AG101" t="str">
        <v/>
      </c>
      <c r="AH101" t="str">
        <v/>
      </c>
      <c r="AI101" t="str">
        <v/>
      </c>
      <c r="AJ101" t="str">
        <v/>
      </c>
      <c r="AK101" t="str">
        <v/>
      </c>
      <c r="AL101" t="str">
        <v/>
      </c>
    </row>
    <row r="102">
      <c r="A102" t="str">
        <v/>
      </c>
      <c r="B102" t="str">
        <v/>
      </c>
      <c r="C102" t="str">
        <v>1、硬件设备类投资</v>
      </c>
      <c r="D102" t="str">
        <v>支出</v>
      </c>
      <c r="E102" t="str">
        <v/>
      </c>
      <c r="F102">
        <v>0.13</v>
      </c>
      <c r="G102">
        <v>150000</v>
      </c>
      <c r="H102">
        <v>0</v>
      </c>
      <c r="I102">
        <v>150000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t="str">
        <v>指项目建设完成后资产归属于我公司的平台设备采购投资。</v>
      </c>
      <c r="AH102" t="str">
        <v/>
      </c>
      <c r="AI102" t="str">
        <v/>
      </c>
      <c r="AJ102" t="str">
        <v/>
      </c>
      <c r="AK102" t="str">
        <v/>
      </c>
      <c r="AL102" t="str">
        <v/>
      </c>
    </row>
    <row r="103">
      <c r="A103" t="str">
        <v/>
      </c>
      <c r="B103" t="str">
        <v/>
      </c>
      <c r="C103" t="str">
        <v/>
      </c>
      <c r="D103" t="str">
        <v>付款进度-金额</v>
      </c>
      <c r="E103" t="str">
        <v/>
      </c>
      <c r="F103" t="str">
        <v/>
      </c>
      <c r="G103">
        <v>0</v>
      </c>
      <c r="H103" t="str">
        <v/>
      </c>
      <c r="I103">
        <v>150000</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t="str">
        <v/>
      </c>
      <c r="AB103" t="str">
        <v/>
      </c>
      <c r="AC103" t="str">
        <v/>
      </c>
      <c r="AD103" t="str">
        <v/>
      </c>
      <c r="AE103" t="str">
        <v/>
      </c>
      <c r="AF103" t="str">
        <v/>
      </c>
      <c r="AG103" t="str">
        <v/>
      </c>
      <c r="AH103" t="str">
        <v/>
      </c>
      <c r="AI103" t="str">
        <v/>
      </c>
      <c r="AJ103" t="str">
        <v/>
      </c>
      <c r="AK103" t="str">
        <v/>
      </c>
      <c r="AL103" t="str">
        <v/>
      </c>
    </row>
    <row r="104">
      <c r="A104" t="str">
        <v/>
      </c>
      <c r="B104" t="str">
        <v/>
      </c>
      <c r="C104" t="str">
        <v/>
      </c>
      <c r="D104" t="str">
        <v>付款进度-比例</v>
      </c>
      <c r="E104" t="str">
        <v/>
      </c>
      <c r="F104" t="str">
        <v/>
      </c>
      <c r="G104" t="str">
        <v/>
      </c>
      <c r="H104" t="str">
        <v/>
      </c>
      <c r="I104">
        <v>1</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c r="AF104" t="str">
        <v/>
      </c>
      <c r="AG104" t="str">
        <v/>
      </c>
      <c r="AH104" t="str">
        <v/>
      </c>
      <c r="AI104" t="str">
        <v/>
      </c>
      <c r="AJ104" t="str">
        <v/>
      </c>
      <c r="AK104" t="str">
        <v/>
      </c>
      <c r="AL104" t="str">
        <v/>
      </c>
    </row>
    <row r="105">
      <c r="A105" t="str">
        <v/>
      </c>
      <c r="B105" t="str">
        <v/>
      </c>
      <c r="C105" t="str">
        <v>2、定制软件类投资</v>
      </c>
      <c r="D105" t="str">
        <v>支出</v>
      </c>
      <c r="E105" t="str">
        <v/>
      </c>
      <c r="F105">
        <v>0.06</v>
      </c>
      <c r="G105">
        <v>80000</v>
      </c>
      <c r="H105">
        <v>0</v>
      </c>
      <c r="I105">
        <v>80000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t="str">
        <v>指项目建设完成后资产归属于我公司的平台定制软件采购投资。</v>
      </c>
      <c r="AH105" t="str">
        <v/>
      </c>
      <c r="AI105" t="str">
        <v/>
      </c>
      <c r="AJ105" t="str">
        <v/>
      </c>
      <c r="AK105" t="str">
        <v/>
      </c>
      <c r="AL105" t="str">
        <v/>
      </c>
    </row>
    <row r="106">
      <c r="A106" t="str">
        <v/>
      </c>
      <c r="B106" t="str">
        <v/>
      </c>
      <c r="C106" t="str">
        <v/>
      </c>
      <c r="D106" t="str">
        <v>付款进度-金额</v>
      </c>
      <c r="E106" t="str">
        <v/>
      </c>
      <c r="F106" t="str">
        <v/>
      </c>
      <c r="G106">
        <v>0</v>
      </c>
      <c r="H106" t="str">
        <v/>
      </c>
      <c r="I106">
        <v>80000</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c r="AF106" t="str">
        <v/>
      </c>
      <c r="AG106" t="str">
        <v/>
      </c>
      <c r="AH106" t="str">
        <v/>
      </c>
      <c r="AI106" t="str">
        <v/>
      </c>
      <c r="AJ106" t="str">
        <v/>
      </c>
      <c r="AK106" t="str">
        <v/>
      </c>
      <c r="AL106" t="str">
        <v/>
      </c>
    </row>
    <row r="107">
      <c r="A107" t="str">
        <v/>
      </c>
      <c r="B107" t="str">
        <v/>
      </c>
      <c r="C107" t="str">
        <v/>
      </c>
      <c r="D107" t="str">
        <v>付款进度-比例</v>
      </c>
      <c r="E107" t="str">
        <v/>
      </c>
      <c r="F107" t="str">
        <v/>
      </c>
      <c r="G107" t="str">
        <v/>
      </c>
      <c r="H107" t="str">
        <v/>
      </c>
      <c r="I107">
        <v>1</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c r="AK107" t="str">
        <v/>
      </c>
      <c r="AL107" t="str">
        <v/>
      </c>
    </row>
    <row r="108">
      <c r="A108" t="str">
        <v/>
      </c>
      <c r="B108" t="str">
        <v/>
      </c>
      <c r="C108" t="str">
        <v>3、 集成服务费-信息服务</v>
      </c>
      <c r="D108" t="str">
        <v>支出</v>
      </c>
      <c r="E108" t="str">
        <v/>
      </c>
      <c r="F108">
        <v>0.06</v>
      </c>
      <c r="G108" t="str">
        <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t="str">
        <v>指资产归属于我公司的平台软硬件设备集成费用。</v>
      </c>
      <c r="AH108" t="str">
        <v/>
      </c>
      <c r="AI108" t="str">
        <v/>
      </c>
      <c r="AJ108" t="str">
        <v/>
      </c>
      <c r="AK108" t="str">
        <v/>
      </c>
      <c r="AL108" t="str">
        <v/>
      </c>
    </row>
    <row r="109">
      <c r="A109" t="str">
        <v/>
      </c>
      <c r="B109" t="str">
        <v/>
      </c>
      <c r="C109" t="str">
        <v/>
      </c>
      <c r="D109" t="str">
        <v>付款进度-金额</v>
      </c>
      <c r="E109" t="str">
        <v/>
      </c>
      <c r="F109" t="str">
        <v/>
      </c>
      <c r="G109">
        <v>0</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c r="AF109" t="str">
        <v/>
      </c>
      <c r="AG109" t="str">
        <v/>
      </c>
      <c r="AH109" t="str">
        <v/>
      </c>
      <c r="AI109" t="str">
        <v/>
      </c>
      <c r="AJ109" t="str">
        <v/>
      </c>
      <c r="AK109" t="str">
        <v/>
      </c>
      <c r="AL109" t="str">
        <v/>
      </c>
    </row>
    <row r="110">
      <c r="A110" t="str">
        <v/>
      </c>
      <c r="B110" t="str">
        <v/>
      </c>
      <c r="C110" t="str">
        <v/>
      </c>
      <c r="D110" t="str">
        <v>付款进度-比例</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c r="AF110" t="str">
        <v/>
      </c>
      <c r="AG110" t="str">
        <v/>
      </c>
      <c r="AH110" t="str">
        <v/>
      </c>
      <c r="AI110" t="str">
        <v/>
      </c>
      <c r="AJ110" t="str">
        <v/>
      </c>
      <c r="AK110" t="str">
        <v/>
      </c>
      <c r="AL110" t="str">
        <v/>
      </c>
    </row>
    <row r="111">
      <c r="A111" t="str">
        <v/>
      </c>
      <c r="B111" t="str">
        <v/>
      </c>
      <c r="C111" t="str">
        <v>4、 集成服务费-安装</v>
      </c>
      <c r="D111" t="str">
        <v>支出</v>
      </c>
      <c r="E111" t="str">
        <v/>
      </c>
      <c r="F111">
        <v>0.09</v>
      </c>
      <c r="G111" t="str">
        <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t="str">
        <v/>
      </c>
      <c r="AH111" t="str">
        <v/>
      </c>
      <c r="AI111" t="str">
        <v/>
      </c>
      <c r="AJ111" t="str">
        <v/>
      </c>
      <c r="AK111" t="str">
        <v/>
      </c>
      <c r="AL111" t="str">
        <v/>
      </c>
    </row>
    <row r="112">
      <c r="A112" t="str">
        <v/>
      </c>
      <c r="B112" t="str">
        <v/>
      </c>
      <c r="C112" t="str">
        <v/>
      </c>
      <c r="D112" t="str">
        <v>付款进度-金额</v>
      </c>
      <c r="E112" t="str">
        <v/>
      </c>
      <c r="F112" t="str">
        <v/>
      </c>
      <c r="G112">
        <v>0</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c r="AF112" t="str">
        <v/>
      </c>
      <c r="AG112" t="str">
        <v/>
      </c>
      <c r="AH112" t="str">
        <v/>
      </c>
      <c r="AI112" t="str">
        <v/>
      </c>
      <c r="AJ112" t="str">
        <v/>
      </c>
      <c r="AK112" t="str">
        <v/>
      </c>
      <c r="AL112" t="str">
        <v/>
      </c>
    </row>
    <row r="113">
      <c r="A113" t="str">
        <v/>
      </c>
      <c r="B113" t="str">
        <v/>
      </c>
      <c r="C113" t="str">
        <v/>
      </c>
      <c r="D113" t="str">
        <v>付款进度-比例</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c r="AF113" t="str">
        <v/>
      </c>
      <c r="AG113" t="str">
        <v/>
      </c>
      <c r="AH113" t="str">
        <v/>
      </c>
      <c r="AI113" t="str">
        <v/>
      </c>
      <c r="AJ113" t="str">
        <v/>
      </c>
      <c r="AK113" t="str">
        <v/>
      </c>
      <c r="AL113" t="str">
        <v/>
      </c>
    </row>
    <row r="114">
      <c r="A114" t="str">
        <v/>
      </c>
      <c r="B114" t="str">
        <v/>
      </c>
      <c r="C114" t="str">
        <v>5、工程配套费</v>
      </c>
      <c r="D114" t="str">
        <v>支出</v>
      </c>
      <c r="E114" t="str">
        <v/>
      </c>
      <c r="F114">
        <v>0.09</v>
      </c>
      <c r="G114" t="str">
        <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t="str">
        <v>指资产归属我公司的平台软硬件设备设所需的线缆、走线架等配套费用</v>
      </c>
      <c r="AH114" t="str">
        <v/>
      </c>
      <c r="AI114" t="str">
        <v/>
      </c>
      <c r="AJ114" t="str">
        <v/>
      </c>
      <c r="AK114" t="str">
        <v/>
      </c>
      <c r="AL114" t="str">
        <v/>
      </c>
    </row>
    <row r="115">
      <c r="A115" t="str">
        <v/>
      </c>
      <c r="B115" t="str">
        <v/>
      </c>
      <c r="C115" t="str">
        <v/>
      </c>
      <c r="D115" t="str">
        <v>付款进度-金额</v>
      </c>
      <c r="E115" t="str">
        <v/>
      </c>
      <c r="F115" t="str">
        <v/>
      </c>
      <c r="G115">
        <v>0</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c r="AB115" t="str">
        <v/>
      </c>
      <c r="AC115" t="str">
        <v/>
      </c>
      <c r="AD115" t="str">
        <v/>
      </c>
      <c r="AE115" t="str">
        <v/>
      </c>
      <c r="AF115" t="str">
        <v/>
      </c>
      <c r="AG115" t="str">
        <v/>
      </c>
      <c r="AH115" t="str">
        <v/>
      </c>
      <c r="AI115" t="str">
        <v/>
      </c>
      <c r="AJ115" t="str">
        <v/>
      </c>
      <c r="AK115" t="str">
        <v/>
      </c>
      <c r="AL115" t="str">
        <v/>
      </c>
    </row>
    <row r="116">
      <c r="A116" t="str">
        <v/>
      </c>
      <c r="B116" t="str">
        <v/>
      </c>
      <c r="C116" t="str">
        <v/>
      </c>
      <c r="D116" t="str">
        <v>付款进度-比例</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c r="AF116" t="str">
        <v/>
      </c>
      <c r="AG116" t="str">
        <v/>
      </c>
      <c r="AH116" t="str">
        <v/>
      </c>
      <c r="AI116" t="str">
        <v/>
      </c>
      <c r="AJ116" t="str">
        <v/>
      </c>
      <c r="AK116" t="str">
        <v/>
      </c>
      <c r="AL116" t="str">
        <v/>
      </c>
    </row>
    <row r="117">
      <c r="A117" t="str">
        <v/>
      </c>
      <c r="B117" t="str">
        <v/>
      </c>
      <c r="C117" t="str">
        <v>6、建安费用</v>
      </c>
      <c r="D117" t="str">
        <v>支出</v>
      </c>
      <c r="E117" t="str">
        <v/>
      </c>
      <c r="F117">
        <v>0.09</v>
      </c>
      <c r="G117" t="str">
        <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tr">
        <v>指资产归属我公司的平台软硬件设备建设安装工程费。</v>
      </c>
      <c r="AH117" t="str">
        <v/>
      </c>
      <c r="AI117" t="str">
        <v/>
      </c>
      <c r="AJ117" t="str">
        <v/>
      </c>
      <c r="AK117" t="str">
        <v/>
      </c>
      <c r="AL117" t="str">
        <v/>
      </c>
    </row>
    <row r="118">
      <c r="A118" t="str">
        <v/>
      </c>
      <c r="B118" t="str">
        <v/>
      </c>
      <c r="C118" t="str">
        <v/>
      </c>
      <c r="D118" t="str">
        <v>付款进度-金额</v>
      </c>
      <c r="E118" t="str">
        <v/>
      </c>
      <c r="F118" t="str">
        <v/>
      </c>
      <c r="G118">
        <v>0</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c r="AF118" t="str">
        <v/>
      </c>
      <c r="AG118" t="str">
        <v/>
      </c>
      <c r="AH118" t="str">
        <v/>
      </c>
      <c r="AI118" t="str">
        <v/>
      </c>
      <c r="AJ118" t="str">
        <v/>
      </c>
      <c r="AK118" t="str">
        <v/>
      </c>
      <c r="AL118" t="str">
        <v/>
      </c>
    </row>
    <row r="119">
      <c r="A119" t="str">
        <v/>
      </c>
      <c r="B119" t="str">
        <v/>
      </c>
      <c r="C119" t="str">
        <v/>
      </c>
      <c r="D119" t="str">
        <v>付款进度-比例</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c r="AF119" t="str">
        <v/>
      </c>
      <c r="AG119" t="str">
        <v/>
      </c>
      <c r="AH119" t="str">
        <v/>
      </c>
      <c r="AI119" t="str">
        <v/>
      </c>
      <c r="AJ119" t="str">
        <v/>
      </c>
      <c r="AK119" t="str">
        <v/>
      </c>
      <c r="AL119" t="str">
        <v/>
      </c>
    </row>
    <row r="120">
      <c r="A120" t="str">
        <v/>
      </c>
      <c r="B120" t="str">
        <v/>
      </c>
      <c r="C120" t="str">
        <v xml:space="preserve">        ……</v>
      </c>
      <c r="D120" t="str">
        <v/>
      </c>
      <c r="E120" t="str">
        <v/>
      </c>
      <c r="F120" t="str">
        <v/>
      </c>
      <c r="G120" t="str">
        <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t="str">
        <v>除上述6项外的其他IT类投资，如有多个，可插行填写</v>
      </c>
      <c r="AH120" t="str">
        <v/>
      </c>
      <c r="AI120" t="str">
        <v/>
      </c>
      <c r="AJ120" t="str">
        <v/>
      </c>
      <c r="AK120" t="str">
        <v/>
      </c>
      <c r="AL120" t="str">
        <v/>
      </c>
    </row>
    <row r="121">
      <c r="A121" t="str">
        <v/>
      </c>
      <c r="B121" t="str">
        <v>CT类投资</v>
      </c>
      <c r="C121" t="str">
        <v>CT类投资合计</v>
      </c>
      <c r="D121" t="str">
        <v>支出</v>
      </c>
      <c r="E121" t="str">
        <v/>
      </c>
      <c r="F121" t="str">
        <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tr">
        <v>为带来CT收入所发生的CT类投资，如有多项可插行填写</v>
      </c>
      <c r="AH121" t="str">
        <v/>
      </c>
      <c r="AI121" t="str">
        <v/>
      </c>
      <c r="AJ121" t="str">
        <v/>
      </c>
      <c r="AK121" t="str">
        <v/>
      </c>
      <c r="AL121" t="str">
        <v/>
      </c>
    </row>
    <row r="122">
      <c r="A122" t="str">
        <v/>
      </c>
      <c r="B122" t="str">
        <v/>
      </c>
      <c r="C122" t="str">
        <v/>
      </c>
      <c r="D122" t="str">
        <v>付款进度-金额</v>
      </c>
      <c r="E122" t="str">
        <v/>
      </c>
      <c r="F122" t="str">
        <v/>
      </c>
      <c r="G122">
        <v>0</v>
      </c>
      <c r="H122">
        <v>0</v>
      </c>
      <c r="I122">
        <v>0</v>
      </c>
      <c r="J122">
        <v>0</v>
      </c>
      <c r="K122">
        <v>0</v>
      </c>
      <c r="L122">
        <v>0</v>
      </c>
      <c r="M122">
        <v>0</v>
      </c>
      <c r="N122">
        <v>0</v>
      </c>
      <c r="O122">
        <v>0</v>
      </c>
      <c r="P122">
        <v>0</v>
      </c>
      <c r="Q122">
        <v>0</v>
      </c>
      <c r="R122">
        <v>0</v>
      </c>
      <c r="S122">
        <v>0</v>
      </c>
      <c r="T122" t="str">
        <v/>
      </c>
      <c r="U122" t="str">
        <v/>
      </c>
      <c r="V122" t="str">
        <v/>
      </c>
      <c r="W122" t="str">
        <v/>
      </c>
      <c r="X122" t="str">
        <v/>
      </c>
      <c r="Y122" t="str">
        <v/>
      </c>
      <c r="Z122" t="str">
        <v/>
      </c>
      <c r="AA122" t="str">
        <v/>
      </c>
      <c r="AB122" t="str">
        <v/>
      </c>
      <c r="AC122" t="str">
        <v/>
      </c>
      <c r="AD122" t="str">
        <v/>
      </c>
      <c r="AE122" t="str">
        <v/>
      </c>
      <c r="AF122" t="str">
        <v/>
      </c>
      <c r="AG122" t="str">
        <v/>
      </c>
      <c r="AH122" t="str">
        <v/>
      </c>
      <c r="AI122" t="str">
        <v/>
      </c>
      <c r="AJ122" t="str">
        <v/>
      </c>
      <c r="AK122" t="str">
        <v/>
      </c>
      <c r="AL122" t="str">
        <v/>
      </c>
    </row>
    <row r="123">
      <c r="A123" t="str">
        <v/>
      </c>
      <c r="B123" t="str">
        <v/>
      </c>
      <c r="C123" t="str">
        <v/>
      </c>
      <c r="D123" t="str">
        <v>付款进度-比例</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c r="AF123" t="str">
        <v/>
      </c>
      <c r="AG123" t="str">
        <v/>
      </c>
      <c r="AH123" t="str">
        <v/>
      </c>
      <c r="AI123" t="str">
        <v/>
      </c>
      <c r="AJ123" t="str">
        <v/>
      </c>
      <c r="AK123" t="str">
        <v/>
      </c>
      <c r="AL123" t="str">
        <v/>
      </c>
    </row>
    <row r="124">
      <c r="A124" t="str">
        <v/>
      </c>
      <c r="B124" t="str">
        <v/>
      </c>
      <c r="C124" t="str">
        <v>1、硬件设备类投资</v>
      </c>
      <c r="D124" t="str">
        <v>支出</v>
      </c>
      <c r="E124" t="str">
        <v/>
      </c>
      <c r="F124">
        <v>0.13</v>
      </c>
      <c r="G124">
        <v>300000</v>
      </c>
      <c r="H124">
        <v>0</v>
      </c>
      <c r="I124">
        <v>300000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t="str">
        <v/>
      </c>
      <c r="AH124" t="str">
        <v/>
      </c>
      <c r="AI124" t="str">
        <v/>
      </c>
      <c r="AJ124" t="str">
        <v/>
      </c>
      <c r="AK124" t="str">
        <v/>
      </c>
      <c r="AL124" t="str">
        <v/>
      </c>
    </row>
    <row r="125">
      <c r="A125" t="str">
        <v/>
      </c>
      <c r="B125" t="str">
        <v/>
      </c>
      <c r="C125" t="str">
        <v/>
      </c>
      <c r="D125" t="str">
        <v>付款进度-金额</v>
      </c>
      <c r="E125" t="str">
        <v/>
      </c>
      <c r="F125" t="str">
        <v/>
      </c>
      <c r="G125">
        <v>0</v>
      </c>
      <c r="H125" t="str">
        <v/>
      </c>
      <c r="I125">
        <v>300000</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c r="AF125" t="str">
        <v/>
      </c>
      <c r="AG125" t="str">
        <v/>
      </c>
      <c r="AH125" t="str">
        <v/>
      </c>
      <c r="AI125" t="str">
        <v/>
      </c>
      <c r="AJ125" t="str">
        <v/>
      </c>
      <c r="AK125" t="str">
        <v/>
      </c>
      <c r="AL125" t="str">
        <v/>
      </c>
    </row>
    <row r="126">
      <c r="A126" t="str">
        <v/>
      </c>
      <c r="B126" t="str">
        <v/>
      </c>
      <c r="C126" t="str">
        <v/>
      </c>
      <c r="D126" t="str">
        <v>付款进度-比例</v>
      </c>
      <c r="E126" t="str">
        <v/>
      </c>
      <c r="F126" t="str">
        <v/>
      </c>
      <c r="G126" t="str">
        <v/>
      </c>
      <c r="H126" t="str">
        <v/>
      </c>
      <c r="I126">
        <v>1</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c r="AF126" t="str">
        <v/>
      </c>
      <c r="AG126" t="str">
        <v/>
      </c>
      <c r="AH126" t="str">
        <v/>
      </c>
      <c r="AI126" t="str">
        <v/>
      </c>
      <c r="AJ126" t="str">
        <v/>
      </c>
      <c r="AK126" t="str">
        <v/>
      </c>
      <c r="AL126" t="str">
        <v/>
      </c>
    </row>
    <row r="127">
      <c r="A127" t="str">
        <v/>
      </c>
      <c r="B127" t="str">
        <v/>
      </c>
      <c r="C127" t="str">
        <v>2、定制软件类投资</v>
      </c>
      <c r="D127" t="str">
        <v>支出</v>
      </c>
      <c r="E127" t="str">
        <v/>
      </c>
      <c r="F127">
        <v>0.06</v>
      </c>
      <c r="G127" t="str">
        <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t="str">
        <v/>
      </c>
      <c r="AH127" t="str">
        <v/>
      </c>
      <c r="AI127" t="str">
        <v/>
      </c>
      <c r="AJ127" t="str">
        <v/>
      </c>
      <c r="AK127" t="str">
        <v/>
      </c>
      <c r="AL127" t="str">
        <v/>
      </c>
    </row>
    <row r="128">
      <c r="A128" t="str">
        <v/>
      </c>
      <c r="B128" t="str">
        <v/>
      </c>
      <c r="C128" t="str">
        <v/>
      </c>
      <c r="D128" t="str">
        <v>付款进度-金额</v>
      </c>
      <c r="E128" t="str">
        <v/>
      </c>
      <c r="F128" t="str">
        <v/>
      </c>
      <c r="G128">
        <v>0</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c r="AF128" t="str">
        <v/>
      </c>
      <c r="AG128" t="str">
        <v/>
      </c>
      <c r="AH128" t="str">
        <v/>
      </c>
      <c r="AI128" t="str">
        <v/>
      </c>
      <c r="AJ128" t="str">
        <v/>
      </c>
      <c r="AK128" t="str">
        <v/>
      </c>
      <c r="AL128" t="str">
        <v/>
      </c>
    </row>
    <row r="129">
      <c r="A129" t="str">
        <v/>
      </c>
      <c r="B129" t="str">
        <v/>
      </c>
      <c r="C129" t="str">
        <v/>
      </c>
      <c r="D129" t="str">
        <v>付款进度-比例</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c r="AF129" t="str">
        <v/>
      </c>
      <c r="AG129" t="str">
        <v/>
      </c>
      <c r="AH129" t="str">
        <v/>
      </c>
      <c r="AI129" t="str">
        <v/>
      </c>
      <c r="AJ129" t="str">
        <v/>
      </c>
      <c r="AK129" t="str">
        <v/>
      </c>
      <c r="AL129" t="str">
        <v/>
      </c>
    </row>
    <row r="130">
      <c r="A130" t="str">
        <v/>
      </c>
      <c r="B130" t="str">
        <v/>
      </c>
      <c r="C130" t="str">
        <v>3、施工费用</v>
      </c>
      <c r="D130" t="str">
        <v>支出</v>
      </c>
      <c r="E130" t="str">
        <v/>
      </c>
      <c r="F130">
        <v>0.09</v>
      </c>
      <c r="G130">
        <v>50000</v>
      </c>
      <c r="H130">
        <v>0</v>
      </c>
      <c r="I130">
        <v>50000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t="str">
        <v/>
      </c>
      <c r="AH130" t="str">
        <v/>
      </c>
      <c r="AI130" t="str">
        <v/>
      </c>
      <c r="AJ130" t="str">
        <v/>
      </c>
      <c r="AK130" t="str">
        <v/>
      </c>
      <c r="AL130" t="str">
        <v/>
      </c>
    </row>
    <row r="131">
      <c r="A131" t="str">
        <v/>
      </c>
      <c r="B131" t="str">
        <v/>
      </c>
      <c r="C131" t="str">
        <v/>
      </c>
      <c r="D131" t="str">
        <v>付款进度-金额</v>
      </c>
      <c r="E131" t="str">
        <v/>
      </c>
      <c r="F131" t="str">
        <v/>
      </c>
      <c r="G131">
        <v>0</v>
      </c>
      <c r="H131" t="str">
        <v/>
      </c>
      <c r="I131">
        <v>50000</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c r="AF131" t="str">
        <v/>
      </c>
      <c r="AG131" t="str">
        <v/>
      </c>
      <c r="AH131" t="str">
        <v/>
      </c>
      <c r="AI131" t="str">
        <v/>
      </c>
      <c r="AJ131" t="str">
        <v/>
      </c>
      <c r="AK131" t="str">
        <v/>
      </c>
      <c r="AL131" t="str">
        <v/>
      </c>
    </row>
    <row r="132">
      <c r="A132" t="str">
        <v/>
      </c>
      <c r="B132" t="str">
        <v/>
      </c>
      <c r="C132" t="str">
        <v/>
      </c>
      <c r="D132" t="str">
        <v>付款进度-比例</v>
      </c>
      <c r="E132" t="str">
        <v/>
      </c>
      <c r="F132" t="str">
        <v/>
      </c>
      <c r="G132" t="str">
        <v/>
      </c>
      <c r="H132" t="str">
        <v/>
      </c>
      <c r="I132">
        <v>1</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c r="AF132" t="str">
        <v/>
      </c>
      <c r="AG132" t="str">
        <v/>
      </c>
      <c r="AH132" t="str">
        <v/>
      </c>
      <c r="AI132" t="str">
        <v/>
      </c>
      <c r="AJ132" t="str">
        <v/>
      </c>
      <c r="AK132" t="str">
        <v/>
      </c>
      <c r="AL132" t="str">
        <v/>
      </c>
    </row>
    <row r="133">
      <c r="A133" t="str">
        <v/>
      </c>
      <c r="B133" t="str">
        <v/>
      </c>
      <c r="C133" t="str">
        <v>4、设计监理</v>
      </c>
      <c r="D133" t="str">
        <v>支出</v>
      </c>
      <c r="E133" t="str">
        <v/>
      </c>
      <c r="F133">
        <v>0.06</v>
      </c>
      <c r="G133" t="str">
        <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tr">
        <v/>
      </c>
      <c r="AH133" t="str">
        <v/>
      </c>
      <c r="AI133" t="str">
        <v/>
      </c>
      <c r="AJ133" t="str">
        <v/>
      </c>
      <c r="AK133" t="str">
        <v/>
      </c>
      <c r="AL133" t="str">
        <v/>
      </c>
    </row>
    <row r="134">
      <c r="A134" t="str">
        <v/>
      </c>
      <c r="B134" t="str">
        <v/>
      </c>
      <c r="C134" t="str">
        <v/>
      </c>
      <c r="D134" t="str">
        <v>付款进度-金额</v>
      </c>
      <c r="E134" t="str">
        <v/>
      </c>
      <c r="F134" t="str">
        <v/>
      </c>
      <c r="G134">
        <v>0</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c r="AF134" t="str">
        <v/>
      </c>
      <c r="AG134" t="str">
        <v/>
      </c>
      <c r="AH134" t="str">
        <v/>
      </c>
      <c r="AI134" t="str">
        <v/>
      </c>
      <c r="AJ134" t="str">
        <v/>
      </c>
      <c r="AK134" t="str">
        <v/>
      </c>
      <c r="AL134" t="str">
        <v/>
      </c>
    </row>
    <row r="135">
      <c r="A135" t="str">
        <v/>
      </c>
      <c r="B135" t="str">
        <v/>
      </c>
      <c r="C135" t="str">
        <v/>
      </c>
      <c r="D135" t="str">
        <v>付款进度-比例</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c r="AF135" t="str">
        <v/>
      </c>
      <c r="AG135" t="str">
        <v/>
      </c>
      <c r="AH135" t="str">
        <v/>
      </c>
      <c r="AI135" t="str">
        <v/>
      </c>
      <c r="AJ135" t="str">
        <v/>
      </c>
      <c r="AK135" t="str">
        <v/>
      </c>
      <c r="AL135" t="str">
        <v/>
      </c>
    </row>
    <row r="136">
      <c r="A136" t="str">
        <v/>
      </c>
      <c r="B136" t="str">
        <v/>
      </c>
      <c r="C136" t="str">
        <v>5、配套费用</v>
      </c>
      <c r="D136" t="str">
        <v>支出</v>
      </c>
      <c r="E136" t="str">
        <v/>
      </c>
      <c r="F136">
        <v>0.09</v>
      </c>
      <c r="G136" t="str">
        <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t="str">
        <v/>
      </c>
      <c r="AH136" t="str">
        <v/>
      </c>
      <c r="AI136" t="str">
        <v/>
      </c>
      <c r="AJ136" t="str">
        <v/>
      </c>
      <c r="AK136" t="str">
        <v/>
      </c>
      <c r="AL136" t="str">
        <v/>
      </c>
    </row>
    <row r="137">
      <c r="A137" t="str">
        <v/>
      </c>
      <c r="B137" t="str">
        <v/>
      </c>
      <c r="C137" t="str">
        <v/>
      </c>
      <c r="D137" t="str">
        <v>付款进度-金额</v>
      </c>
      <c r="E137" t="str">
        <v/>
      </c>
      <c r="F137" t="str">
        <v/>
      </c>
      <c r="G137">
        <v>0</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c r="AF137" t="str">
        <v/>
      </c>
      <c r="AG137" t="str">
        <v/>
      </c>
      <c r="AH137" t="str">
        <v/>
      </c>
      <c r="AI137" t="str">
        <v/>
      </c>
      <c r="AJ137" t="str">
        <v/>
      </c>
      <c r="AK137" t="str">
        <v/>
      </c>
      <c r="AL137" t="str">
        <v/>
      </c>
    </row>
    <row r="138">
      <c r="A138" t="str">
        <v/>
      </c>
      <c r="B138" t="str">
        <v/>
      </c>
      <c r="C138" t="str">
        <v/>
      </c>
      <c r="D138" t="str">
        <v>付款进度-比例</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c r="AF138" t="str">
        <v/>
      </c>
      <c r="AG138" t="str">
        <v/>
      </c>
      <c r="AH138" t="str">
        <v/>
      </c>
      <c r="AI138" t="str">
        <v/>
      </c>
      <c r="AJ138" t="str">
        <v/>
      </c>
      <c r="AK138" t="str">
        <v/>
      </c>
      <c r="AL138" t="str">
        <v/>
      </c>
    </row>
    <row r="139">
      <c r="A139" t="str">
        <v/>
      </c>
      <c r="B139" t="str">
        <v/>
      </c>
      <c r="C139" t="str">
        <v xml:space="preserve">        ……</v>
      </c>
      <c r="D139" t="str">
        <v/>
      </c>
      <c r="E139" t="str">
        <v/>
      </c>
      <c r="F139" t="str">
        <v/>
      </c>
      <c r="G139" t="str">
        <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t="str">
        <v/>
      </c>
      <c r="AH139" t="str">
        <v/>
      </c>
      <c r="AI139" t="str">
        <v/>
      </c>
      <c r="AJ139" t="str">
        <v/>
      </c>
      <c r="AK139" t="str">
        <v/>
      </c>
      <c r="AL139" t="str">
        <v/>
      </c>
    </row>
    <row r="140" xml:space="preserve">
      <c r="A140" t="str" xml:space="preserve">
        <v xml:space="preserve">成本支出_x000d_
（Opex）</v>
      </c>
      <c r="B140" t="str">
        <v>IT类成本</v>
      </c>
      <c r="C140" t="str">
        <v>IT类成本合计</v>
      </c>
      <c r="D140" t="str">
        <v>支出</v>
      </c>
      <c r="E140" t="str">
        <v/>
      </c>
      <c r="F140" t="str">
        <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t="str">
        <v/>
      </c>
      <c r="AH140" t="str">
        <v/>
      </c>
      <c r="AI140" t="str">
        <v/>
      </c>
      <c r="AJ140" t="str">
        <v/>
      </c>
      <c r="AK140" t="str">
        <v/>
      </c>
      <c r="AL140" t="str">
        <v/>
      </c>
    </row>
    <row r="141">
      <c r="A141" t="str">
        <v/>
      </c>
      <c r="B141" t="str">
        <v/>
      </c>
      <c r="C141" t="str">
        <v/>
      </c>
      <c r="D141" t="str">
        <v>付款进度-金额</v>
      </c>
      <c r="E141" t="str">
        <v/>
      </c>
      <c r="F141" t="str">
        <v/>
      </c>
      <c r="G141">
        <v>0</v>
      </c>
      <c r="H141">
        <v>0</v>
      </c>
      <c r="I141">
        <v>0</v>
      </c>
      <c r="J141">
        <v>0</v>
      </c>
      <c r="K141">
        <v>0</v>
      </c>
      <c r="L141">
        <v>0</v>
      </c>
      <c r="M141">
        <v>0</v>
      </c>
      <c r="N141">
        <v>0</v>
      </c>
      <c r="O141">
        <v>0</v>
      </c>
      <c r="P141">
        <v>0</v>
      </c>
      <c r="Q141">
        <v>0</v>
      </c>
      <c r="R141">
        <v>0</v>
      </c>
      <c r="S141">
        <v>0</v>
      </c>
      <c r="T141" t="str">
        <v/>
      </c>
      <c r="U141" t="str">
        <v/>
      </c>
      <c r="V141" t="str">
        <v/>
      </c>
      <c r="W141" t="str">
        <v/>
      </c>
      <c r="X141" t="str">
        <v/>
      </c>
      <c r="Y141" t="str">
        <v/>
      </c>
      <c r="Z141" t="str">
        <v/>
      </c>
      <c r="AA141" t="str">
        <v/>
      </c>
      <c r="AB141" t="str">
        <v/>
      </c>
      <c r="AC141" t="str">
        <v/>
      </c>
      <c r="AD141" t="str">
        <v/>
      </c>
      <c r="AE141" t="str">
        <v/>
      </c>
      <c r="AF141" t="str">
        <v/>
      </c>
      <c r="AG141" t="str">
        <v/>
      </c>
      <c r="AH141" t="str">
        <v/>
      </c>
      <c r="AI141" t="str">
        <v/>
      </c>
      <c r="AJ141" t="str">
        <v/>
      </c>
      <c r="AK141" t="str">
        <v/>
      </c>
      <c r="AL141" t="str">
        <v/>
      </c>
    </row>
    <row r="142">
      <c r="A142" t="str">
        <v/>
      </c>
      <c r="B142" t="str">
        <v/>
      </c>
      <c r="C142" t="str">
        <v/>
      </c>
      <c r="D142" t="str">
        <v>付款进度-比例</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c r="AF142" t="str">
        <v/>
      </c>
      <c r="AG142" t="str">
        <v/>
      </c>
      <c r="AH142" t="str">
        <v/>
      </c>
      <c r="AI142" t="str">
        <v/>
      </c>
      <c r="AJ142" t="str">
        <v/>
      </c>
      <c r="AK142" t="str">
        <v/>
      </c>
      <c r="AL142" t="str">
        <v/>
      </c>
    </row>
    <row r="143">
      <c r="A143" t="str">
        <v/>
      </c>
      <c r="B143" t="str">
        <v/>
      </c>
      <c r="C143" t="str">
        <v>1、通信及信息服务成本合计</v>
      </c>
      <c r="D143" t="str">
        <v>支出</v>
      </c>
      <c r="E143" t="str">
        <v/>
      </c>
      <c r="F143" t="str">
        <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t="str">
        <v/>
      </c>
      <c r="AH143" t="str">
        <v/>
      </c>
      <c r="AI143" t="str">
        <v/>
      </c>
      <c r="AJ143" t="str">
        <v/>
      </c>
      <c r="AK143" t="str">
        <v/>
      </c>
      <c r="AL143" t="str">
        <v/>
      </c>
    </row>
    <row r="144">
      <c r="A144" t="str">
        <v/>
      </c>
      <c r="B144" t="str">
        <v/>
      </c>
      <c r="C144" t="str">
        <v/>
      </c>
      <c r="D144" t="str">
        <v>付款进度-金额</v>
      </c>
      <c r="E144" t="str">
        <v/>
      </c>
      <c r="F144" t="str">
        <v/>
      </c>
      <c r="G144">
        <v>0</v>
      </c>
      <c r="H144">
        <v>0</v>
      </c>
      <c r="I144">
        <v>0</v>
      </c>
      <c r="J144">
        <v>0</v>
      </c>
      <c r="K144">
        <v>0</v>
      </c>
      <c r="L144">
        <v>0</v>
      </c>
      <c r="M144">
        <v>0</v>
      </c>
      <c r="N144">
        <v>0</v>
      </c>
      <c r="O144">
        <v>0</v>
      </c>
      <c r="P144">
        <v>0</v>
      </c>
      <c r="Q144">
        <v>0</v>
      </c>
      <c r="R144">
        <v>0</v>
      </c>
      <c r="S144">
        <v>0</v>
      </c>
      <c r="T144" t="str">
        <v/>
      </c>
      <c r="U144" t="str">
        <v/>
      </c>
      <c r="V144" t="str">
        <v/>
      </c>
      <c r="W144" t="str">
        <v/>
      </c>
      <c r="X144" t="str">
        <v/>
      </c>
      <c r="Y144" t="str">
        <v/>
      </c>
      <c r="Z144" t="str">
        <v/>
      </c>
      <c r="AA144" t="str">
        <v/>
      </c>
      <c r="AB144" t="str">
        <v/>
      </c>
      <c r="AC144" t="str">
        <v/>
      </c>
      <c r="AD144" t="str">
        <v/>
      </c>
      <c r="AE144" t="str">
        <v/>
      </c>
      <c r="AF144" t="str">
        <v/>
      </c>
      <c r="AG144" t="str">
        <v/>
      </c>
      <c r="AH144" t="str">
        <v/>
      </c>
      <c r="AI144" t="str">
        <v/>
      </c>
      <c r="AJ144" t="str">
        <v/>
      </c>
      <c r="AK144" t="str">
        <v/>
      </c>
      <c r="AL144" t="str">
        <v/>
      </c>
    </row>
    <row r="145">
      <c r="A145" t="str">
        <v/>
      </c>
      <c r="B145" t="str">
        <v/>
      </c>
      <c r="C145" t="str">
        <v/>
      </c>
      <c r="D145" t="str">
        <v>付款进度-比例</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c r="AF145" t="str">
        <v/>
      </c>
      <c r="AG145" t="str">
        <v/>
      </c>
      <c r="AH145" t="str">
        <v/>
      </c>
      <c r="AI145" t="str">
        <v/>
      </c>
      <c r="AJ145" t="str">
        <v/>
      </c>
      <c r="AK145" t="str">
        <v/>
      </c>
      <c r="AL145" t="str">
        <v/>
      </c>
    </row>
    <row r="146">
      <c r="A146" t="str">
        <v/>
      </c>
      <c r="B146" t="str">
        <v/>
      </c>
      <c r="C146" t="str">
        <v>1-1集成费-信息服务</v>
      </c>
      <c r="D146" t="str">
        <v>支出</v>
      </c>
      <c r="E146" t="str">
        <v/>
      </c>
      <c r="F146">
        <v>0.06</v>
      </c>
      <c r="G146">
        <v>50000</v>
      </c>
      <c r="H146" t="str">
        <v/>
      </c>
      <c r="I146">
        <v>50000</v>
      </c>
      <c r="J146" t="str">
        <v/>
      </c>
      <c r="K146" t="str">
        <v/>
      </c>
      <c r="L146" t="str">
        <v/>
      </c>
      <c r="M146" t="str">
        <v/>
      </c>
      <c r="N146" t="str">
        <v/>
      </c>
      <c r="O146" t="str">
        <v/>
      </c>
      <c r="P146" t="str">
        <v/>
      </c>
      <c r="Q146" t="str">
        <v/>
      </c>
      <c r="R146" t="str">
        <v/>
      </c>
      <c r="S146" t="str">
        <v/>
      </c>
      <c r="T146">
        <v>0</v>
      </c>
      <c r="U146">
        <v>0</v>
      </c>
      <c r="V146">
        <v>0</v>
      </c>
      <c r="W146">
        <v>0</v>
      </c>
      <c r="X146">
        <v>0</v>
      </c>
      <c r="Y146">
        <v>0</v>
      </c>
      <c r="Z146">
        <v>0</v>
      </c>
      <c r="AA146">
        <v>0</v>
      </c>
      <c r="AB146">
        <v>0</v>
      </c>
      <c r="AC146">
        <v>0</v>
      </c>
      <c r="AD146">
        <v>0</v>
      </c>
      <c r="AE146">
        <v>0</v>
      </c>
      <c r="AF146">
        <v>0</v>
      </c>
      <c r="AG146" t="str">
        <v>根据客户的需求，将硬件、网络、数据库及相应的应用软件进行优化整合，提供全面系统解决方案而产生的各项成本。主要包括项目集成方案的咨询、设计、软硬件安装等项目实施的服务成本。进一步细分为“信息技术服务费”、“安装服务费”。</v>
      </c>
      <c r="AH146" t="str">
        <v/>
      </c>
      <c r="AI146" t="str">
        <v/>
      </c>
      <c r="AJ146" t="str">
        <v/>
      </c>
      <c r="AK146" t="str">
        <v/>
      </c>
      <c r="AL146" t="str">
        <v/>
      </c>
    </row>
    <row r="147">
      <c r="A147" t="str">
        <v/>
      </c>
      <c r="B147" t="str">
        <v/>
      </c>
      <c r="C147" t="str">
        <v/>
      </c>
      <c r="D147" t="str">
        <v>付款进度-金额</v>
      </c>
      <c r="E147" t="str">
        <v/>
      </c>
      <c r="F147" t="str">
        <v/>
      </c>
      <c r="G147">
        <v>0</v>
      </c>
      <c r="H147" t="str">
        <v/>
      </c>
      <c r="I147">
        <v>50000</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c r="AF147" t="str">
        <v/>
      </c>
      <c r="AG147" t="str">
        <v/>
      </c>
      <c r="AH147" t="str">
        <v/>
      </c>
      <c r="AI147" t="str">
        <v/>
      </c>
      <c r="AJ147" t="str">
        <v/>
      </c>
      <c r="AK147" t="str">
        <v/>
      </c>
      <c r="AL147" t="str">
        <v/>
      </c>
    </row>
    <row r="148">
      <c r="A148" t="str">
        <v/>
      </c>
      <c r="B148" t="str">
        <v/>
      </c>
      <c r="C148" t="str">
        <v/>
      </c>
      <c r="D148" t="str">
        <v>付款进度-比例</v>
      </c>
      <c r="E148" t="str">
        <v/>
      </c>
      <c r="F148" t="str">
        <v/>
      </c>
      <c r="G148" t="str">
        <v/>
      </c>
      <c r="H148" t="str">
        <v/>
      </c>
      <c r="I148">
        <v>1</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c r="AF148" t="str">
        <v/>
      </c>
      <c r="AG148" t="str">
        <v/>
      </c>
      <c r="AH148" t="str">
        <v/>
      </c>
      <c r="AI148" t="str">
        <v/>
      </c>
      <c r="AJ148" t="str">
        <v/>
      </c>
      <c r="AK148" t="str">
        <v/>
      </c>
      <c r="AL148" t="str">
        <v/>
      </c>
    </row>
    <row r="149">
      <c r="A149" t="str">
        <v/>
      </c>
      <c r="B149" t="str">
        <v/>
      </c>
      <c r="C149" t="str">
        <v>1-2集成费-安装服务</v>
      </c>
      <c r="D149" t="str">
        <v>支出</v>
      </c>
      <c r="E149" t="str">
        <v/>
      </c>
      <c r="F149">
        <v>0.09</v>
      </c>
      <c r="G149">
        <v>0</v>
      </c>
      <c r="H149" t="str">
        <v/>
      </c>
      <c r="I149" t="str">
        <v/>
      </c>
      <c r="J149" t="str">
        <v/>
      </c>
      <c r="K149" t="str">
        <v/>
      </c>
      <c r="L149" t="str">
        <v/>
      </c>
      <c r="M149" t="str">
        <v/>
      </c>
      <c r="N149" t="str">
        <v/>
      </c>
      <c r="O149" t="str">
        <v/>
      </c>
      <c r="P149" t="str">
        <v/>
      </c>
      <c r="Q149" t="str">
        <v/>
      </c>
      <c r="R149" t="str">
        <v/>
      </c>
      <c r="S149" t="str">
        <v/>
      </c>
      <c r="T149">
        <v>0</v>
      </c>
      <c r="U149">
        <v>0</v>
      </c>
      <c r="V149">
        <v>0</v>
      </c>
      <c r="W149">
        <v>0</v>
      </c>
      <c r="X149">
        <v>0</v>
      </c>
      <c r="Y149">
        <v>0</v>
      </c>
      <c r="Z149">
        <v>0</v>
      </c>
      <c r="AA149">
        <v>0</v>
      </c>
      <c r="AB149">
        <v>0</v>
      </c>
      <c r="AC149">
        <v>0</v>
      </c>
      <c r="AD149">
        <v>0</v>
      </c>
      <c r="AE149">
        <v>0</v>
      </c>
      <c r="AF149">
        <v>0</v>
      </c>
      <c r="AG149" t="str">
        <v/>
      </c>
      <c r="AH149" t="str">
        <v/>
      </c>
      <c r="AI149" t="str">
        <v/>
      </c>
      <c r="AJ149" t="str">
        <v/>
      </c>
      <c r="AK149" t="str">
        <v/>
      </c>
      <c r="AL149" t="str">
        <v/>
      </c>
    </row>
    <row r="150">
      <c r="A150" t="str">
        <v/>
      </c>
      <c r="B150" t="str">
        <v/>
      </c>
      <c r="C150" t="str">
        <v/>
      </c>
      <c r="D150" t="str">
        <v>付款进度-金额</v>
      </c>
      <c r="E150" t="str">
        <v/>
      </c>
      <c r="F150" t="str">
        <v/>
      </c>
      <c r="G150">
        <v>0</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c r="AF150" t="str">
        <v/>
      </c>
      <c r="AG150" t="str">
        <v/>
      </c>
      <c r="AH150" t="str">
        <v/>
      </c>
      <c r="AI150" t="str">
        <v/>
      </c>
      <c r="AJ150" t="str">
        <v/>
      </c>
      <c r="AK150" t="str">
        <v/>
      </c>
      <c r="AL150" t="str">
        <v/>
      </c>
    </row>
    <row r="151">
      <c r="A151" t="str">
        <v/>
      </c>
      <c r="B151" t="str">
        <v/>
      </c>
      <c r="C151" t="str">
        <v/>
      </c>
      <c r="D151" t="str">
        <v>付款进度-比例</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c r="AF151" t="str">
        <v/>
      </c>
      <c r="AG151" t="str">
        <v/>
      </c>
      <c r="AH151" t="str">
        <v/>
      </c>
      <c r="AI151" t="str">
        <v/>
      </c>
      <c r="AJ151" t="str">
        <v/>
      </c>
      <c r="AK151" t="str">
        <v/>
      </c>
      <c r="AL151" t="str">
        <v/>
      </c>
    </row>
    <row r="152">
      <c r="A152" t="str">
        <v/>
      </c>
      <c r="B152" t="str">
        <v/>
      </c>
      <c r="C152" t="str">
        <v>1-3维保费-信息服务</v>
      </c>
      <c r="D152" t="str">
        <v>支出</v>
      </c>
      <c r="E152" t="str">
        <v/>
      </c>
      <c r="F152">
        <v>0.06</v>
      </c>
      <c r="G152">
        <v>0</v>
      </c>
      <c r="H152" t="str">
        <v/>
      </c>
      <c r="I152" t="str">
        <v/>
      </c>
      <c r="J152" t="str">
        <v/>
      </c>
      <c r="K152" t="str">
        <v/>
      </c>
      <c r="L152" t="str">
        <v/>
      </c>
      <c r="M152" t="str">
        <v/>
      </c>
      <c r="N152" t="str">
        <v/>
      </c>
      <c r="O152" t="str">
        <v/>
      </c>
      <c r="P152" t="str">
        <v/>
      </c>
      <c r="Q152" t="str">
        <v/>
      </c>
      <c r="R152" t="str">
        <v/>
      </c>
      <c r="S152" t="str">
        <v/>
      </c>
      <c r="T152">
        <v>0</v>
      </c>
      <c r="U152">
        <v>0</v>
      </c>
      <c r="V152">
        <v>0</v>
      </c>
      <c r="W152">
        <v>0</v>
      </c>
      <c r="X152">
        <v>0</v>
      </c>
      <c r="Y152">
        <v>0</v>
      </c>
      <c r="Z152">
        <v>0</v>
      </c>
      <c r="AA152">
        <v>0</v>
      </c>
      <c r="AB152">
        <v>0</v>
      </c>
      <c r="AC152">
        <v>0</v>
      </c>
      <c r="AD152">
        <v>0</v>
      </c>
      <c r="AE152">
        <v>0</v>
      </c>
      <c r="AF152">
        <v>0</v>
      </c>
      <c r="AG152" t="str">
        <v/>
      </c>
      <c r="AH152" t="str">
        <v/>
      </c>
      <c r="AI152" t="str">
        <v/>
      </c>
      <c r="AJ152" t="str">
        <v/>
      </c>
      <c r="AK152" t="str">
        <v/>
      </c>
      <c r="AL152" t="str">
        <v/>
      </c>
    </row>
    <row r="153">
      <c r="A153" t="str">
        <v/>
      </c>
      <c r="B153" t="str">
        <v/>
      </c>
      <c r="C153" t="str">
        <v/>
      </c>
      <c r="D153" t="str">
        <v>付款进度-金额</v>
      </c>
      <c r="E153" t="str">
        <v/>
      </c>
      <c r="F153" t="str">
        <v/>
      </c>
      <c r="G153">
        <v>0</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c r="AF153" t="str">
        <v/>
      </c>
      <c r="AG153" t="str">
        <v>公司在ICT项目建成后，因提供后续维护保障服务而产生的各项成本，主要包括IT支撑服务、软硬件及系统支撑等支撑和维保费。</v>
      </c>
      <c r="AH153" t="str">
        <v/>
      </c>
      <c r="AI153" t="str">
        <v/>
      </c>
      <c r="AJ153" t="str">
        <v/>
      </c>
      <c r="AK153" t="str">
        <v/>
      </c>
      <c r="AL153" t="str">
        <v/>
      </c>
    </row>
    <row r="154">
      <c r="A154" t="str">
        <v/>
      </c>
      <c r="B154" t="str">
        <v/>
      </c>
      <c r="C154" t="str">
        <v/>
      </c>
      <c r="D154" t="str">
        <v>付款进度-比例</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c r="AF154" t="str">
        <v/>
      </c>
      <c r="AG154" t="str">
        <v/>
      </c>
      <c r="AH154" t="str">
        <v/>
      </c>
      <c r="AI154" t="str">
        <v/>
      </c>
      <c r="AJ154" t="str">
        <v/>
      </c>
      <c r="AK154" t="str">
        <v/>
      </c>
      <c r="AL154" t="str">
        <v/>
      </c>
    </row>
    <row r="155">
      <c r="A155" t="str">
        <v/>
      </c>
      <c r="B155" t="str">
        <v/>
      </c>
      <c r="C155" t="str">
        <v>1-4维保费-安装服务</v>
      </c>
      <c r="D155" t="str">
        <v>支出</v>
      </c>
      <c r="E155" t="str">
        <v/>
      </c>
      <c r="F155">
        <v>0.09</v>
      </c>
      <c r="G155">
        <v>0</v>
      </c>
      <c r="H155" t="str">
        <v/>
      </c>
      <c r="I155" t="str">
        <v/>
      </c>
      <c r="J155" t="str">
        <v/>
      </c>
      <c r="K155" t="str">
        <v/>
      </c>
      <c r="L155" t="str">
        <v/>
      </c>
      <c r="M155" t="str">
        <v/>
      </c>
      <c r="N155" t="str">
        <v/>
      </c>
      <c r="O155" t="str">
        <v/>
      </c>
      <c r="P155" t="str">
        <v/>
      </c>
      <c r="Q155" t="str">
        <v/>
      </c>
      <c r="R155" t="str">
        <v/>
      </c>
      <c r="S155" t="str">
        <v/>
      </c>
      <c r="T155">
        <v>0</v>
      </c>
      <c r="U155">
        <v>0</v>
      </c>
      <c r="V155">
        <v>0</v>
      </c>
      <c r="W155">
        <v>0</v>
      </c>
      <c r="X155">
        <v>0</v>
      </c>
      <c r="Y155">
        <v>0</v>
      </c>
      <c r="Z155">
        <v>0</v>
      </c>
      <c r="AA155">
        <v>0</v>
      </c>
      <c r="AB155">
        <v>0</v>
      </c>
      <c r="AC155">
        <v>0</v>
      </c>
      <c r="AD155">
        <v>0</v>
      </c>
      <c r="AE155">
        <v>0</v>
      </c>
      <c r="AF155">
        <v>0</v>
      </c>
      <c r="AG155" t="str">
        <v/>
      </c>
      <c r="AH155" t="str">
        <v/>
      </c>
      <c r="AI155" t="str">
        <v/>
      </c>
      <c r="AJ155" t="str">
        <v/>
      </c>
      <c r="AK155" t="str">
        <v/>
      </c>
      <c r="AL155" t="str">
        <v/>
      </c>
    </row>
    <row r="156">
      <c r="A156" t="str">
        <v/>
      </c>
      <c r="B156" t="str">
        <v/>
      </c>
      <c r="C156" t="str">
        <v/>
      </c>
      <c r="D156" t="str">
        <v>付款进度-金额</v>
      </c>
      <c r="E156" t="str">
        <v/>
      </c>
      <c r="F156" t="str">
        <v/>
      </c>
      <c r="G156">
        <v>0</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c r="AF156" t="str">
        <v/>
      </c>
      <c r="AG156" t="str">
        <v/>
      </c>
      <c r="AH156" t="str">
        <v/>
      </c>
      <c r="AI156" t="str">
        <v/>
      </c>
      <c r="AJ156" t="str">
        <v/>
      </c>
      <c r="AK156" t="str">
        <v/>
      </c>
      <c r="AL156" t="str">
        <v/>
      </c>
    </row>
    <row r="157">
      <c r="A157" t="str">
        <v/>
      </c>
      <c r="B157" t="str">
        <v/>
      </c>
      <c r="C157" t="str">
        <v/>
      </c>
      <c r="D157" t="str">
        <v>付款进度-比例</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c r="AF157" t="str">
        <v/>
      </c>
      <c r="AG157" t="str">
        <v/>
      </c>
      <c r="AH157" t="str">
        <v/>
      </c>
      <c r="AI157" t="str">
        <v/>
      </c>
      <c r="AJ157" t="str">
        <v/>
      </c>
      <c r="AK157" t="str">
        <v/>
      </c>
      <c r="AL157" t="str">
        <v/>
      </c>
    </row>
    <row r="158">
      <c r="A158" t="str">
        <v/>
      </c>
      <c r="B158" t="str">
        <v/>
      </c>
      <c r="C158" t="str">
        <v>1-5维保费-设备及其他硬件维修服务</v>
      </c>
      <c r="D158" t="str">
        <v>支出</v>
      </c>
      <c r="E158" t="str">
        <v/>
      </c>
      <c r="F158">
        <v>0.13</v>
      </c>
      <c r="G158">
        <v>0</v>
      </c>
      <c r="H158" t="str">
        <v/>
      </c>
      <c r="I158" t="str">
        <v/>
      </c>
      <c r="J158" t="str">
        <v/>
      </c>
      <c r="K158" t="str">
        <v/>
      </c>
      <c r="L158" t="str">
        <v/>
      </c>
      <c r="M158" t="str">
        <v/>
      </c>
      <c r="N158" t="str">
        <v/>
      </c>
      <c r="O158" t="str">
        <v/>
      </c>
      <c r="P158" t="str">
        <v/>
      </c>
      <c r="Q158" t="str">
        <v/>
      </c>
      <c r="R158" t="str">
        <v/>
      </c>
      <c r="S158" t="str">
        <v/>
      </c>
      <c r="T158">
        <v>0</v>
      </c>
      <c r="U158">
        <v>0</v>
      </c>
      <c r="V158">
        <v>0</v>
      </c>
      <c r="W158">
        <v>0</v>
      </c>
      <c r="X158">
        <v>0</v>
      </c>
      <c r="Y158">
        <v>0</v>
      </c>
      <c r="Z158">
        <v>0</v>
      </c>
      <c r="AA158">
        <v>0</v>
      </c>
      <c r="AB158">
        <v>0</v>
      </c>
      <c r="AC158">
        <v>0</v>
      </c>
      <c r="AD158">
        <v>0</v>
      </c>
      <c r="AE158">
        <v>0</v>
      </c>
      <c r="AF158">
        <v>0</v>
      </c>
      <c r="AG158" t="str">
        <v>销售ICT设备/终端/软件产生的成本。</v>
      </c>
      <c r="AH158" t="str">
        <v/>
      </c>
      <c r="AI158" t="str">
        <v/>
      </c>
      <c r="AJ158" t="str">
        <v/>
      </c>
      <c r="AK158" t="str">
        <v/>
      </c>
      <c r="AL158" t="str">
        <v/>
      </c>
    </row>
    <row r="159">
      <c r="A159" t="str">
        <v/>
      </c>
      <c r="B159" t="str">
        <v/>
      </c>
      <c r="C159" t="str">
        <v/>
      </c>
      <c r="D159" t="str">
        <v>付款进度-金额</v>
      </c>
      <c r="E159" t="str">
        <v/>
      </c>
      <c r="F159" t="str">
        <v/>
      </c>
      <c r="G159">
        <v>0</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c r="AF159" t="str">
        <v/>
      </c>
      <c r="AG159" t="str">
        <v/>
      </c>
      <c r="AH159" t="str">
        <v/>
      </c>
      <c r="AI159" t="str">
        <v/>
      </c>
      <c r="AJ159" t="str">
        <v/>
      </c>
      <c r="AK159" t="str">
        <v/>
      </c>
      <c r="AL159" t="str">
        <v/>
      </c>
    </row>
    <row r="160">
      <c r="A160" t="str">
        <v/>
      </c>
      <c r="B160" t="str">
        <v/>
      </c>
      <c r="C160" t="str">
        <v/>
      </c>
      <c r="D160" t="str">
        <v>付款进度-比例</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c r="AF160" t="str">
        <v/>
      </c>
      <c r="AG160" t="str">
        <v/>
      </c>
      <c r="AH160" t="str">
        <v/>
      </c>
      <c r="AI160" t="str">
        <v/>
      </c>
      <c r="AJ160" t="str">
        <v/>
      </c>
      <c r="AK160" t="str">
        <v/>
      </c>
      <c r="AL160" t="str">
        <v/>
      </c>
    </row>
    <row r="161">
      <c r="A161" t="str">
        <v/>
      </c>
      <c r="B161" t="str">
        <v/>
      </c>
      <c r="C161" t="str">
        <v>2、商品销售成本</v>
      </c>
      <c r="D161" t="str">
        <v>支出</v>
      </c>
      <c r="E161" t="str">
        <v/>
      </c>
      <c r="F161">
        <v>0.13</v>
      </c>
      <c r="G161">
        <v>200000</v>
      </c>
      <c r="H161" t="str">
        <v/>
      </c>
      <c r="I161">
        <v>200000</v>
      </c>
      <c r="J161" t="str">
        <v/>
      </c>
      <c r="K161" t="str">
        <v/>
      </c>
      <c r="L161" t="str">
        <v/>
      </c>
      <c r="M161" t="str">
        <v/>
      </c>
      <c r="N161" t="str">
        <v/>
      </c>
      <c r="O161" t="str">
        <v/>
      </c>
      <c r="P161" t="str">
        <v/>
      </c>
      <c r="Q161" t="str">
        <v/>
      </c>
      <c r="R161" t="str">
        <v/>
      </c>
      <c r="S161" t="str">
        <v/>
      </c>
      <c r="T161">
        <v>0</v>
      </c>
      <c r="U161">
        <v>0</v>
      </c>
      <c r="V161">
        <v>0</v>
      </c>
      <c r="W161">
        <v>0</v>
      </c>
      <c r="X161">
        <v>0</v>
      </c>
      <c r="Y161">
        <v>0</v>
      </c>
      <c r="Z161">
        <v>0</v>
      </c>
      <c r="AA161">
        <v>0</v>
      </c>
      <c r="AB161">
        <v>0</v>
      </c>
      <c r="AC161">
        <v>0</v>
      </c>
      <c r="AD161">
        <v>0</v>
      </c>
      <c r="AE161">
        <v>0</v>
      </c>
      <c r="AF161">
        <v>0</v>
      </c>
      <c r="AG161" t="str">
        <v>销售ICT设备/终端/软件产生的成本。</v>
      </c>
      <c r="AH161" t="str">
        <v/>
      </c>
      <c r="AI161" t="str">
        <v/>
      </c>
      <c r="AJ161" t="str">
        <v/>
      </c>
      <c r="AK161" t="str">
        <v/>
      </c>
      <c r="AL161" t="str">
        <v/>
      </c>
    </row>
    <row r="162">
      <c r="A162" t="str">
        <v/>
      </c>
      <c r="B162" t="str">
        <v/>
      </c>
      <c r="C162" t="str">
        <v/>
      </c>
      <c r="D162" t="str">
        <v>付款进度-金额</v>
      </c>
      <c r="E162" t="str">
        <v/>
      </c>
      <c r="F162" t="str">
        <v/>
      </c>
      <c r="G162">
        <v>0</v>
      </c>
      <c r="H162" t="str">
        <v/>
      </c>
      <c r="I162">
        <v>200000</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c r="AF162" t="str">
        <v/>
      </c>
      <c r="AG162" t="str">
        <v/>
      </c>
      <c r="AH162" t="str">
        <v/>
      </c>
      <c r="AI162" t="str">
        <v/>
      </c>
      <c r="AJ162" t="str">
        <v/>
      </c>
      <c r="AK162" t="str">
        <v/>
      </c>
      <c r="AL162" t="str">
        <v/>
      </c>
    </row>
    <row r="163">
      <c r="A163" t="str">
        <v/>
      </c>
      <c r="B163" t="str">
        <v/>
      </c>
      <c r="C163" t="str">
        <v/>
      </c>
      <c r="D163" t="str">
        <v>付款进度-比例</v>
      </c>
      <c r="E163" t="str">
        <v/>
      </c>
      <c r="F163" t="str">
        <v/>
      </c>
      <c r="G163" t="str">
        <v/>
      </c>
      <c r="H163" t="str">
        <v/>
      </c>
      <c r="I163">
        <v>1</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c r="AF163" t="str">
        <v/>
      </c>
      <c r="AG163" t="str">
        <v/>
      </c>
      <c r="AH163" t="str">
        <v/>
      </c>
      <c r="AI163" t="str">
        <v/>
      </c>
      <c r="AJ163" t="str">
        <v/>
      </c>
      <c r="AK163" t="str">
        <v/>
      </c>
      <c r="AL163" t="str">
        <v/>
      </c>
    </row>
    <row r="164">
      <c r="A164" t="str">
        <v/>
      </c>
      <c r="B164" t="str">
        <v/>
      </c>
      <c r="C164" t="str">
        <v>3、ICT设备/终端租赁成本</v>
      </c>
      <c r="D164" t="str">
        <v>支出</v>
      </c>
      <c r="E164" t="str">
        <v/>
      </c>
      <c r="F164">
        <v>0.13</v>
      </c>
      <c r="G164">
        <v>0</v>
      </c>
      <c r="H164" t="str">
        <v/>
      </c>
      <c r="I164" t="str">
        <v/>
      </c>
      <c r="J164" t="str">
        <v/>
      </c>
      <c r="K164" t="str">
        <v/>
      </c>
      <c r="L164" t="str">
        <v/>
      </c>
      <c r="M164" t="str">
        <v/>
      </c>
      <c r="N164" t="str">
        <v/>
      </c>
      <c r="O164" t="str">
        <v/>
      </c>
      <c r="P164" t="str">
        <v/>
      </c>
      <c r="Q164" t="str">
        <v/>
      </c>
      <c r="R164" t="str">
        <v/>
      </c>
      <c r="S164" t="str">
        <v/>
      </c>
      <c r="T164">
        <v>0</v>
      </c>
      <c r="U164">
        <v>0</v>
      </c>
      <c r="V164">
        <v>0</v>
      </c>
      <c r="W164">
        <v>0</v>
      </c>
      <c r="X164">
        <v>0</v>
      </c>
      <c r="Y164">
        <v>0</v>
      </c>
      <c r="Z164">
        <v>0</v>
      </c>
      <c r="AA164">
        <v>0</v>
      </c>
      <c r="AB164">
        <v>0</v>
      </c>
      <c r="AC164">
        <v>0</v>
      </c>
      <c r="AD164">
        <v>0</v>
      </c>
      <c r="AE164">
        <v>0</v>
      </c>
      <c r="AF164">
        <v>0</v>
      </c>
      <c r="AG164" t="str">
        <v>出租自有ICT设备及终端发生的成本费用</v>
      </c>
      <c r="AH164" t="str">
        <v/>
      </c>
      <c r="AI164" t="str">
        <v/>
      </c>
      <c r="AJ164" t="str">
        <v/>
      </c>
      <c r="AK164" t="str">
        <v/>
      </c>
      <c r="AL164" t="str">
        <v/>
      </c>
    </row>
    <row r="165">
      <c r="A165" t="str">
        <v/>
      </c>
      <c r="B165" t="str">
        <v/>
      </c>
      <c r="C165" t="str">
        <v/>
      </c>
      <c r="D165" t="str">
        <v>付款进度-金额</v>
      </c>
      <c r="E165" t="str">
        <v/>
      </c>
      <c r="F165" t="str">
        <v/>
      </c>
      <c r="G165">
        <v>0</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c r="AF165" t="str">
        <v/>
      </c>
      <c r="AG165" t="str">
        <v/>
      </c>
      <c r="AH165" t="str">
        <v/>
      </c>
      <c r="AI165" t="str">
        <v/>
      </c>
      <c r="AJ165" t="str">
        <v/>
      </c>
      <c r="AK165" t="str">
        <v/>
      </c>
      <c r="AL165" t="str">
        <v/>
      </c>
    </row>
    <row r="166">
      <c r="A166" t="str">
        <v/>
      </c>
      <c r="B166" t="str">
        <v/>
      </c>
      <c r="C166" t="str">
        <v/>
      </c>
      <c r="D166" t="str">
        <v>付款进度-比例</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c r="AF166" t="str">
        <v/>
      </c>
      <c r="AG166" t="str">
        <v/>
      </c>
      <c r="AH166" t="str">
        <v/>
      </c>
      <c r="AI166" t="str">
        <v/>
      </c>
      <c r="AJ166" t="str">
        <v/>
      </c>
      <c r="AK166" t="str">
        <v/>
      </c>
      <c r="AL166" t="str">
        <v/>
      </c>
    </row>
    <row r="167">
      <c r="A167" t="str">
        <v/>
      </c>
      <c r="B167" t="str">
        <v/>
      </c>
      <c r="C167" t="str">
        <v>4、ICT设备/终端转租成本</v>
      </c>
      <c r="D167" t="str">
        <v>支出</v>
      </c>
      <c r="E167" t="str">
        <v/>
      </c>
      <c r="F167">
        <v>0.13</v>
      </c>
      <c r="G167">
        <v>0</v>
      </c>
      <c r="H167" t="str">
        <v/>
      </c>
      <c r="I167" t="str">
        <v/>
      </c>
      <c r="J167" t="str">
        <v/>
      </c>
      <c r="K167" t="str">
        <v/>
      </c>
      <c r="L167" t="str">
        <v/>
      </c>
      <c r="M167" t="str">
        <v/>
      </c>
      <c r="N167" t="str">
        <v/>
      </c>
      <c r="O167" t="str">
        <v/>
      </c>
      <c r="P167" t="str">
        <v/>
      </c>
      <c r="Q167" t="str">
        <v/>
      </c>
      <c r="R167" t="str">
        <v/>
      </c>
      <c r="S167" t="str">
        <v/>
      </c>
      <c r="T167">
        <v>0</v>
      </c>
      <c r="U167">
        <v>0</v>
      </c>
      <c r="V167">
        <v>0</v>
      </c>
      <c r="W167">
        <v>0</v>
      </c>
      <c r="X167">
        <v>0</v>
      </c>
      <c r="Y167">
        <v>0</v>
      </c>
      <c r="Z167">
        <v>0</v>
      </c>
      <c r="AA167">
        <v>0</v>
      </c>
      <c r="AB167">
        <v>0</v>
      </c>
      <c r="AC167">
        <v>0</v>
      </c>
      <c r="AD167">
        <v>0</v>
      </c>
      <c r="AE167">
        <v>0</v>
      </c>
      <c r="AF167">
        <v>0</v>
      </c>
      <c r="AG167" t="str">
        <v>转租自有ICT设备及终端发生的成本费用</v>
      </c>
      <c r="AH167" t="str">
        <v/>
      </c>
      <c r="AI167" t="str">
        <v/>
      </c>
      <c r="AJ167" t="str">
        <v/>
      </c>
      <c r="AK167" t="str">
        <v/>
      </c>
      <c r="AL167" t="str">
        <v/>
      </c>
    </row>
    <row r="168">
      <c r="A168" t="str">
        <v/>
      </c>
      <c r="B168" t="str">
        <v/>
      </c>
      <c r="C168" t="str">
        <v/>
      </c>
      <c r="D168" t="str">
        <v>付款进度-金额</v>
      </c>
      <c r="E168" t="str">
        <v/>
      </c>
      <c r="F168" t="str">
        <v/>
      </c>
      <c r="G168">
        <v>0</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c r="AF168" t="str">
        <v/>
      </c>
      <c r="AG168" t="str">
        <v/>
      </c>
      <c r="AH168" t="str">
        <v/>
      </c>
      <c r="AI168" t="str">
        <v/>
      </c>
      <c r="AJ168" t="str">
        <v/>
      </c>
      <c r="AK168" t="str">
        <v/>
      </c>
      <c r="AL168" t="str">
        <v/>
      </c>
    </row>
    <row r="169">
      <c r="A169" t="str">
        <v/>
      </c>
      <c r="B169" t="str">
        <v/>
      </c>
      <c r="C169" t="str">
        <v/>
      </c>
      <c r="D169" t="str">
        <v>付款进度-比例</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c r="AF169" t="str">
        <v/>
      </c>
      <c r="AG169" t="str">
        <v/>
      </c>
      <c r="AH169" t="str">
        <v/>
      </c>
      <c r="AI169" t="str">
        <v/>
      </c>
      <c r="AJ169" t="str">
        <v/>
      </c>
      <c r="AK169" t="str">
        <v/>
      </c>
      <c r="AL169" t="str">
        <v/>
      </c>
    </row>
    <row r="170">
      <c r="A170" t="str">
        <v/>
      </c>
      <c r="B170" t="str">
        <v/>
      </c>
      <c r="C170" t="str">
        <v xml:space="preserve">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v>0</v>
      </c>
      <c r="U170">
        <v>0</v>
      </c>
      <c r="V170">
        <v>0</v>
      </c>
      <c r="W170">
        <v>0</v>
      </c>
      <c r="X170">
        <v>0</v>
      </c>
      <c r="Y170">
        <v>0</v>
      </c>
      <c r="Z170">
        <v>0</v>
      </c>
      <c r="AA170">
        <v>0</v>
      </c>
      <c r="AB170">
        <v>0</v>
      </c>
      <c r="AC170">
        <v>0</v>
      </c>
      <c r="AD170">
        <v>0</v>
      </c>
      <c r="AE170">
        <v>0</v>
      </c>
      <c r="AF170">
        <v>0</v>
      </c>
      <c r="AG170" t="str">
        <v>除上述4项外的其他IT类成本，如有多个，可插行填写</v>
      </c>
      <c r="AH170" t="str">
        <v/>
      </c>
      <c r="AI170" t="str">
        <v/>
      </c>
      <c r="AJ170" t="str">
        <v/>
      </c>
      <c r="AK170" t="str">
        <v/>
      </c>
      <c r="AL170" t="str">
        <v/>
      </c>
    </row>
    <row r="171">
      <c r="A171" t="str">
        <v/>
      </c>
      <c r="B171" t="str">
        <v>CT类成本</v>
      </c>
      <c r="C171" t="str">
        <v>CT类成本合计</v>
      </c>
      <c r="D171" t="str">
        <v>支出</v>
      </c>
      <c r="E171" t="str">
        <v/>
      </c>
      <c r="F171" t="str">
        <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t="str">
        <v/>
      </c>
      <c r="AH171" t="str">
        <v/>
      </c>
      <c r="AI171" t="str">
        <v/>
      </c>
      <c r="AJ171" t="str">
        <v/>
      </c>
      <c r="AK171" t="str">
        <v/>
      </c>
      <c r="AL171" t="str">
        <v/>
      </c>
    </row>
    <row r="172">
      <c r="A172" t="str">
        <v/>
      </c>
      <c r="B172" t="str">
        <v/>
      </c>
      <c r="C172" t="str">
        <v/>
      </c>
      <c r="D172" t="str">
        <v>付款进度-金额</v>
      </c>
      <c r="E172" t="str">
        <v/>
      </c>
      <c r="F172" t="str">
        <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tr">
        <v>ICT项目为带来CT收入所花费的其他成本，包括需要对外结算的云资源成本、IDC成本、行业应用资源成本（如和教育、和医疗等）；根据业务实质确定税率，如涉及多项可加行填写。</v>
      </c>
      <c r="AH172" t="str">
        <v/>
      </c>
      <c r="AI172" t="str">
        <v/>
      </c>
      <c r="AJ172" t="str">
        <v/>
      </c>
      <c r="AK172" t="str">
        <v/>
      </c>
      <c r="AL172" t="str">
        <v/>
      </c>
    </row>
    <row r="173">
      <c r="A173" t="str">
        <v/>
      </c>
      <c r="B173" t="str">
        <v/>
      </c>
      <c r="C173" t="str">
        <v/>
      </c>
      <c r="D173" t="str">
        <v>付款进度-比例</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c r="AF173" t="str">
        <v/>
      </c>
      <c r="AG173" t="str">
        <v/>
      </c>
      <c r="AH173" t="str">
        <v/>
      </c>
      <c r="AI173" t="str">
        <v/>
      </c>
      <c r="AJ173" t="str">
        <v/>
      </c>
      <c r="AK173" t="str">
        <v/>
      </c>
      <c r="AL173" t="str">
        <v/>
      </c>
    </row>
    <row r="174">
      <c r="A174" t="str">
        <v/>
      </c>
      <c r="B174" t="str">
        <v/>
      </c>
      <c r="C174" t="str">
        <v>1、业务技术支撑成本</v>
      </c>
      <c r="D174" t="str">
        <v>支出</v>
      </c>
      <c r="E174" t="str">
        <v/>
      </c>
      <c r="F174">
        <v>0.06</v>
      </c>
      <c r="G174">
        <v>0</v>
      </c>
      <c r="H174" t="str">
        <v/>
      </c>
      <c r="I174" t="str">
        <v/>
      </c>
      <c r="J174" t="str">
        <v/>
      </c>
      <c r="K174" t="str">
        <v/>
      </c>
      <c r="L174" t="str">
        <v/>
      </c>
      <c r="M174" t="str">
        <v/>
      </c>
      <c r="N174" t="str">
        <v/>
      </c>
      <c r="O174" t="str">
        <v/>
      </c>
      <c r="P174" t="str">
        <v/>
      </c>
      <c r="Q174" t="str">
        <v/>
      </c>
      <c r="R174" t="str">
        <v/>
      </c>
      <c r="S174" t="str">
        <v/>
      </c>
      <c r="T174">
        <v>0</v>
      </c>
      <c r="U174">
        <v>0</v>
      </c>
      <c r="V174">
        <v>0</v>
      </c>
      <c r="W174">
        <v>0</v>
      </c>
      <c r="X174">
        <v>0</v>
      </c>
      <c r="Y174">
        <v>0</v>
      </c>
      <c r="Z174">
        <v>0</v>
      </c>
      <c r="AA174">
        <v>0</v>
      </c>
      <c r="AB174">
        <v>0</v>
      </c>
      <c r="AC174">
        <v>0</v>
      </c>
      <c r="AD174">
        <v>0</v>
      </c>
      <c r="AE174">
        <v>0</v>
      </c>
      <c r="AF174">
        <v>0</v>
      </c>
      <c r="AG174" t="str">
        <v/>
      </c>
      <c r="AH174" t="str">
        <v/>
      </c>
      <c r="AI174" t="str">
        <v/>
      </c>
      <c r="AJ174" t="str">
        <v/>
      </c>
      <c r="AK174" t="str">
        <v/>
      </c>
      <c r="AL174" t="str">
        <v/>
      </c>
    </row>
    <row r="175">
      <c r="A175" t="str">
        <v/>
      </c>
      <c r="B175" t="str">
        <v/>
      </c>
      <c r="C175" t="str">
        <v/>
      </c>
      <c r="D175" t="str">
        <v>付款进度-金额</v>
      </c>
      <c r="E175" t="str">
        <v/>
      </c>
      <c r="F175" t="str">
        <v/>
      </c>
      <c r="G175">
        <v>0</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c r="AF175" t="str">
        <v/>
      </c>
      <c r="AG175" t="str">
        <v/>
      </c>
      <c r="AH175" t="str">
        <v/>
      </c>
      <c r="AI175" t="str">
        <v/>
      </c>
      <c r="AJ175" t="str">
        <v/>
      </c>
      <c r="AK175" t="str">
        <v/>
      </c>
      <c r="AL175" t="str">
        <v/>
      </c>
    </row>
    <row r="176">
      <c r="A176" t="str">
        <v/>
      </c>
      <c r="B176" t="str">
        <v/>
      </c>
      <c r="C176" t="str">
        <v/>
      </c>
      <c r="D176" t="str">
        <v>付款进度-比例</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c r="AF176" t="str">
        <v/>
      </c>
      <c r="AG176" t="str">
        <v/>
      </c>
      <c r="AH176" t="str">
        <v/>
      </c>
      <c r="AI176" t="str">
        <v/>
      </c>
      <c r="AJ176" t="str">
        <v/>
      </c>
      <c r="AK176" t="str">
        <v/>
      </c>
      <c r="AL176" t="str">
        <v/>
      </c>
    </row>
    <row r="177">
      <c r="A177" t="str">
        <v/>
      </c>
      <c r="B177" t="str">
        <v/>
      </c>
      <c r="C177" t="str">
        <v>2、网络设备成本</v>
      </c>
      <c r="D177" t="str">
        <v>支出</v>
      </c>
      <c r="E177" t="str">
        <v/>
      </c>
      <c r="F177">
        <v>0.13</v>
      </c>
      <c r="G177">
        <v>0</v>
      </c>
      <c r="H177" t="str">
        <v/>
      </c>
      <c r="I177" t="str">
        <v/>
      </c>
      <c r="J177" t="str">
        <v/>
      </c>
      <c r="K177" t="str">
        <v/>
      </c>
      <c r="L177" t="str">
        <v/>
      </c>
      <c r="M177" t="str">
        <v/>
      </c>
      <c r="N177" t="str">
        <v/>
      </c>
      <c r="O177" t="str">
        <v/>
      </c>
      <c r="P177" t="str">
        <v/>
      </c>
      <c r="Q177" t="str">
        <v/>
      </c>
      <c r="R177" t="str">
        <v/>
      </c>
      <c r="S177" t="str">
        <v/>
      </c>
      <c r="T177">
        <v>0</v>
      </c>
      <c r="U177">
        <v>0</v>
      </c>
      <c r="V177">
        <v>0</v>
      </c>
      <c r="W177">
        <v>0</v>
      </c>
      <c r="X177">
        <v>0</v>
      </c>
      <c r="Y177">
        <v>0</v>
      </c>
      <c r="Z177">
        <v>0</v>
      </c>
      <c r="AA177">
        <v>0</v>
      </c>
      <c r="AB177">
        <v>0</v>
      </c>
      <c r="AC177">
        <v>0</v>
      </c>
      <c r="AD177">
        <v>0</v>
      </c>
      <c r="AE177">
        <v>0</v>
      </c>
      <c r="AF177">
        <v>0</v>
      </c>
      <c r="AG177" t="str">
        <v/>
      </c>
      <c r="AH177" t="str">
        <v/>
      </c>
      <c r="AI177" t="str">
        <v/>
      </c>
      <c r="AJ177" t="str">
        <v/>
      </c>
      <c r="AK177" t="str">
        <v/>
      </c>
      <c r="AL177" t="str">
        <v/>
      </c>
    </row>
    <row r="178">
      <c r="A178" t="str">
        <v/>
      </c>
      <c r="B178" t="str">
        <v/>
      </c>
      <c r="C178" t="str">
        <v/>
      </c>
      <c r="D178" t="str">
        <v>付款进度-金额</v>
      </c>
      <c r="E178" t="str">
        <v/>
      </c>
      <c r="F178" t="str">
        <v/>
      </c>
      <c r="G178">
        <v>0</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c r="AF178" t="str">
        <v/>
      </c>
      <c r="AG178" t="str">
        <v/>
      </c>
      <c r="AH178" t="str">
        <v/>
      </c>
      <c r="AI178" t="str">
        <v/>
      </c>
      <c r="AJ178" t="str">
        <v/>
      </c>
      <c r="AK178" t="str">
        <v/>
      </c>
      <c r="AL178" t="str">
        <v/>
      </c>
    </row>
    <row r="179">
      <c r="A179" t="str">
        <v/>
      </c>
      <c r="B179" t="str">
        <v/>
      </c>
      <c r="C179" t="str">
        <v/>
      </c>
      <c r="D179" t="str">
        <v>付款进度-比例</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c r="AF179" t="str">
        <v/>
      </c>
      <c r="AG179" t="str">
        <v/>
      </c>
      <c r="AH179" t="str">
        <v/>
      </c>
      <c r="AI179" t="str">
        <v/>
      </c>
      <c r="AJ179" t="str">
        <v/>
      </c>
      <c r="AK179" t="str">
        <v/>
      </c>
      <c r="AL179" t="str">
        <v/>
      </c>
    </row>
    <row r="180">
      <c r="A180" t="str">
        <v/>
      </c>
      <c r="B180" t="str">
        <v/>
      </c>
      <c r="C180" t="str">
        <v>3、网络终端成本</v>
      </c>
      <c r="D180" t="str">
        <v>支出</v>
      </c>
      <c r="E180" t="str">
        <v/>
      </c>
      <c r="F180">
        <v>0.13</v>
      </c>
      <c r="G180">
        <v>0</v>
      </c>
      <c r="H180" t="str">
        <v/>
      </c>
      <c r="I180" t="str">
        <v/>
      </c>
      <c r="J180" t="str">
        <v/>
      </c>
      <c r="K180" t="str">
        <v/>
      </c>
      <c r="L180" t="str">
        <v/>
      </c>
      <c r="M180" t="str">
        <v/>
      </c>
      <c r="N180" t="str">
        <v/>
      </c>
      <c r="O180" t="str">
        <v/>
      </c>
      <c r="P180" t="str">
        <v/>
      </c>
      <c r="Q180" t="str">
        <v/>
      </c>
      <c r="R180" t="str">
        <v/>
      </c>
      <c r="S180" t="str">
        <v/>
      </c>
      <c r="T180">
        <v>0</v>
      </c>
      <c r="U180">
        <v>0</v>
      </c>
      <c r="V180">
        <v>0</v>
      </c>
      <c r="W180">
        <v>0</v>
      </c>
      <c r="X180">
        <v>0</v>
      </c>
      <c r="Y180">
        <v>0</v>
      </c>
      <c r="Z180">
        <v>0</v>
      </c>
      <c r="AA180">
        <v>0</v>
      </c>
      <c r="AB180">
        <v>0</v>
      </c>
      <c r="AC180">
        <v>0</v>
      </c>
      <c r="AD180">
        <v>0</v>
      </c>
      <c r="AE180">
        <v>0</v>
      </c>
      <c r="AF180">
        <v>0</v>
      </c>
      <c r="AG180" t="str">
        <v/>
      </c>
      <c r="AH180" t="str">
        <v/>
      </c>
      <c r="AI180" t="str">
        <v/>
      </c>
      <c r="AJ180" t="str">
        <v/>
      </c>
      <c r="AK180" t="str">
        <v/>
      </c>
      <c r="AL180" t="str">
        <v/>
      </c>
    </row>
    <row r="181">
      <c r="A181" t="str">
        <v/>
      </c>
      <c r="B181" t="str">
        <v/>
      </c>
      <c r="C181" t="str">
        <v/>
      </c>
      <c r="D181" t="str">
        <v>付款进度-金额</v>
      </c>
      <c r="E181" t="str">
        <v/>
      </c>
      <c r="F181" t="str">
        <v/>
      </c>
      <c r="G181">
        <v>0</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c r="AF181" t="str">
        <v/>
      </c>
      <c r="AG181" t="str">
        <v/>
      </c>
      <c r="AH181" t="str">
        <v/>
      </c>
      <c r="AI181" t="str">
        <v/>
      </c>
      <c r="AJ181" t="str">
        <v/>
      </c>
      <c r="AK181" t="str">
        <v/>
      </c>
      <c r="AL181" t="str">
        <v/>
      </c>
    </row>
    <row r="182">
      <c r="A182" t="str">
        <v/>
      </c>
      <c r="B182" t="str">
        <v/>
      </c>
      <c r="C182" t="str">
        <v/>
      </c>
      <c r="D182" t="str">
        <v>付款进度-比例</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c r="AF182" t="str">
        <v/>
      </c>
      <c r="AG182" t="str">
        <v/>
      </c>
      <c r="AH182" t="str">
        <v/>
      </c>
      <c r="AI182" t="str">
        <v/>
      </c>
      <c r="AJ182" t="str">
        <v/>
      </c>
      <c r="AK182" t="str">
        <v/>
      </c>
      <c r="AL182" t="str">
        <v/>
      </c>
    </row>
    <row r="183">
      <c r="A183" t="str">
        <v/>
      </c>
      <c r="B183" t="str">
        <v/>
      </c>
      <c r="C183" t="str">
        <v>4、网络施工成本</v>
      </c>
      <c r="D183" t="str">
        <v>支出</v>
      </c>
      <c r="E183" t="str">
        <v/>
      </c>
      <c r="F183">
        <v>0.09</v>
      </c>
      <c r="G183">
        <v>0</v>
      </c>
      <c r="H183" t="str">
        <v/>
      </c>
      <c r="I183" t="str">
        <v/>
      </c>
      <c r="J183" t="str">
        <v/>
      </c>
      <c r="K183" t="str">
        <v/>
      </c>
      <c r="L183" t="str">
        <v/>
      </c>
      <c r="M183" t="str">
        <v/>
      </c>
      <c r="N183" t="str">
        <v/>
      </c>
      <c r="O183" t="str">
        <v/>
      </c>
      <c r="P183" t="str">
        <v/>
      </c>
      <c r="Q183" t="str">
        <v/>
      </c>
      <c r="R183" t="str">
        <v/>
      </c>
      <c r="S183" t="str">
        <v/>
      </c>
      <c r="T183">
        <v>0</v>
      </c>
      <c r="U183">
        <v>0</v>
      </c>
      <c r="V183">
        <v>0</v>
      </c>
      <c r="W183">
        <v>0</v>
      </c>
      <c r="X183">
        <v>0</v>
      </c>
      <c r="Y183">
        <v>0</v>
      </c>
      <c r="Z183">
        <v>0</v>
      </c>
      <c r="AA183">
        <v>0</v>
      </c>
      <c r="AB183">
        <v>0</v>
      </c>
      <c r="AC183">
        <v>0</v>
      </c>
      <c r="AD183">
        <v>0</v>
      </c>
      <c r="AE183">
        <v>0</v>
      </c>
      <c r="AF183">
        <v>0</v>
      </c>
      <c r="AG183" t="str">
        <v/>
      </c>
      <c r="AH183" t="str">
        <v/>
      </c>
      <c r="AI183" t="str">
        <v/>
      </c>
      <c r="AJ183" t="str">
        <v/>
      </c>
      <c r="AK183" t="str">
        <v/>
      </c>
      <c r="AL183" t="str">
        <v/>
      </c>
    </row>
    <row r="184">
      <c r="A184" t="str">
        <v/>
      </c>
      <c r="B184" t="str">
        <v/>
      </c>
      <c r="C184" t="str">
        <v/>
      </c>
      <c r="D184" t="str">
        <v>付款进度-金额</v>
      </c>
      <c r="E184" t="str">
        <v/>
      </c>
      <c r="F184" t="str">
        <v/>
      </c>
      <c r="G184">
        <v>0</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c r="AF184" t="str">
        <v/>
      </c>
      <c r="AG184" t="str">
        <v/>
      </c>
      <c r="AH184" t="str">
        <v/>
      </c>
      <c r="AI184" t="str">
        <v/>
      </c>
      <c r="AJ184" t="str">
        <v/>
      </c>
      <c r="AK184" t="str">
        <v/>
      </c>
      <c r="AL184" t="str">
        <v/>
      </c>
    </row>
    <row r="185">
      <c r="A185" t="str">
        <v/>
      </c>
      <c r="B185" t="str">
        <v/>
      </c>
      <c r="C185" t="str">
        <v/>
      </c>
      <c r="D185" t="str">
        <v>付款进度-比例</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c r="AF185" t="str">
        <v/>
      </c>
      <c r="AG185" t="str">
        <v/>
      </c>
      <c r="AH185" t="str">
        <v/>
      </c>
      <c r="AI185" t="str">
        <v/>
      </c>
      <c r="AJ185" t="str">
        <v/>
      </c>
      <c r="AK185" t="str">
        <v/>
      </c>
      <c r="AL185" t="str">
        <v/>
      </c>
    </row>
    <row r="186">
      <c r="A186" t="str">
        <v/>
      </c>
      <c r="B186" t="str">
        <v/>
      </c>
      <c r="C186" t="str">
        <v>5、网络维护成本</v>
      </c>
      <c r="D186" t="str">
        <v>支出</v>
      </c>
      <c r="E186" t="str">
        <v/>
      </c>
      <c r="F186">
        <v>0.06</v>
      </c>
      <c r="G186">
        <v>36000</v>
      </c>
      <c r="H186" t="str">
        <v/>
      </c>
      <c r="I186">
        <v>12000</v>
      </c>
      <c r="J186">
        <v>12000</v>
      </c>
      <c r="K186">
        <v>12000</v>
      </c>
      <c r="L186" t="str">
        <v/>
      </c>
      <c r="M186" t="str">
        <v/>
      </c>
      <c r="N186" t="str">
        <v/>
      </c>
      <c r="O186" t="str">
        <v/>
      </c>
      <c r="P186" t="str">
        <v/>
      </c>
      <c r="Q186" t="str">
        <v/>
      </c>
      <c r="R186" t="str">
        <v/>
      </c>
      <c r="S186" t="str">
        <v/>
      </c>
      <c r="T186">
        <v>0</v>
      </c>
      <c r="U186">
        <v>0</v>
      </c>
      <c r="V186">
        <v>0</v>
      </c>
      <c r="W186">
        <v>0</v>
      </c>
      <c r="X186">
        <v>0</v>
      </c>
      <c r="Y186">
        <v>0</v>
      </c>
      <c r="Z186">
        <v>0</v>
      </c>
      <c r="AA186">
        <v>0</v>
      </c>
      <c r="AB186">
        <v>0</v>
      </c>
      <c r="AC186">
        <v>0</v>
      </c>
      <c r="AD186">
        <v>0</v>
      </c>
      <c r="AE186">
        <v>0</v>
      </c>
      <c r="AF186">
        <v>0</v>
      </c>
      <c r="AG186" t="str">
        <v/>
      </c>
      <c r="AH186" t="str">
        <v/>
      </c>
      <c r="AI186" t="str">
        <v/>
      </c>
      <c r="AJ186" t="str">
        <v/>
      </c>
      <c r="AK186" t="str">
        <v/>
      </c>
      <c r="AL186" t="str">
        <v/>
      </c>
    </row>
    <row r="187">
      <c r="A187" t="str">
        <v/>
      </c>
      <c r="B187" t="str">
        <v/>
      </c>
      <c r="C187" t="str">
        <v/>
      </c>
      <c r="D187" t="str">
        <v>付款进度-金额</v>
      </c>
      <c r="E187" t="str">
        <v/>
      </c>
      <c r="F187" t="str">
        <v/>
      </c>
      <c r="G187">
        <v>0</v>
      </c>
      <c r="H187" t="str">
        <v/>
      </c>
      <c r="I187">
        <v>12000</v>
      </c>
      <c r="J187">
        <v>12000</v>
      </c>
      <c r="K187">
        <v>12000</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c r="AF187" t="str">
        <v/>
      </c>
      <c r="AG187" t="str">
        <v/>
      </c>
      <c r="AH187" t="str">
        <v/>
      </c>
      <c r="AI187" t="str">
        <v/>
      </c>
      <c r="AJ187" t="str">
        <v/>
      </c>
      <c r="AK187" t="str">
        <v/>
      </c>
      <c r="AL187" t="str">
        <v/>
      </c>
    </row>
    <row r="188">
      <c r="A188" t="str">
        <v/>
      </c>
      <c r="B188" t="str">
        <v/>
      </c>
      <c r="C188" t="str">
        <v/>
      </c>
      <c r="D188" t="str">
        <v>付款进度-比例</v>
      </c>
      <c r="E188" t="str">
        <v/>
      </c>
      <c r="F188" t="str">
        <v/>
      </c>
      <c r="G188" t="str">
        <v/>
      </c>
      <c r="H188" t="str">
        <v/>
      </c>
      <c r="I188">
        <v>1</v>
      </c>
      <c r="J188">
        <v>1</v>
      </c>
      <c r="K188">
        <v>1</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c r="AF188" t="str">
        <v/>
      </c>
      <c r="AG188" t="str">
        <v/>
      </c>
      <c r="AH188" t="str">
        <v/>
      </c>
      <c r="AI188" t="str">
        <v/>
      </c>
      <c r="AJ188" t="str">
        <v/>
      </c>
      <c r="AK188" t="str">
        <v/>
      </c>
      <c r="AL188" t="str">
        <v/>
      </c>
    </row>
    <row r="189">
      <c r="A189" t="str">
        <v/>
      </c>
      <c r="B189" t="str">
        <v/>
      </c>
      <c r="C189" t="str">
        <v xml:space="preserve">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v>0</v>
      </c>
      <c r="U189">
        <v>0</v>
      </c>
      <c r="V189">
        <v>0</v>
      </c>
      <c r="W189">
        <v>0</v>
      </c>
      <c r="X189">
        <v>0</v>
      </c>
      <c r="Y189">
        <v>0</v>
      </c>
      <c r="Z189">
        <v>0</v>
      </c>
      <c r="AA189">
        <v>0</v>
      </c>
      <c r="AB189">
        <v>0</v>
      </c>
      <c r="AC189">
        <v>0</v>
      </c>
      <c r="AD189">
        <v>0</v>
      </c>
      <c r="AE189">
        <v>0</v>
      </c>
      <c r="AF189">
        <v>0</v>
      </c>
      <c r="AG189" t="str">
        <v/>
      </c>
      <c r="AH189" t="str">
        <v/>
      </c>
      <c r="AI189" t="str">
        <v/>
      </c>
      <c r="AJ189" t="str">
        <v/>
      </c>
      <c r="AK189" t="str">
        <v/>
      </c>
      <c r="AL189" t="str">
        <v/>
      </c>
    </row>
    <row r="190">
      <c r="A190" t="str">
        <v/>
      </c>
      <c r="B190" t="str">
        <v>综合类成本</v>
      </c>
      <c r="C190" t="str">
        <v>综合类成本合计</v>
      </c>
      <c r="D190" t="str">
        <v>支出</v>
      </c>
      <c r="E190" t="str">
        <v/>
      </c>
      <c r="F190" t="str">
        <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tr">
        <v/>
      </c>
      <c r="AH190" t="str">
        <v/>
      </c>
      <c r="AI190" t="str">
        <v/>
      </c>
      <c r="AJ190" t="str">
        <v/>
      </c>
      <c r="AK190" t="str">
        <v/>
      </c>
      <c r="AL190" t="str">
        <v/>
      </c>
    </row>
    <row r="191">
      <c r="A191" t="str">
        <v/>
      </c>
      <c r="B191" t="str">
        <v/>
      </c>
      <c r="C191" t="str">
        <v/>
      </c>
      <c r="D191" t="str">
        <v>付款进度-金额</v>
      </c>
      <c r="E191" t="str">
        <v/>
      </c>
      <c r="F191" t="str">
        <v/>
      </c>
      <c r="G191">
        <v>0</v>
      </c>
      <c r="H191">
        <v>0</v>
      </c>
      <c r="I191">
        <v>0</v>
      </c>
      <c r="J191">
        <v>0</v>
      </c>
      <c r="K191">
        <v>0</v>
      </c>
      <c r="L191">
        <v>0</v>
      </c>
      <c r="M191">
        <v>0</v>
      </c>
      <c r="N191">
        <v>0</v>
      </c>
      <c r="O191">
        <v>0</v>
      </c>
      <c r="P191">
        <v>0</v>
      </c>
      <c r="Q191">
        <v>0</v>
      </c>
      <c r="R191">
        <v>0</v>
      </c>
      <c r="S191">
        <v>0</v>
      </c>
      <c r="T191" t="str">
        <v/>
      </c>
      <c r="U191" t="str">
        <v/>
      </c>
      <c r="V191" t="str">
        <v/>
      </c>
      <c r="W191" t="str">
        <v/>
      </c>
      <c r="X191" t="str">
        <v/>
      </c>
      <c r="Y191" t="str">
        <v/>
      </c>
      <c r="Z191" t="str">
        <v/>
      </c>
      <c r="AA191" t="str">
        <v/>
      </c>
      <c r="AB191" t="str">
        <v/>
      </c>
      <c r="AC191" t="str">
        <v/>
      </c>
      <c r="AD191" t="str">
        <v/>
      </c>
      <c r="AE191" t="str">
        <v/>
      </c>
      <c r="AF191" t="str">
        <v/>
      </c>
      <c r="AG191" t="str">
        <v/>
      </c>
      <c r="AH191" t="str">
        <v/>
      </c>
      <c r="AI191" t="str">
        <v/>
      </c>
      <c r="AJ191" t="str">
        <v/>
      </c>
      <c r="AK191" t="str">
        <v/>
      </c>
      <c r="AL191" t="str">
        <v/>
      </c>
    </row>
    <row r="192">
      <c r="A192" t="str">
        <v/>
      </c>
      <c r="B192" t="str">
        <v/>
      </c>
      <c r="C192" t="str">
        <v/>
      </c>
      <c r="D192" t="str">
        <v>付款进度-比例</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c r="AF192" t="str">
        <v/>
      </c>
      <c r="AG192" t="str">
        <v/>
      </c>
      <c r="AH192" t="str">
        <v/>
      </c>
      <c r="AI192" t="str">
        <v/>
      </c>
      <c r="AJ192" t="str">
        <v/>
      </c>
      <c r="AK192" t="str">
        <v/>
      </c>
      <c r="AL192" t="str">
        <v/>
      </c>
    </row>
    <row r="193">
      <c r="A193" t="str">
        <v/>
      </c>
      <c r="B193" t="str">
        <v/>
      </c>
      <c r="C193" t="str">
        <v>1、销售费用</v>
      </c>
      <c r="D193" t="str">
        <v>支出</v>
      </c>
      <c r="E193" t="str">
        <v/>
      </c>
      <c r="F193" t="str">
        <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tr">
        <v>ICT项目直接相关的营销宣传支出，如项目广告宣传费、展览费、社会渠道酬金、客户服务费、促销费、营销咨询费等。</v>
      </c>
      <c r="AH193" t="str">
        <v/>
      </c>
      <c r="AI193" t="str">
        <v/>
      </c>
      <c r="AJ193" t="str">
        <v/>
      </c>
      <c r="AK193" t="str">
        <v/>
      </c>
      <c r="AL193" t="str">
        <v/>
      </c>
    </row>
    <row r="194">
      <c r="A194" t="str">
        <v/>
      </c>
      <c r="B194" t="str">
        <v/>
      </c>
      <c r="C194" t="str">
        <v/>
      </c>
      <c r="D194" t="str">
        <v>付款进度-金额</v>
      </c>
      <c r="E194" t="str">
        <v/>
      </c>
      <c r="F194" t="str">
        <v/>
      </c>
      <c r="G194">
        <v>0</v>
      </c>
      <c r="H194">
        <v>0</v>
      </c>
      <c r="I194">
        <v>0</v>
      </c>
      <c r="J194">
        <v>0</v>
      </c>
      <c r="K194">
        <v>0</v>
      </c>
      <c r="L194">
        <v>0</v>
      </c>
      <c r="M194">
        <v>0</v>
      </c>
      <c r="N194">
        <v>0</v>
      </c>
      <c r="O194">
        <v>0</v>
      </c>
      <c r="P194">
        <v>0</v>
      </c>
      <c r="Q194">
        <v>0</v>
      </c>
      <c r="R194">
        <v>0</v>
      </c>
      <c r="S194">
        <v>0</v>
      </c>
      <c r="T194" t="str">
        <v/>
      </c>
      <c r="U194" t="str">
        <v/>
      </c>
      <c r="V194" t="str">
        <v/>
      </c>
      <c r="W194" t="str">
        <v/>
      </c>
      <c r="X194" t="str">
        <v/>
      </c>
      <c r="Y194" t="str">
        <v/>
      </c>
      <c r="Z194" t="str">
        <v/>
      </c>
      <c r="AA194" t="str">
        <v/>
      </c>
      <c r="AB194" t="str">
        <v/>
      </c>
      <c r="AC194" t="str">
        <v/>
      </c>
      <c r="AD194" t="str">
        <v/>
      </c>
      <c r="AE194" t="str">
        <v/>
      </c>
      <c r="AF194" t="str">
        <v/>
      </c>
      <c r="AG194" t="str">
        <v/>
      </c>
      <c r="AH194" t="str">
        <v/>
      </c>
      <c r="AI194" t="str">
        <v/>
      </c>
      <c r="AJ194" t="str">
        <v/>
      </c>
      <c r="AK194" t="str">
        <v/>
      </c>
      <c r="AL194" t="str">
        <v/>
      </c>
    </row>
    <row r="195">
      <c r="A195" t="str">
        <v/>
      </c>
      <c r="B195" t="str">
        <v/>
      </c>
      <c r="C195" t="str">
        <v/>
      </c>
      <c r="D195" t="str">
        <v>付款进度-比例</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c r="AF195" t="str">
        <v/>
      </c>
      <c r="AG195" t="str">
        <v/>
      </c>
      <c r="AH195" t="str">
        <v/>
      </c>
      <c r="AI195" t="str">
        <v/>
      </c>
      <c r="AJ195" t="str">
        <v/>
      </c>
      <c r="AK195" t="str">
        <v/>
      </c>
      <c r="AL195" t="str">
        <v/>
      </c>
    </row>
    <row r="196">
      <c r="A196" t="str">
        <v/>
      </c>
      <c r="B196" t="str">
        <v/>
      </c>
      <c r="C196" t="str">
        <v>1-1 社会渠道酬金</v>
      </c>
      <c r="D196" t="str">
        <v>支出</v>
      </c>
      <c r="E196" t="str">
        <v/>
      </c>
      <c r="F196">
        <v>0.06</v>
      </c>
      <c r="G196">
        <v>0</v>
      </c>
      <c r="H196" t="str">
        <v/>
      </c>
      <c r="I196" t="str">
        <v/>
      </c>
      <c r="J196" t="str">
        <v/>
      </c>
      <c r="K196" t="str">
        <v/>
      </c>
      <c r="L196" t="str">
        <v/>
      </c>
      <c r="M196" t="str">
        <v/>
      </c>
      <c r="N196" t="str">
        <v/>
      </c>
      <c r="O196" t="str">
        <v/>
      </c>
      <c r="P196" t="str">
        <v/>
      </c>
      <c r="Q196" t="str">
        <v/>
      </c>
      <c r="R196" t="str">
        <v/>
      </c>
      <c r="S196" t="str">
        <v/>
      </c>
      <c r="T196">
        <v>0</v>
      </c>
      <c r="U196">
        <v>0</v>
      </c>
      <c r="V196">
        <v>0</v>
      </c>
      <c r="W196">
        <v>0</v>
      </c>
      <c r="X196">
        <v>0</v>
      </c>
      <c r="Y196">
        <v>0</v>
      </c>
      <c r="Z196">
        <v>0</v>
      </c>
      <c r="AA196">
        <v>0</v>
      </c>
      <c r="AB196">
        <v>0</v>
      </c>
      <c r="AC196">
        <v>0</v>
      </c>
      <c r="AD196">
        <v>0</v>
      </c>
      <c r="AE196">
        <v>0</v>
      </c>
      <c r="AF196">
        <v>0</v>
      </c>
      <c r="AG196" t="str">
        <v/>
      </c>
      <c r="AH196" t="str">
        <v/>
      </c>
      <c r="AI196" t="str">
        <v/>
      </c>
      <c r="AJ196" t="str">
        <v/>
      </c>
      <c r="AK196" t="str">
        <v/>
      </c>
      <c r="AL196" t="str">
        <v/>
      </c>
    </row>
    <row r="197">
      <c r="A197" t="str">
        <v/>
      </c>
      <c r="B197" t="str">
        <v/>
      </c>
      <c r="C197" t="str">
        <v/>
      </c>
      <c r="D197" t="str">
        <v>付款进度-金额</v>
      </c>
      <c r="E197" t="str">
        <v/>
      </c>
      <c r="F197" t="str">
        <v/>
      </c>
      <c r="G197">
        <v>0</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c r="AF197" t="str">
        <v/>
      </c>
      <c r="AG197" t="str">
        <v/>
      </c>
      <c r="AH197" t="str">
        <v/>
      </c>
      <c r="AI197" t="str">
        <v/>
      </c>
      <c r="AJ197" t="str">
        <v/>
      </c>
      <c r="AK197" t="str">
        <v/>
      </c>
      <c r="AL197" t="str">
        <v/>
      </c>
    </row>
    <row r="198">
      <c r="A198" t="str">
        <v/>
      </c>
      <c r="B198" t="str">
        <v/>
      </c>
      <c r="C198" t="str">
        <v/>
      </c>
      <c r="D198" t="str">
        <v>付款进度-比例</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c r="AF198" t="str">
        <v/>
      </c>
      <c r="AG198" t="str">
        <v/>
      </c>
      <c r="AH198" t="str">
        <v/>
      </c>
      <c r="AI198" t="str">
        <v/>
      </c>
      <c r="AJ198" t="str">
        <v/>
      </c>
      <c r="AK198" t="str">
        <v/>
      </c>
      <c r="AL198" t="str">
        <v/>
      </c>
    </row>
    <row r="199">
      <c r="A199" t="str">
        <v/>
      </c>
      <c r="B199" t="str">
        <v/>
      </c>
      <c r="C199" t="str">
        <v>1-2 其他销售费用</v>
      </c>
      <c r="D199" t="str">
        <v>支出</v>
      </c>
      <c r="E199" t="str">
        <v/>
      </c>
      <c r="F199">
        <v>0.06</v>
      </c>
      <c r="G199">
        <v>0</v>
      </c>
      <c r="H199" t="str">
        <v/>
      </c>
      <c r="I199" t="str">
        <v/>
      </c>
      <c r="J199" t="str">
        <v/>
      </c>
      <c r="K199" t="str">
        <v/>
      </c>
      <c r="L199" t="str">
        <v/>
      </c>
      <c r="M199" t="str">
        <v/>
      </c>
      <c r="N199" t="str">
        <v/>
      </c>
      <c r="O199" t="str">
        <v/>
      </c>
      <c r="P199" t="str">
        <v/>
      </c>
      <c r="Q199" t="str">
        <v/>
      </c>
      <c r="R199" t="str">
        <v/>
      </c>
      <c r="S199" t="str">
        <v/>
      </c>
      <c r="T199">
        <v>0</v>
      </c>
      <c r="U199">
        <v>0</v>
      </c>
      <c r="V199">
        <v>0</v>
      </c>
      <c r="W199">
        <v>0</v>
      </c>
      <c r="X199">
        <v>0</v>
      </c>
      <c r="Y199">
        <v>0</v>
      </c>
      <c r="Z199">
        <v>0</v>
      </c>
      <c r="AA199">
        <v>0</v>
      </c>
      <c r="AB199">
        <v>0</v>
      </c>
      <c r="AC199">
        <v>0</v>
      </c>
      <c r="AD199">
        <v>0</v>
      </c>
      <c r="AE199">
        <v>0</v>
      </c>
      <c r="AF199">
        <v>0</v>
      </c>
      <c r="AG199" t="str">
        <v/>
      </c>
      <c r="AH199" t="str">
        <v/>
      </c>
      <c r="AI199" t="str">
        <v/>
      </c>
      <c r="AJ199" t="str">
        <v/>
      </c>
      <c r="AK199" t="str">
        <v/>
      </c>
      <c r="AL199" t="str">
        <v/>
      </c>
    </row>
    <row r="200">
      <c r="A200" t="str">
        <v/>
      </c>
      <c r="B200" t="str">
        <v/>
      </c>
      <c r="C200" t="str">
        <v/>
      </c>
      <c r="D200" t="str">
        <v>付款进度-金额</v>
      </c>
      <c r="E200" t="str">
        <v/>
      </c>
      <c r="F200" t="str">
        <v/>
      </c>
      <c r="G200">
        <v>0</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c r="AF200" t="str">
        <v/>
      </c>
      <c r="AG200" t="str">
        <v/>
      </c>
      <c r="AH200" t="str">
        <v/>
      </c>
      <c r="AI200" t="str">
        <v/>
      </c>
      <c r="AJ200" t="str">
        <v/>
      </c>
      <c r="AK200" t="str">
        <v/>
      </c>
      <c r="AL200" t="str">
        <v/>
      </c>
    </row>
    <row r="201">
      <c r="A201" t="str">
        <v/>
      </c>
      <c r="B201" t="str">
        <v/>
      </c>
      <c r="C201" t="str">
        <v/>
      </c>
      <c r="D201" t="str">
        <v>付款进度-比例</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c r="AF201" t="str">
        <v/>
      </c>
      <c r="AG201" t="str">
        <v/>
      </c>
      <c r="AH201" t="str">
        <v/>
      </c>
      <c r="AI201" t="str">
        <v/>
      </c>
      <c r="AJ201" t="str">
        <v/>
      </c>
      <c r="AK201" t="str">
        <v/>
      </c>
      <c r="AL201" t="str">
        <v/>
      </c>
    </row>
    <row r="202">
      <c r="A202" t="str">
        <v/>
      </c>
      <c r="B202" t="str">
        <v/>
      </c>
      <c r="C202" t="str">
        <v>2、管理费用</v>
      </c>
      <c r="D202" t="str">
        <v>支出</v>
      </c>
      <c r="E202" t="str">
        <v/>
      </c>
      <c r="F202" t="str">
        <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t="str">
        <v>项目直接相关的维修费、管理咨询费、招投标服务费、标书制作费、工本费等。可根据业务实质确定税率，如涉及多项可加行填写。</v>
      </c>
      <c r="AH202" t="str">
        <v/>
      </c>
      <c r="AI202" t="str">
        <v/>
      </c>
      <c r="AJ202" t="str">
        <v/>
      </c>
      <c r="AK202" t="str">
        <v/>
      </c>
      <c r="AL202" t="str">
        <v/>
      </c>
    </row>
    <row r="203">
      <c r="A203" t="str">
        <v/>
      </c>
      <c r="B203" t="str">
        <v/>
      </c>
      <c r="C203" t="str">
        <v/>
      </c>
      <c r="D203" t="str">
        <v>付款进度-金额</v>
      </c>
      <c r="E203" t="str">
        <v/>
      </c>
      <c r="F203" t="str">
        <v/>
      </c>
      <c r="G203">
        <v>0</v>
      </c>
      <c r="H203">
        <v>0</v>
      </c>
      <c r="I203">
        <v>0</v>
      </c>
      <c r="J203">
        <v>0</v>
      </c>
      <c r="K203">
        <v>0</v>
      </c>
      <c r="L203">
        <v>0</v>
      </c>
      <c r="M203">
        <v>0</v>
      </c>
      <c r="N203">
        <v>0</v>
      </c>
      <c r="O203">
        <v>0</v>
      </c>
      <c r="P203">
        <v>0</v>
      </c>
      <c r="Q203">
        <v>0</v>
      </c>
      <c r="R203">
        <v>0</v>
      </c>
      <c r="S203">
        <v>0</v>
      </c>
      <c r="T203" t="str">
        <v/>
      </c>
      <c r="U203" t="str">
        <v/>
      </c>
      <c r="V203" t="str">
        <v/>
      </c>
      <c r="W203" t="str">
        <v/>
      </c>
      <c r="X203" t="str">
        <v/>
      </c>
      <c r="Y203" t="str">
        <v/>
      </c>
      <c r="Z203" t="str">
        <v/>
      </c>
      <c r="AA203" t="str">
        <v/>
      </c>
      <c r="AB203" t="str">
        <v/>
      </c>
      <c r="AC203" t="str">
        <v/>
      </c>
      <c r="AD203" t="str">
        <v/>
      </c>
      <c r="AE203" t="str">
        <v/>
      </c>
      <c r="AF203" t="str">
        <v/>
      </c>
      <c r="AG203" t="str">
        <v/>
      </c>
      <c r="AH203" t="str">
        <v/>
      </c>
      <c r="AI203" t="str">
        <v/>
      </c>
      <c r="AJ203" t="str">
        <v/>
      </c>
      <c r="AK203" t="str">
        <v/>
      </c>
      <c r="AL203" t="str">
        <v/>
      </c>
    </row>
    <row r="204">
      <c r="A204" t="str">
        <v/>
      </c>
      <c r="B204" t="str">
        <v/>
      </c>
      <c r="C204" t="str">
        <v/>
      </c>
      <c r="D204" t="str">
        <v>付款进度-比例</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c r="AF204" t="str">
        <v/>
      </c>
      <c r="AG204" t="str">
        <v/>
      </c>
      <c r="AH204" t="str">
        <v/>
      </c>
      <c r="AI204" t="str">
        <v/>
      </c>
      <c r="AJ204" t="str">
        <v/>
      </c>
      <c r="AK204" t="str">
        <v/>
      </c>
      <c r="AL204" t="str">
        <v/>
      </c>
    </row>
    <row r="205">
      <c r="A205" t="str">
        <v/>
      </c>
      <c r="B205" t="str">
        <v/>
      </c>
      <c r="C205" t="str">
        <v>2-1 招投标服务费及标书制作费</v>
      </c>
      <c r="D205" t="str">
        <v>支出</v>
      </c>
      <c r="E205" t="str">
        <v/>
      </c>
      <c r="F205">
        <v>0.06</v>
      </c>
      <c r="G205">
        <v>0</v>
      </c>
      <c r="H205" t="str">
        <v/>
      </c>
      <c r="I205" t="str">
        <v/>
      </c>
      <c r="J205" t="str">
        <v/>
      </c>
      <c r="K205" t="str">
        <v/>
      </c>
      <c r="L205" t="str">
        <v/>
      </c>
      <c r="M205" t="str">
        <v/>
      </c>
      <c r="N205" t="str">
        <v/>
      </c>
      <c r="O205" t="str">
        <v/>
      </c>
      <c r="P205" t="str">
        <v/>
      </c>
      <c r="Q205" t="str">
        <v/>
      </c>
      <c r="R205" t="str">
        <v/>
      </c>
      <c r="S205" t="str">
        <v/>
      </c>
      <c r="T205">
        <v>0</v>
      </c>
      <c r="U205">
        <v>0</v>
      </c>
      <c r="V205">
        <v>0</v>
      </c>
      <c r="W205">
        <v>0</v>
      </c>
      <c r="X205">
        <v>0</v>
      </c>
      <c r="Y205">
        <v>0</v>
      </c>
      <c r="Z205">
        <v>0</v>
      </c>
      <c r="AA205">
        <v>0</v>
      </c>
      <c r="AB205">
        <v>0</v>
      </c>
      <c r="AC205">
        <v>0</v>
      </c>
      <c r="AD205">
        <v>0</v>
      </c>
      <c r="AE205">
        <v>0</v>
      </c>
      <c r="AF205">
        <v>0</v>
      </c>
      <c r="AG205" t="str">
        <v/>
      </c>
      <c r="AH205" t="str">
        <v/>
      </c>
      <c r="AI205" t="str">
        <v/>
      </c>
      <c r="AJ205" t="str">
        <v/>
      </c>
      <c r="AK205" t="str">
        <v/>
      </c>
      <c r="AL205" t="str">
        <v/>
      </c>
    </row>
    <row r="206">
      <c r="A206" t="str">
        <v/>
      </c>
      <c r="B206" t="str">
        <v/>
      </c>
      <c r="C206" t="str">
        <v/>
      </c>
      <c r="D206" t="str">
        <v>付款进度-金额</v>
      </c>
      <c r="E206" t="str">
        <v/>
      </c>
      <c r="F206" t="str">
        <v/>
      </c>
      <c r="G206">
        <v>0</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c r="AF206" t="str">
        <v/>
      </c>
      <c r="AG206" t="str">
        <v/>
      </c>
      <c r="AH206" t="str">
        <v/>
      </c>
      <c r="AI206" t="str">
        <v/>
      </c>
      <c r="AJ206" t="str">
        <v/>
      </c>
      <c r="AK206" t="str">
        <v/>
      </c>
      <c r="AL206" t="str">
        <v/>
      </c>
    </row>
    <row r="207">
      <c r="A207" t="str">
        <v/>
      </c>
      <c r="B207" t="str">
        <v/>
      </c>
      <c r="C207" t="str">
        <v/>
      </c>
      <c r="D207" t="str">
        <v>付款进度-比例</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c r="AF207" t="str">
        <v/>
      </c>
      <c r="AG207" t="str">
        <v/>
      </c>
      <c r="AH207" t="str">
        <v/>
      </c>
      <c r="AI207" t="str">
        <v/>
      </c>
      <c r="AJ207" t="str">
        <v/>
      </c>
      <c r="AK207" t="str">
        <v/>
      </c>
      <c r="AL207" t="str">
        <v/>
      </c>
    </row>
    <row r="208">
      <c r="A208" t="str">
        <v/>
      </c>
      <c r="B208" t="str">
        <v/>
      </c>
      <c r="C208" t="str">
        <v>2-2 其他管理费用</v>
      </c>
      <c r="D208" t="str">
        <v>支出</v>
      </c>
      <c r="E208" t="str">
        <v/>
      </c>
      <c r="F208">
        <v>0.06</v>
      </c>
      <c r="G208">
        <v>0</v>
      </c>
      <c r="H208" t="str">
        <v/>
      </c>
      <c r="I208" t="str">
        <v/>
      </c>
      <c r="J208" t="str">
        <v/>
      </c>
      <c r="K208" t="str">
        <v/>
      </c>
      <c r="L208" t="str">
        <v/>
      </c>
      <c r="M208" t="str">
        <v/>
      </c>
      <c r="N208" t="str">
        <v/>
      </c>
      <c r="O208" t="str">
        <v/>
      </c>
      <c r="P208" t="str">
        <v/>
      </c>
      <c r="Q208" t="str">
        <v/>
      </c>
      <c r="R208" t="str">
        <v/>
      </c>
      <c r="S208" t="str">
        <v/>
      </c>
      <c r="T208">
        <v>0</v>
      </c>
      <c r="U208">
        <v>0</v>
      </c>
      <c r="V208">
        <v>0</v>
      </c>
      <c r="W208">
        <v>0</v>
      </c>
      <c r="X208">
        <v>0</v>
      </c>
      <c r="Y208">
        <v>0</v>
      </c>
      <c r="Z208">
        <v>0</v>
      </c>
      <c r="AA208">
        <v>0</v>
      </c>
      <c r="AB208">
        <v>0</v>
      </c>
      <c r="AC208">
        <v>0</v>
      </c>
      <c r="AD208">
        <v>0</v>
      </c>
      <c r="AE208">
        <v>0</v>
      </c>
      <c r="AF208">
        <v>0</v>
      </c>
      <c r="AG208" t="str">
        <v/>
      </c>
      <c r="AH208" t="str">
        <v/>
      </c>
      <c r="AI208" t="str">
        <v/>
      </c>
      <c r="AJ208" t="str">
        <v/>
      </c>
      <c r="AK208" t="str">
        <v/>
      </c>
      <c r="AL208" t="str">
        <v/>
      </c>
    </row>
    <row r="209">
      <c r="A209" t="str">
        <v/>
      </c>
      <c r="B209" t="str">
        <v/>
      </c>
      <c r="C209" t="str">
        <v/>
      </c>
      <c r="D209" t="str">
        <v>付款进度-金额</v>
      </c>
      <c r="E209" t="str">
        <v/>
      </c>
      <c r="F209" t="str">
        <v/>
      </c>
      <c r="G209">
        <v>0</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c r="AF209" t="str">
        <v/>
      </c>
      <c r="AG209" t="str">
        <v/>
      </c>
      <c r="AH209" t="str">
        <v/>
      </c>
      <c r="AI209" t="str">
        <v/>
      </c>
      <c r="AJ209" t="str">
        <v/>
      </c>
      <c r="AK209" t="str">
        <v/>
      </c>
      <c r="AL209" t="str">
        <v/>
      </c>
    </row>
    <row r="210">
      <c r="A210" t="str">
        <v/>
      </c>
      <c r="B210" t="str">
        <v/>
      </c>
      <c r="C210" t="str">
        <v/>
      </c>
      <c r="D210" t="str">
        <v>付款进度-比例</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c r="AF210" t="str">
        <v/>
      </c>
      <c r="AG210" t="str">
        <v/>
      </c>
      <c r="AH210" t="str">
        <v/>
      </c>
      <c r="AI210" t="str">
        <v/>
      </c>
      <c r="AJ210" t="str">
        <v/>
      </c>
      <c r="AK210" t="str">
        <v/>
      </c>
      <c r="AL210" t="str">
        <v/>
      </c>
    </row>
    <row r="211">
      <c r="A211" t="str">
        <v/>
      </c>
      <c r="B211" t="str">
        <v/>
      </c>
      <c r="C211" t="str">
        <v>3、研发费用</v>
      </c>
      <c r="D211" t="str">
        <v>支出</v>
      </c>
      <c r="E211" t="str">
        <v/>
      </c>
      <c r="F211">
        <v>0.06</v>
      </c>
      <c r="G211">
        <v>0</v>
      </c>
      <c r="H211" t="str">
        <v/>
      </c>
      <c r="I211" t="str">
        <v/>
      </c>
      <c r="J211" t="str">
        <v/>
      </c>
      <c r="K211" t="str">
        <v/>
      </c>
      <c r="L211" t="str">
        <v/>
      </c>
      <c r="M211" t="str">
        <v/>
      </c>
      <c r="N211" t="str">
        <v/>
      </c>
      <c r="O211" t="str">
        <v/>
      </c>
      <c r="P211" t="str">
        <v/>
      </c>
      <c r="Q211" t="str">
        <v/>
      </c>
      <c r="R211" t="str">
        <v/>
      </c>
      <c r="S211" t="str">
        <v/>
      </c>
      <c r="T211">
        <v>0</v>
      </c>
      <c r="U211">
        <v>0</v>
      </c>
      <c r="V211">
        <v>0</v>
      </c>
      <c r="W211">
        <v>0</v>
      </c>
      <c r="X211">
        <v>0</v>
      </c>
      <c r="Y211">
        <v>0</v>
      </c>
      <c r="Z211">
        <v>0</v>
      </c>
      <c r="AA211">
        <v>0</v>
      </c>
      <c r="AB211">
        <v>0</v>
      </c>
      <c r="AC211">
        <v>0</v>
      </c>
      <c r="AD211">
        <v>0</v>
      </c>
      <c r="AE211">
        <v>0</v>
      </c>
      <c r="AF211">
        <v>0</v>
      </c>
      <c r="AG211" t="str">
        <v>ICT项目直接相关的研发费用，包括通过外包、合作研发等方式，委托其他单位、个人或者与之合作进行研发而支付的费用，以及其他与研发相关的测试、流量费、技术图书资料费、资料翻译费等费用。</v>
      </c>
      <c r="AH211" t="str">
        <v/>
      </c>
      <c r="AI211" t="str">
        <v/>
      </c>
      <c r="AJ211" t="str">
        <v/>
      </c>
      <c r="AK211" t="str">
        <v/>
      </c>
      <c r="AL211" t="str">
        <v/>
      </c>
    </row>
    <row r="212">
      <c r="A212" t="str">
        <v/>
      </c>
      <c r="B212" t="str">
        <v/>
      </c>
      <c r="C212" t="str">
        <v/>
      </c>
      <c r="D212" t="str">
        <v>付款进度-金额</v>
      </c>
      <c r="E212" t="str">
        <v/>
      </c>
      <c r="F212" t="str">
        <v/>
      </c>
      <c r="G212">
        <v>0</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c r="AF212" t="str">
        <v/>
      </c>
      <c r="AG212" t="str">
        <v/>
      </c>
      <c r="AH212" t="str">
        <v/>
      </c>
      <c r="AI212" t="str">
        <v/>
      </c>
      <c r="AJ212" t="str">
        <v/>
      </c>
      <c r="AK212" t="str">
        <v/>
      </c>
      <c r="AL212" t="str">
        <v/>
      </c>
    </row>
    <row r="213">
      <c r="A213" t="str">
        <v/>
      </c>
      <c r="B213" t="str">
        <v/>
      </c>
      <c r="C213" t="str">
        <v/>
      </c>
      <c r="D213" t="str">
        <v>付款进度-比例</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c r="AF213" t="str">
        <v/>
      </c>
      <c r="AG213" t="str">
        <v/>
      </c>
      <c r="AH213" t="str">
        <v/>
      </c>
      <c r="AI213" t="str">
        <v/>
      </c>
      <c r="AJ213" t="str">
        <v/>
      </c>
      <c r="AK213" t="str">
        <v/>
      </c>
      <c r="AL213" t="str">
        <v/>
      </c>
    </row>
    <row r="214">
      <c r="A214" t="str">
        <v/>
      </c>
      <c r="B214" t="str">
        <v/>
      </c>
      <c r="C214" t="str">
        <v xml:space="preserve">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v>0</v>
      </c>
      <c r="U214">
        <v>0</v>
      </c>
      <c r="V214">
        <v>0</v>
      </c>
      <c r="W214">
        <v>0</v>
      </c>
      <c r="X214">
        <v>0</v>
      </c>
      <c r="Y214">
        <v>0</v>
      </c>
      <c r="Z214">
        <v>0</v>
      </c>
      <c r="AA214">
        <v>0</v>
      </c>
      <c r="AB214">
        <v>0</v>
      </c>
      <c r="AC214">
        <v>0</v>
      </c>
      <c r="AD214">
        <v>0</v>
      </c>
      <c r="AE214">
        <v>0</v>
      </c>
      <c r="AF214">
        <v>0</v>
      </c>
      <c r="AG214" t="str">
        <v>除上述3项外的其他综合类成本，如有多个，可插行填写</v>
      </c>
      <c r="AH214" t="str">
        <v/>
      </c>
      <c r="AI214" t="str">
        <v/>
      </c>
      <c r="AJ214" t="str">
        <v/>
      </c>
      <c r="AK214" t="str">
        <v/>
      </c>
      <c r="AL214" t="str">
        <v/>
      </c>
    </row>
    <row r="215">
      <c r="A215" t="str">
        <v>非本项目新增支出成本分摊</v>
      </c>
      <c r="B215" t="str">
        <v/>
      </c>
      <c r="C215" t="str">
        <v>合计</v>
      </c>
      <c r="D215" t="str">
        <v>支出</v>
      </c>
      <c r="E215" t="str">
        <v/>
      </c>
      <c r="F215" t="str">
        <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t="str">
        <v/>
      </c>
      <c r="AH215" t="str">
        <v/>
      </c>
      <c r="AI215" t="str">
        <v/>
      </c>
      <c r="AJ215" t="str">
        <v/>
      </c>
      <c r="AK215" t="str">
        <v/>
      </c>
      <c r="AL215" t="str">
        <v/>
      </c>
    </row>
    <row r="216">
      <c r="A216" t="str">
        <v/>
      </c>
      <c r="B216" t="str">
        <v/>
      </c>
      <c r="C216" t="str">
        <v/>
      </c>
      <c r="D216" t="str">
        <v>付款进度-金额</v>
      </c>
      <c r="E216" t="str">
        <v/>
      </c>
      <c r="F216" t="str">
        <v/>
      </c>
      <c r="G216">
        <v>0</v>
      </c>
      <c r="H216">
        <v>0</v>
      </c>
      <c r="I216">
        <v>0</v>
      </c>
      <c r="J216">
        <v>0</v>
      </c>
      <c r="K216">
        <v>0</v>
      </c>
      <c r="L216">
        <v>0</v>
      </c>
      <c r="M216">
        <v>0</v>
      </c>
      <c r="N216">
        <v>0</v>
      </c>
      <c r="O216">
        <v>0</v>
      </c>
      <c r="P216">
        <v>0</v>
      </c>
      <c r="Q216">
        <v>0</v>
      </c>
      <c r="R216">
        <v>0</v>
      </c>
      <c r="S216">
        <v>0</v>
      </c>
      <c r="T216" t="str">
        <v/>
      </c>
      <c r="U216" t="str">
        <v/>
      </c>
      <c r="V216" t="str">
        <v/>
      </c>
      <c r="W216" t="str">
        <v/>
      </c>
      <c r="X216" t="str">
        <v/>
      </c>
      <c r="Y216" t="str">
        <v/>
      </c>
      <c r="Z216" t="str">
        <v/>
      </c>
      <c r="AA216" t="str">
        <v/>
      </c>
      <c r="AB216" t="str">
        <v/>
      </c>
      <c r="AC216" t="str">
        <v/>
      </c>
      <c r="AD216" t="str">
        <v/>
      </c>
      <c r="AE216" t="str">
        <v/>
      </c>
      <c r="AF216" t="str">
        <v/>
      </c>
      <c r="AG216" t="str">
        <v/>
      </c>
      <c r="AH216" t="str">
        <v/>
      </c>
      <c r="AI216" t="str">
        <v/>
      </c>
      <c r="AJ216" t="str">
        <v/>
      </c>
      <c r="AK216" t="str">
        <v/>
      </c>
      <c r="AL216" t="str">
        <v/>
      </c>
    </row>
    <row r="217">
      <c r="A217" t="str">
        <v/>
      </c>
      <c r="B217" t="str">
        <v/>
      </c>
      <c r="C217" t="str">
        <v/>
      </c>
      <c r="D217" t="str">
        <v>付款进度-比例</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c r="AF217" t="str">
        <v/>
      </c>
      <c r="AG217" t="str">
        <v/>
      </c>
      <c r="AH217" t="str">
        <v/>
      </c>
      <c r="AI217" t="str">
        <v/>
      </c>
      <c r="AJ217" t="str">
        <v/>
      </c>
      <c r="AK217" t="str">
        <v/>
      </c>
      <c r="AL217" t="str">
        <v/>
      </c>
    </row>
    <row r="218">
      <c r="A218" t="str">
        <v/>
      </c>
      <c r="B218" t="str">
        <v/>
      </c>
      <c r="C218" t="str">
        <v>1、IT收入所对应的相关成本分摊</v>
      </c>
      <c r="D218" t="str">
        <v>支出</v>
      </c>
      <c r="E218" t="str">
        <v/>
      </c>
      <c r="F218" t="str">
        <v/>
      </c>
      <c r="G218">
        <v>100000</v>
      </c>
      <c r="H218" t="str">
        <v/>
      </c>
      <c r="I218">
        <v>50000</v>
      </c>
      <c r="J218">
        <v>50000</v>
      </c>
      <c r="K218" t="str">
        <v/>
      </c>
      <c r="L218" t="str">
        <v/>
      </c>
      <c r="M218" t="str">
        <v/>
      </c>
      <c r="N218" t="str">
        <v/>
      </c>
      <c r="O218" t="str">
        <v/>
      </c>
      <c r="P218" t="str">
        <v/>
      </c>
      <c r="Q218" t="str">
        <v/>
      </c>
      <c r="R218" t="str">
        <v/>
      </c>
      <c r="S218" t="str">
        <v/>
      </c>
      <c r="T218">
        <v>0</v>
      </c>
      <c r="U218">
        <v>0</v>
      </c>
      <c r="V218">
        <v>0</v>
      </c>
      <c r="W218">
        <v>0</v>
      </c>
      <c r="X218">
        <v>0</v>
      </c>
      <c r="Y218">
        <v>0</v>
      </c>
      <c r="Z218">
        <v>0</v>
      </c>
      <c r="AA218">
        <v>0</v>
      </c>
      <c r="AB218">
        <v>0</v>
      </c>
      <c r="AC218">
        <v>0</v>
      </c>
      <c r="AD218">
        <v>0</v>
      </c>
      <c r="AE218">
        <v>0</v>
      </c>
      <c r="AF218">
        <v>0</v>
      </c>
      <c r="AG218" t="str">
        <v>如项目占用较大的传输、无线和核心网资源，应考虑对上层网络资源分摊成本，可采用一定单价/比例、最低折扣价格等方式确定基础资源分摊成本。可根据项目实际情况和省内管理要求，与业务部门协商测算。可根据业务实质确定税率，如涉及多项可加行填写。</v>
      </c>
      <c r="AH218" t="str">
        <v/>
      </c>
      <c r="AI218" t="str">
        <v/>
      </c>
      <c r="AJ218" t="str">
        <v/>
      </c>
      <c r="AK218" t="str">
        <v/>
      </c>
      <c r="AL218" t="str">
        <v/>
      </c>
    </row>
    <row r="219">
      <c r="A219" t="str">
        <v/>
      </c>
      <c r="B219" t="str">
        <v/>
      </c>
      <c r="C219" t="str">
        <v/>
      </c>
      <c r="D219" t="str">
        <v>付款进度-金额</v>
      </c>
      <c r="E219" t="str">
        <v/>
      </c>
      <c r="F219" t="str">
        <v/>
      </c>
      <c r="G219">
        <v>0</v>
      </c>
      <c r="H219" t="str">
        <v/>
      </c>
      <c r="I219">
        <v>50000</v>
      </c>
      <c r="J219">
        <v>50000</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c r="AF219" t="str">
        <v/>
      </c>
      <c r="AG219" t="str">
        <v/>
      </c>
      <c r="AH219" t="str">
        <v/>
      </c>
      <c r="AI219" t="str">
        <v/>
      </c>
      <c r="AJ219" t="str">
        <v/>
      </c>
      <c r="AK219" t="str">
        <v/>
      </c>
      <c r="AL219" t="str">
        <v/>
      </c>
    </row>
    <row r="220">
      <c r="A220" t="str">
        <v/>
      </c>
      <c r="B220" t="str">
        <v/>
      </c>
      <c r="C220" t="str">
        <v/>
      </c>
      <c r="D220" t="str">
        <v>付款进度-比例</v>
      </c>
      <c r="E220" t="str">
        <v/>
      </c>
      <c r="F220" t="str">
        <v/>
      </c>
      <c r="G220" t="str">
        <v/>
      </c>
      <c r="H220" t="str">
        <v/>
      </c>
      <c r="I220">
        <v>1</v>
      </c>
      <c r="J220">
        <v>1</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c r="AF220" t="str">
        <v/>
      </c>
      <c r="AG220" t="str">
        <v/>
      </c>
      <c r="AH220" t="str">
        <v/>
      </c>
      <c r="AI220" t="str">
        <v/>
      </c>
      <c r="AJ220" t="str">
        <v/>
      </c>
      <c r="AK220" t="str">
        <v/>
      </c>
      <c r="AL220" t="str">
        <v/>
      </c>
    </row>
    <row r="221">
      <c r="A221" t="str">
        <v/>
      </c>
      <c r="B221" t="str">
        <v/>
      </c>
      <c r="C221" t="str">
        <v>2、CT收入所对应的基础网络资源的成本分摊</v>
      </c>
      <c r="D221" t="str">
        <v>支出</v>
      </c>
      <c r="E221" t="str">
        <v/>
      </c>
      <c r="F221" t="str">
        <v/>
      </c>
      <c r="G221">
        <v>60000</v>
      </c>
      <c r="H221" t="str">
        <v/>
      </c>
      <c r="I221">
        <v>30000</v>
      </c>
      <c r="J221">
        <v>30000</v>
      </c>
      <c r="K221" t="str">
        <v/>
      </c>
      <c r="L221" t="str">
        <v/>
      </c>
      <c r="M221" t="str">
        <v/>
      </c>
      <c r="N221" t="str">
        <v/>
      </c>
      <c r="O221" t="str">
        <v/>
      </c>
      <c r="P221" t="str">
        <v/>
      </c>
      <c r="Q221" t="str">
        <v/>
      </c>
      <c r="R221" t="str">
        <v/>
      </c>
      <c r="S221" t="str">
        <v/>
      </c>
      <c r="T221">
        <v>0</v>
      </c>
      <c r="U221">
        <v>0</v>
      </c>
      <c r="V221">
        <v>0</v>
      </c>
      <c r="W221">
        <v>0</v>
      </c>
      <c r="X221">
        <v>0</v>
      </c>
      <c r="Y221">
        <v>0</v>
      </c>
      <c r="Z221">
        <v>0</v>
      </c>
      <c r="AA221">
        <v>0</v>
      </c>
      <c r="AB221">
        <v>0</v>
      </c>
      <c r="AC221">
        <v>0</v>
      </c>
      <c r="AD221">
        <v>0</v>
      </c>
      <c r="AE221">
        <v>0</v>
      </c>
      <c r="AF221">
        <v>0</v>
      </c>
      <c r="AG221" t="str">
        <v>对业务或产品相关平台的分摊成本，可采用一定单价/比例、最低折扣价格等方式确定分摊成本，可根据项目实际情况和省内管理要求，与业务部门协商测算。可根据业务实质确定税率，如涉及多项可加行填写。</v>
      </c>
      <c r="AH221" t="str">
        <v/>
      </c>
      <c r="AI221" t="str">
        <v/>
      </c>
      <c r="AJ221" t="str">
        <v/>
      </c>
      <c r="AK221" t="str">
        <v/>
      </c>
      <c r="AL221" t="str">
        <v/>
      </c>
    </row>
    <row r="222">
      <c r="A222" t="str">
        <v/>
      </c>
      <c r="B222" t="str">
        <v/>
      </c>
      <c r="C222" t="str">
        <v/>
      </c>
      <c r="D222" t="str">
        <v>付款进度-金额</v>
      </c>
      <c r="E222" t="str">
        <v/>
      </c>
      <c r="F222" t="str">
        <v/>
      </c>
      <c r="G222">
        <v>0</v>
      </c>
      <c r="H222" t="str">
        <v/>
      </c>
      <c r="I222">
        <v>30000</v>
      </c>
      <c r="J222">
        <v>30000</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c r="AF222" t="str">
        <v/>
      </c>
      <c r="AG222" t="str">
        <v/>
      </c>
      <c r="AH222" t="str">
        <v/>
      </c>
      <c r="AI222" t="str">
        <v/>
      </c>
      <c r="AJ222" t="str">
        <v/>
      </c>
      <c r="AK222" t="str">
        <v/>
      </c>
      <c r="AL222" t="str">
        <v/>
      </c>
    </row>
    <row r="223">
      <c r="A223" t="str">
        <v/>
      </c>
      <c r="B223" t="str">
        <v/>
      </c>
      <c r="C223" t="str">
        <v/>
      </c>
      <c r="D223" t="str">
        <v>付款进度-比例</v>
      </c>
      <c r="E223" t="str">
        <v/>
      </c>
      <c r="F223" t="str">
        <v/>
      </c>
      <c r="G223" t="str">
        <v/>
      </c>
      <c r="H223" t="str">
        <v/>
      </c>
      <c r="I223">
        <v>1</v>
      </c>
      <c r="J223">
        <v>1</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c r="AF223" t="str">
        <v/>
      </c>
      <c r="AG223" t="str">
        <v/>
      </c>
      <c r="AH223" t="str">
        <v/>
      </c>
      <c r="AI223" t="str">
        <v/>
      </c>
      <c r="AJ223" t="str">
        <v/>
      </c>
      <c r="AK223" t="str">
        <v/>
      </c>
      <c r="AL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c r="AF224" t="str">
        <v/>
      </c>
      <c r="AG224" t="str">
        <v/>
      </c>
      <c r="AH224" t="str">
        <v/>
      </c>
      <c r="AI224" t="str">
        <v/>
      </c>
      <c r="AJ224" t="str">
        <v/>
      </c>
      <c r="AK224" t="str">
        <v/>
      </c>
      <c r="AL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c r="AF225" t="str">
        <v/>
      </c>
      <c r="AG225" t="str">
        <v/>
      </c>
      <c r="AH225" t="str">
        <v/>
      </c>
      <c r="AI225" t="str">
        <v/>
      </c>
      <c r="AJ225" t="str">
        <v/>
      </c>
      <c r="AK225" t="str">
        <v/>
      </c>
      <c r="AL225" t="str">
        <v/>
      </c>
    </row>
  </sheetData>
  <mergeCells count="94">
    <mergeCell ref="B3:C5"/>
    <mergeCell ref="B96:C98"/>
    <mergeCell ref="A215:B223"/>
    <mergeCell ref="C211:C213"/>
    <mergeCell ref="C215:C217"/>
    <mergeCell ref="C218:C220"/>
    <mergeCell ref="C221:C223"/>
    <mergeCell ref="AG12:AG17"/>
    <mergeCell ref="AG18:AG23"/>
    <mergeCell ref="AG43:AG45"/>
    <mergeCell ref="AG61:AG63"/>
    <mergeCell ref="AG108:AG113"/>
    <mergeCell ref="AG143:AG145"/>
    <mergeCell ref="AG146:AG151"/>
    <mergeCell ref="AG153:AG157"/>
    <mergeCell ref="AG172:AG173"/>
    <mergeCell ref="AG193:AG195"/>
    <mergeCell ref="AG202:AG204"/>
    <mergeCell ref="C196:C198"/>
    <mergeCell ref="C199:C201"/>
    <mergeCell ref="C202:C204"/>
    <mergeCell ref="C205:C207"/>
    <mergeCell ref="C208:C210"/>
    <mergeCell ref="C180:C182"/>
    <mergeCell ref="C183:C185"/>
    <mergeCell ref="C186:C188"/>
    <mergeCell ref="C190:C192"/>
    <mergeCell ref="C193:C195"/>
    <mergeCell ref="C164:C166"/>
    <mergeCell ref="C167:C169"/>
    <mergeCell ref="C171:C173"/>
    <mergeCell ref="C174:C176"/>
    <mergeCell ref="C177:C179"/>
    <mergeCell ref="C149:C151"/>
    <mergeCell ref="C152:C154"/>
    <mergeCell ref="C155:C157"/>
    <mergeCell ref="C158:C160"/>
    <mergeCell ref="C161:C163"/>
    <mergeCell ref="C133:C135"/>
    <mergeCell ref="C136:C138"/>
    <mergeCell ref="C140:C142"/>
    <mergeCell ref="C143:C145"/>
    <mergeCell ref="C146:C148"/>
    <mergeCell ref="C117:C119"/>
    <mergeCell ref="C121:C123"/>
    <mergeCell ref="C124:C126"/>
    <mergeCell ref="C127:C129"/>
    <mergeCell ref="C130:C132"/>
    <mergeCell ref="C102:C104"/>
    <mergeCell ref="C105:C107"/>
    <mergeCell ref="C108:C110"/>
    <mergeCell ref="C111:C113"/>
    <mergeCell ref="C114:C116"/>
    <mergeCell ref="C82:C84"/>
    <mergeCell ref="C85:C87"/>
    <mergeCell ref="C88:C90"/>
    <mergeCell ref="C91:C93"/>
    <mergeCell ref="C99:C101"/>
    <mergeCell ref="C67:C69"/>
    <mergeCell ref="C70:C72"/>
    <mergeCell ref="C73:C75"/>
    <mergeCell ref="C76:C78"/>
    <mergeCell ref="C79:C81"/>
    <mergeCell ref="C49:C51"/>
    <mergeCell ref="C52:C54"/>
    <mergeCell ref="C55:C57"/>
    <mergeCell ref="C61:C63"/>
    <mergeCell ref="C64:C66"/>
    <mergeCell ref="C33:C35"/>
    <mergeCell ref="C36:C38"/>
    <mergeCell ref="C40:C42"/>
    <mergeCell ref="C43:C45"/>
    <mergeCell ref="C46:C48"/>
    <mergeCell ref="C18:C20"/>
    <mergeCell ref="C21:C23"/>
    <mergeCell ref="C24:C26"/>
    <mergeCell ref="C27:C29"/>
    <mergeCell ref="C30:C32"/>
    <mergeCell ref="D1:S1"/>
    <mergeCell ref="A2:C2"/>
    <mergeCell ref="A3:A95"/>
    <mergeCell ref="A96:A139"/>
    <mergeCell ref="A140:A214"/>
    <mergeCell ref="B6:B39"/>
    <mergeCell ref="B40:B95"/>
    <mergeCell ref="B99:B120"/>
    <mergeCell ref="B121:B139"/>
    <mergeCell ref="B140:B170"/>
    <mergeCell ref="B171:B189"/>
    <mergeCell ref="B190:B214"/>
    <mergeCell ref="C6:C8"/>
    <mergeCell ref="C9:C11"/>
    <mergeCell ref="C12:C14"/>
    <mergeCell ref="C15:C17"/>
  </mergeCells>
  <ignoredErrors>
    <ignoredError numberStoredAsText="1" sqref="A1:AL225"/>
  </ignoredErrors>
</worksheet>
</file>

<file path=xl/worksheets/sheet4.xml><?xml version="1.0" encoding="utf-8"?>
<worksheet xmlns="http://schemas.openxmlformats.org/spreadsheetml/2006/main" xmlns:r="http://schemas.openxmlformats.org/officeDocument/2006/relationships">
  <dimension ref="A1:XEO225"/>
  <sheetViews>
    <sheetView workbookViewId="0" rightToLeft="0"/>
  </sheetViews>
  <sheetData>
    <row r="1">
      <c r="A1" t="str">
        <v>ICT项目收入支出（含税）</v>
      </c>
    </row>
    <row r="2">
      <c r="A2" t="str">
        <v>分类</v>
      </c>
      <c r="E2" t="str">
        <v>收入/支出具体内容</v>
      </c>
      <c r="F2" t="str">
        <v>增值税率</v>
      </c>
      <c r="G2" t="str">
        <v>金额（含税）</v>
      </c>
      <c r="H2" t="str">
        <v>期初</v>
      </c>
      <c r="I2" t="str">
        <v>第1年</v>
      </c>
      <c r="J2" t="str">
        <v>第2年</v>
      </c>
      <c r="K2" t="str">
        <v>第3年</v>
      </c>
      <c r="L2" t="str">
        <v>第4年</v>
      </c>
      <c r="M2" t="str">
        <v>第5年</v>
      </c>
      <c r="N2" t="str">
        <v>第6年</v>
      </c>
      <c r="O2" t="str">
        <v>第7年</v>
      </c>
      <c r="P2" t="str">
        <v>第8年</v>
      </c>
      <c r="Q2" t="str">
        <v>第9年</v>
      </c>
      <c r="R2" t="str">
        <v>第10年</v>
      </c>
      <c r="S2" t="str">
        <v>...</v>
      </c>
    </row>
    <row r="3">
      <c r="A3" t="str">
        <v>收入</v>
      </c>
      <c r="B3" t="str">
        <v>项目收入合计</v>
      </c>
      <c r="D3" t="str">
        <v>收入</v>
      </c>
      <c r="E3">
        <f>'收入支出明细表（基础数据表）'!E3</f>
        <v>0</v>
      </c>
      <c r="F3">
        <f>'收入支出明细表（基础数据表）'!F3</f>
        <v>0</v>
      </c>
      <c r="G3">
        <f>'收入支出明细表（基础数据表）'!G3</f>
        <v>0</v>
      </c>
      <c r="H3">
        <f>'收入支出明细表（基础数据表）'!H3</f>
        <v>0</v>
      </c>
      <c r="I3">
        <f>'收入支出明细表（基础数据表）'!I3</f>
        <v>0</v>
      </c>
      <c r="J3">
        <f>'收入支出明细表（基础数据表）'!J3</f>
        <v>0</v>
      </c>
      <c r="K3">
        <f>'收入支出明细表（基础数据表）'!K3</f>
        <v>0</v>
      </c>
      <c r="L3">
        <f>'收入支出明细表（基础数据表）'!L3</f>
        <v>0</v>
      </c>
      <c r="M3">
        <f>'收入支出明细表（基础数据表）'!M3</f>
        <v>0</v>
      </c>
      <c r="N3">
        <f>'收入支出明细表（基础数据表）'!N3</f>
        <v>0</v>
      </c>
      <c r="O3">
        <f>'收入支出明细表（基础数据表）'!O3</f>
        <v>0</v>
      </c>
      <c r="P3">
        <f>'收入支出明细表（基础数据表）'!P3</f>
        <v>0</v>
      </c>
      <c r="Q3">
        <f>'收入支出明细表（基础数据表）'!Q3</f>
        <v>0</v>
      </c>
      <c r="R3">
        <f>'收入支出明细表（基础数据表）'!R3</f>
        <v>0</v>
      </c>
      <c r="S3">
        <f>'收入支出明细表（基础数据表）'!S3</f>
        <v>0</v>
      </c>
    </row>
    <row r="4">
      <c r="D4" t="str">
        <v>收款进度-金额</v>
      </c>
      <c r="E4">
        <f>'收入支出明细表（基础数据表）'!E4</f>
        <v>0</v>
      </c>
      <c r="F4">
        <f>'收入支出明细表（基础数据表）'!F4</f>
        <v>0</v>
      </c>
      <c r="G4">
        <f>'收入支出明细表（基础数据表）'!G4</f>
        <v>0</v>
      </c>
      <c r="H4">
        <f>'收入支出明细表（基础数据表）'!H4</f>
        <v>0</v>
      </c>
      <c r="I4">
        <f>'收入支出明细表（基础数据表）'!I4</f>
        <v>0</v>
      </c>
      <c r="J4">
        <f>'收入支出明细表（基础数据表）'!J4</f>
        <v>0</v>
      </c>
      <c r="K4">
        <f>'收入支出明细表（基础数据表）'!K4</f>
        <v>0</v>
      </c>
      <c r="L4">
        <f>'收入支出明细表（基础数据表）'!L4</f>
        <v>0</v>
      </c>
      <c r="M4">
        <f>'收入支出明细表（基础数据表）'!M4</f>
        <v>0</v>
      </c>
      <c r="N4">
        <f>'收入支出明细表（基础数据表）'!N4</f>
        <v>0</v>
      </c>
      <c r="O4">
        <f>'收入支出明细表（基础数据表）'!O4</f>
        <v>0</v>
      </c>
      <c r="P4">
        <f>'收入支出明细表（基础数据表）'!P4</f>
        <v>0</v>
      </c>
      <c r="Q4">
        <f>'收入支出明细表（基础数据表）'!Q4</f>
        <v>0</v>
      </c>
      <c r="R4">
        <f>'收入支出明细表（基础数据表）'!R4</f>
        <v>0</v>
      </c>
      <c r="S4">
        <f>'收入支出明细表（基础数据表）'!S4</f>
        <v>0</v>
      </c>
    </row>
    <row r="5">
      <c r="D5" t="str">
        <v>收款进度-比例</v>
      </c>
      <c r="E5">
        <f>'收入支出明细表（基础数据表）'!E5</f>
        <v>0</v>
      </c>
      <c r="F5">
        <f>'收入支出明细表（基础数据表）'!F5</f>
        <v>0</v>
      </c>
      <c r="G5">
        <f>'收入支出明细表（基础数据表）'!G5</f>
        <v>0</v>
      </c>
      <c r="H5" t="e">
        <f>'收入支出明细表（基础数据表）'!H5</f>
        <v>#DIV/0!</v>
      </c>
      <c r="I5" t="e">
        <f>'收入支出明细表（基础数据表）'!I5</f>
        <v>#DIV/0!</v>
      </c>
      <c r="J5" t="e">
        <f>'收入支出明细表（基础数据表）'!J5</f>
        <v>#DIV/0!</v>
      </c>
      <c r="K5" t="e">
        <f>'收入支出明细表（基础数据表）'!K5</f>
        <v>#DIV/0!</v>
      </c>
      <c r="L5" t="e">
        <f>'收入支出明细表（基础数据表）'!L5</f>
        <v>#DIV/0!</v>
      </c>
      <c r="M5" t="e">
        <f>'收入支出明细表（基础数据表）'!M5</f>
        <v>#DIV/0!</v>
      </c>
      <c r="N5" t="e">
        <f>'收入支出明细表（基础数据表）'!N5</f>
        <v>#DIV/0!</v>
      </c>
      <c r="O5" t="e">
        <f>'收入支出明细表（基础数据表）'!O5</f>
        <v>#DIV/0!</v>
      </c>
      <c r="P5" t="e">
        <f>'收入支出明细表（基础数据表）'!P5</f>
        <v>#DIV/0!</v>
      </c>
      <c r="Q5" t="e">
        <f>'收入支出明细表（基础数据表）'!Q5</f>
        <v>#DIV/0!</v>
      </c>
      <c r="R5" t="e">
        <f>'收入支出明细表（基础数据表）'!R5</f>
        <v>#DIV/0!</v>
      </c>
      <c r="S5" t="e">
        <f>'收入支出明细表（基础数据表）'!S5</f>
        <v>#DIV/0!</v>
      </c>
    </row>
    <row r="6">
      <c r="B6" t="str">
        <v>IT类收入</v>
      </c>
      <c r="C6" t="str">
        <v>IT类收入合计</v>
      </c>
      <c r="D6" t="str">
        <v>收入</v>
      </c>
      <c r="E6">
        <f>'收入支出明细表（基础数据表）'!E6</f>
        <v>0</v>
      </c>
      <c r="F6">
        <f>'收入支出明细表（基础数据表）'!F6</f>
        <v>0</v>
      </c>
      <c r="G6">
        <f>'收入支出明细表（基础数据表）'!G6</f>
        <v>0</v>
      </c>
      <c r="H6">
        <f>'收入支出明细表（基础数据表）'!H6</f>
        <v>0</v>
      </c>
      <c r="I6">
        <f>'收入支出明细表（基础数据表）'!I6</f>
        <v>0</v>
      </c>
      <c r="J6">
        <f>'收入支出明细表（基础数据表）'!J6</f>
        <v>0</v>
      </c>
      <c r="K6">
        <f>'收入支出明细表（基础数据表）'!K6</f>
        <v>0</v>
      </c>
      <c r="L6">
        <f>'收入支出明细表（基础数据表）'!L6</f>
        <v>0</v>
      </c>
      <c r="M6">
        <f>'收入支出明细表（基础数据表）'!M6</f>
        <v>0</v>
      </c>
      <c r="N6">
        <f>'收入支出明细表（基础数据表）'!N6</f>
        <v>0</v>
      </c>
      <c r="O6">
        <f>'收入支出明细表（基础数据表）'!O6</f>
        <v>0</v>
      </c>
      <c r="P6">
        <f>'收入支出明细表（基础数据表）'!P6</f>
        <v>0</v>
      </c>
      <c r="Q6">
        <f>'收入支出明细表（基础数据表）'!Q6</f>
        <v>0</v>
      </c>
      <c r="R6">
        <f>'收入支出明细表（基础数据表）'!R6</f>
        <v>0</v>
      </c>
      <c r="S6">
        <f>'收入支出明细表（基础数据表）'!S6</f>
        <v>0</v>
      </c>
    </row>
    <row r="7">
      <c r="D7" t="str">
        <v>收款进度-金额</v>
      </c>
      <c r="E7">
        <f>'收入支出明细表（基础数据表）'!E7</f>
        <v>0</v>
      </c>
      <c r="F7">
        <f>'收入支出明细表（基础数据表）'!F7</f>
        <v>0</v>
      </c>
      <c r="G7">
        <f>'收入支出明细表（基础数据表）'!G7</f>
        <v>0</v>
      </c>
      <c r="H7">
        <f>'收入支出明细表（基础数据表）'!H7</f>
        <v>0</v>
      </c>
      <c r="I7">
        <f>'收入支出明细表（基础数据表）'!I7</f>
        <v>0</v>
      </c>
      <c r="J7">
        <f>'收入支出明细表（基础数据表）'!J7</f>
        <v>0</v>
      </c>
      <c r="K7">
        <f>'收入支出明细表（基础数据表）'!K7</f>
        <v>0</v>
      </c>
      <c r="L7">
        <f>'收入支出明细表（基础数据表）'!L7</f>
        <v>0</v>
      </c>
      <c r="M7">
        <f>'收入支出明细表（基础数据表）'!M7</f>
        <v>0</v>
      </c>
      <c r="N7">
        <f>'收入支出明细表（基础数据表）'!N7</f>
        <v>0</v>
      </c>
      <c r="O7">
        <f>'收入支出明细表（基础数据表）'!O7</f>
        <v>0</v>
      </c>
      <c r="P7">
        <f>'收入支出明细表（基础数据表）'!P7</f>
        <v>0</v>
      </c>
      <c r="Q7">
        <f>'收入支出明细表（基础数据表）'!Q7</f>
        <v>0</v>
      </c>
      <c r="R7">
        <f>'收入支出明细表（基础数据表）'!R7</f>
        <v>0</v>
      </c>
      <c r="S7">
        <f>'收入支出明细表（基础数据表）'!S7</f>
        <v>0</v>
      </c>
    </row>
    <row r="8">
      <c r="D8" t="str">
        <v>收款进度-比例</v>
      </c>
      <c r="E8">
        <f>'收入支出明细表（基础数据表）'!E8</f>
        <v>0</v>
      </c>
      <c r="F8">
        <f>'收入支出明细表（基础数据表）'!F8</f>
        <v>0</v>
      </c>
      <c r="G8">
        <f>'收入支出明细表（基础数据表）'!G8</f>
        <v>0</v>
      </c>
      <c r="H8" t="e">
        <f>'收入支出明细表（基础数据表）'!H8</f>
        <v>#DIV/0!</v>
      </c>
      <c r="I8" t="e">
        <f>'收入支出明细表（基础数据表）'!I8</f>
        <v>#DIV/0!</v>
      </c>
      <c r="J8" t="e">
        <f>'收入支出明细表（基础数据表）'!J8</f>
        <v>#DIV/0!</v>
      </c>
      <c r="K8" t="e">
        <f>'收入支出明细表（基础数据表）'!K8</f>
        <v>#DIV/0!</v>
      </c>
      <c r="L8" t="e">
        <f>'收入支出明细表（基础数据表）'!L8</f>
        <v>#DIV/0!</v>
      </c>
      <c r="M8" t="e">
        <f>'收入支出明细表（基础数据表）'!M8</f>
        <v>#DIV/0!</v>
      </c>
      <c r="N8" t="e">
        <f>'收入支出明细表（基础数据表）'!N8</f>
        <v>#DIV/0!</v>
      </c>
      <c r="O8" t="e">
        <f>'收入支出明细表（基础数据表）'!O8</f>
        <v>#DIV/0!</v>
      </c>
      <c r="P8" t="e">
        <f>'收入支出明细表（基础数据表）'!P8</f>
        <v>#DIV/0!</v>
      </c>
      <c r="Q8" t="e">
        <f>'收入支出明细表（基础数据表）'!Q8</f>
        <v>#DIV/0!</v>
      </c>
      <c r="R8" t="e">
        <f>'收入支出明细表（基础数据表）'!R8</f>
        <v>#DIV/0!</v>
      </c>
      <c r="S8" t="e">
        <f>'收入支出明细表（基础数据表）'!S8</f>
        <v>#DIV/0!</v>
      </c>
    </row>
    <row r="9">
      <c r="C9" t="str">
        <v>1、通信及信息服务收入合计</v>
      </c>
      <c r="D9" t="str">
        <v>收入</v>
      </c>
      <c r="E9">
        <f>'收入支出明细表（基础数据表）'!E9</f>
        <v>0</v>
      </c>
      <c r="F9">
        <f>'收入支出明细表（基础数据表）'!F9</f>
        <v>0.06</v>
      </c>
      <c r="G9">
        <f>'收入支出明细表（基础数据表）'!G9</f>
        <v>0</v>
      </c>
      <c r="H9">
        <f>'收入支出明细表（基础数据表）'!H9</f>
        <v>0</v>
      </c>
      <c r="I9">
        <f>'收入支出明细表（基础数据表）'!I9</f>
        <v>0</v>
      </c>
      <c r="J9">
        <f>'收入支出明细表（基础数据表）'!J9</f>
        <v>0</v>
      </c>
      <c r="K9">
        <f>'收入支出明细表（基础数据表）'!K9</f>
        <v>0</v>
      </c>
      <c r="L9">
        <f>'收入支出明细表（基础数据表）'!L9</f>
        <v>0</v>
      </c>
      <c r="M9">
        <f>'收入支出明细表（基础数据表）'!M9</f>
        <v>0</v>
      </c>
      <c r="N9">
        <f>'收入支出明细表（基础数据表）'!N9</f>
        <v>0</v>
      </c>
      <c r="O9">
        <f>'收入支出明细表（基础数据表）'!O9</f>
        <v>0</v>
      </c>
      <c r="P9">
        <f>'收入支出明细表（基础数据表）'!P9</f>
        <v>0</v>
      </c>
      <c r="Q9">
        <f>'收入支出明细表（基础数据表）'!Q9</f>
        <v>0</v>
      </c>
      <c r="R9">
        <f>'收入支出明细表（基础数据表）'!R9</f>
        <v>0</v>
      </c>
      <c r="S9">
        <f>'收入支出明细表（基础数据表）'!S9</f>
        <v>0</v>
      </c>
    </row>
    <row r="10">
      <c r="D10" t="str">
        <v>收款进度-金额</v>
      </c>
      <c r="E10">
        <f>'收入支出明细表（基础数据表）'!E10</f>
        <v>0</v>
      </c>
      <c r="F10">
        <f>'收入支出明细表（基础数据表）'!F10</f>
        <v>0</v>
      </c>
      <c r="G10">
        <f>'收入支出明细表（基础数据表）'!G10</f>
        <v>0</v>
      </c>
      <c r="H10">
        <f>'收入支出明细表（基础数据表）'!H10</f>
        <v>0</v>
      </c>
      <c r="I10">
        <f>'收入支出明细表（基础数据表）'!I10</f>
        <v>0</v>
      </c>
      <c r="J10">
        <f>'收入支出明细表（基础数据表）'!J10</f>
        <v>0</v>
      </c>
      <c r="K10">
        <f>'收入支出明细表（基础数据表）'!K10</f>
        <v>0</v>
      </c>
      <c r="L10">
        <f>'收入支出明细表（基础数据表）'!L10</f>
        <v>0</v>
      </c>
      <c r="M10">
        <f>'收入支出明细表（基础数据表）'!M10</f>
        <v>0</v>
      </c>
      <c r="N10">
        <f>'收入支出明细表（基础数据表）'!N10</f>
        <v>0</v>
      </c>
      <c r="O10">
        <f>'收入支出明细表（基础数据表）'!O10</f>
        <v>0</v>
      </c>
      <c r="P10">
        <f>'收入支出明细表（基础数据表）'!P10</f>
        <v>0</v>
      </c>
      <c r="Q10">
        <f>'收入支出明细表（基础数据表）'!Q10</f>
        <v>0</v>
      </c>
      <c r="R10">
        <f>'收入支出明细表（基础数据表）'!R10</f>
        <v>0</v>
      </c>
      <c r="S10">
        <f>'收入支出明细表（基础数据表）'!S10</f>
        <v>0</v>
      </c>
    </row>
    <row r="11">
      <c r="D11" t="str">
        <v>收款进度-比例</v>
      </c>
      <c r="E11">
        <f>'收入支出明细表（基础数据表）'!E11</f>
        <v>0</v>
      </c>
      <c r="F11">
        <f>'收入支出明细表（基础数据表）'!F11</f>
        <v>0</v>
      </c>
      <c r="G11">
        <f>'收入支出明细表（基础数据表）'!G11</f>
        <v>0</v>
      </c>
      <c r="H11" t="e">
        <f>'收入支出明细表（基础数据表）'!H11</f>
        <v>#DIV/0!</v>
      </c>
      <c r="I11" t="e">
        <f>'收入支出明细表（基础数据表）'!I11</f>
        <v>#DIV/0!</v>
      </c>
      <c r="J11" t="e">
        <f>'收入支出明细表（基础数据表）'!J11</f>
        <v>#DIV/0!</v>
      </c>
      <c r="K11" t="e">
        <f>'收入支出明细表（基础数据表）'!K11</f>
        <v>#DIV/0!</v>
      </c>
      <c r="L11" t="e">
        <f>'收入支出明细表（基础数据表）'!L11</f>
        <v>#DIV/0!</v>
      </c>
      <c r="M11" t="e">
        <f>'收入支出明细表（基础数据表）'!M11</f>
        <v>#DIV/0!</v>
      </c>
      <c r="N11" t="e">
        <f>'收入支出明细表（基础数据表）'!N11</f>
        <v>#DIV/0!</v>
      </c>
      <c r="O11" t="e">
        <f>'收入支出明细表（基础数据表）'!O11</f>
        <v>#DIV/0!</v>
      </c>
      <c r="P11" t="e">
        <f>'收入支出明细表（基础数据表）'!P11</f>
        <v>#DIV/0!</v>
      </c>
      <c r="Q11" t="e">
        <f>'收入支出明细表（基础数据表）'!Q11</f>
        <v>#DIV/0!</v>
      </c>
      <c r="R11" t="e">
        <f>'收入支出明细表（基础数据表）'!R11</f>
        <v>#DIV/0!</v>
      </c>
      <c r="S11" t="e">
        <f>'收入支出明细表（基础数据表）'!S11</f>
        <v>#DIV/0!</v>
      </c>
    </row>
    <row r="12">
      <c r="C12" t="str">
        <v>1-1 集成收入-信息服务</v>
      </c>
      <c r="D12" t="str">
        <v>收入</v>
      </c>
      <c r="E12">
        <f>'收入支出明细表（基础数据表）'!E12</f>
        <v>0</v>
      </c>
      <c r="F12">
        <f>'收入支出明细表（基础数据表）'!F12</f>
        <v>0.06</v>
      </c>
      <c r="G12">
        <f>'收入支出明细表（基础数据表）'!G12</f>
        <v>0</v>
      </c>
      <c r="H12">
        <f>'收入支出明细表（基础数据表）'!H12</f>
        <v>0</v>
      </c>
      <c r="I12">
        <f>'收入支出明细表（基础数据表）'!I12</f>
        <v>0</v>
      </c>
      <c r="J12">
        <f>'收入支出明细表（基础数据表）'!J12</f>
        <v>0</v>
      </c>
      <c r="K12">
        <f>'收入支出明细表（基础数据表）'!K12</f>
        <v>0</v>
      </c>
      <c r="L12">
        <f>'收入支出明细表（基础数据表）'!L12</f>
        <v>0</v>
      </c>
      <c r="M12">
        <f>'收入支出明细表（基础数据表）'!M12</f>
        <v>0</v>
      </c>
      <c r="N12">
        <f>'收入支出明细表（基础数据表）'!N12</f>
        <v>0</v>
      </c>
      <c r="O12">
        <f>'收入支出明细表（基础数据表）'!O12</f>
        <v>0</v>
      </c>
      <c r="P12">
        <f>'收入支出明细表（基础数据表）'!P12</f>
        <v>0</v>
      </c>
      <c r="Q12">
        <f>'收入支出明细表（基础数据表）'!Q12</f>
        <v>0</v>
      </c>
      <c r="R12">
        <f>'收入支出明细表（基础数据表）'!R12</f>
        <v>0</v>
      </c>
      <c r="S12">
        <f>'收入支出明细表（基础数据表）'!S12</f>
        <v>0</v>
      </c>
    </row>
    <row r="13">
      <c r="D13" t="str">
        <v>收款进度-金额</v>
      </c>
      <c r="E13">
        <f>'收入支出明细表（基础数据表）'!E13</f>
        <v>0</v>
      </c>
      <c r="F13">
        <f>'收入支出明细表（基础数据表）'!F13</f>
        <v>0</v>
      </c>
      <c r="G13">
        <f>'收入支出明细表（基础数据表）'!G13</f>
        <v>0</v>
      </c>
      <c r="H13">
        <f>'收入支出明细表（基础数据表）'!H13</f>
        <v>0</v>
      </c>
      <c r="I13">
        <f>'收入支出明细表（基础数据表）'!I13</f>
        <v>0</v>
      </c>
      <c r="J13">
        <f>'收入支出明细表（基础数据表）'!J13</f>
        <v>0</v>
      </c>
      <c r="K13">
        <f>'收入支出明细表（基础数据表）'!K13</f>
        <v>0</v>
      </c>
      <c r="L13">
        <f>'收入支出明细表（基础数据表）'!L13</f>
        <v>0</v>
      </c>
      <c r="M13">
        <f>'收入支出明细表（基础数据表）'!M13</f>
        <v>0</v>
      </c>
      <c r="N13">
        <f>'收入支出明细表（基础数据表）'!N13</f>
        <v>0</v>
      </c>
      <c r="O13">
        <f>'收入支出明细表（基础数据表）'!O13</f>
        <v>0</v>
      </c>
      <c r="P13">
        <f>'收入支出明细表（基础数据表）'!P13</f>
        <v>0</v>
      </c>
      <c r="Q13">
        <f>'收入支出明细表（基础数据表）'!Q13</f>
        <v>0</v>
      </c>
      <c r="R13">
        <f>'收入支出明细表（基础数据表）'!R13</f>
        <v>0</v>
      </c>
      <c r="S13">
        <f>'收入支出明细表（基础数据表）'!S13</f>
        <v>0</v>
      </c>
    </row>
    <row r="14">
      <c r="D14" t="str">
        <v>收款进度-比例</v>
      </c>
      <c r="E14">
        <f>'收入支出明细表（基础数据表）'!E14</f>
        <v>0</v>
      </c>
      <c r="F14">
        <f>'收入支出明细表（基础数据表）'!F14</f>
        <v>0</v>
      </c>
      <c r="G14">
        <f>'收入支出明细表（基础数据表）'!G14</f>
        <v>0</v>
      </c>
      <c r="H14" t="e">
        <f>'收入支出明细表（基础数据表）'!H14</f>
        <v>#DIV/0!</v>
      </c>
      <c r="I14" t="e">
        <f>'收入支出明细表（基础数据表）'!I14</f>
        <v>#DIV/0!</v>
      </c>
      <c r="J14" t="e">
        <f>'收入支出明细表（基础数据表）'!J14</f>
        <v>#DIV/0!</v>
      </c>
      <c r="K14" t="e">
        <f>'收入支出明细表（基础数据表）'!K14</f>
        <v>#DIV/0!</v>
      </c>
      <c r="L14" t="e">
        <f>'收入支出明细表（基础数据表）'!L14</f>
        <v>#DIV/0!</v>
      </c>
      <c r="M14" t="e">
        <f>'收入支出明细表（基础数据表）'!M14</f>
        <v>#DIV/0!</v>
      </c>
      <c r="N14" t="e">
        <f>'收入支出明细表（基础数据表）'!N14</f>
        <v>#DIV/0!</v>
      </c>
      <c r="O14" t="e">
        <f>'收入支出明细表（基础数据表）'!O14</f>
        <v>#DIV/0!</v>
      </c>
      <c r="P14" t="e">
        <f>'收入支出明细表（基础数据表）'!P14</f>
        <v>#DIV/0!</v>
      </c>
      <c r="Q14" t="e">
        <f>'收入支出明细表（基础数据表）'!Q14</f>
        <v>#DIV/0!</v>
      </c>
      <c r="R14" t="e">
        <f>'收入支出明细表（基础数据表）'!R14</f>
        <v>#DIV/0!</v>
      </c>
      <c r="S14" t="e">
        <f>'收入支出明细表（基础数据表）'!S14</f>
        <v>#DIV/0!</v>
      </c>
    </row>
    <row r="15">
      <c r="C15" t="str">
        <v>1-2 集成收入-安装服务</v>
      </c>
      <c r="D15" t="str">
        <v>收入</v>
      </c>
      <c r="E15">
        <f>'收入支出明细表（基础数据表）'!E15</f>
        <v>0</v>
      </c>
      <c r="F15">
        <f>'收入支出明细表（基础数据表）'!F15</f>
        <v>0.09</v>
      </c>
      <c r="G15">
        <f>'收入支出明细表（基础数据表）'!G15</f>
        <v>0</v>
      </c>
      <c r="H15">
        <f>'收入支出明细表（基础数据表）'!H15</f>
        <v>0</v>
      </c>
      <c r="I15">
        <f>'收入支出明细表（基础数据表）'!I15</f>
        <v>0</v>
      </c>
      <c r="J15">
        <f>'收入支出明细表（基础数据表）'!J15</f>
        <v>0</v>
      </c>
      <c r="K15">
        <f>'收入支出明细表（基础数据表）'!K15</f>
        <v>0</v>
      </c>
      <c r="L15">
        <f>'收入支出明细表（基础数据表）'!L15</f>
        <v>0</v>
      </c>
      <c r="M15">
        <f>'收入支出明细表（基础数据表）'!M15</f>
        <v>0</v>
      </c>
      <c r="N15">
        <f>'收入支出明细表（基础数据表）'!N15</f>
        <v>0</v>
      </c>
      <c r="O15">
        <f>'收入支出明细表（基础数据表）'!O15</f>
        <v>0</v>
      </c>
      <c r="P15">
        <f>'收入支出明细表（基础数据表）'!P15</f>
        <v>0</v>
      </c>
      <c r="Q15">
        <f>'收入支出明细表（基础数据表）'!Q15</f>
        <v>0</v>
      </c>
      <c r="R15">
        <f>'收入支出明细表（基础数据表）'!R15</f>
        <v>0</v>
      </c>
      <c r="S15">
        <f>'收入支出明细表（基础数据表）'!S15</f>
        <v>0</v>
      </c>
    </row>
    <row r="16">
      <c r="D16" t="str">
        <v>收款进度-金额</v>
      </c>
      <c r="E16">
        <f>'收入支出明细表（基础数据表）'!E16</f>
        <v>0</v>
      </c>
      <c r="F16">
        <f>'收入支出明细表（基础数据表）'!F16</f>
        <v>0</v>
      </c>
      <c r="G16">
        <f>'收入支出明细表（基础数据表）'!G16</f>
        <v>0</v>
      </c>
      <c r="H16">
        <f>'收入支出明细表（基础数据表）'!H16</f>
        <v>0</v>
      </c>
      <c r="I16">
        <f>'收入支出明细表（基础数据表）'!I16</f>
        <v>0</v>
      </c>
      <c r="J16">
        <f>'收入支出明细表（基础数据表）'!J16</f>
        <v>0</v>
      </c>
      <c r="K16">
        <f>'收入支出明细表（基础数据表）'!K16</f>
        <v>0</v>
      </c>
      <c r="L16">
        <f>'收入支出明细表（基础数据表）'!L16</f>
        <v>0</v>
      </c>
      <c r="M16">
        <f>'收入支出明细表（基础数据表）'!M16</f>
        <v>0</v>
      </c>
      <c r="N16">
        <f>'收入支出明细表（基础数据表）'!N16</f>
        <v>0</v>
      </c>
      <c r="O16">
        <f>'收入支出明细表（基础数据表）'!O16</f>
        <v>0</v>
      </c>
      <c r="P16">
        <f>'收入支出明细表（基础数据表）'!P16</f>
        <v>0</v>
      </c>
      <c r="Q16">
        <f>'收入支出明细表（基础数据表）'!Q16</f>
        <v>0</v>
      </c>
      <c r="R16">
        <f>'收入支出明细表（基础数据表）'!R16</f>
        <v>0</v>
      </c>
      <c r="S16">
        <f>'收入支出明细表（基础数据表）'!S16</f>
        <v>0</v>
      </c>
    </row>
    <row r="17">
      <c r="D17" t="str">
        <v>收款进度-比例</v>
      </c>
      <c r="E17">
        <f>'收入支出明细表（基础数据表）'!E17</f>
        <v>0</v>
      </c>
      <c r="F17">
        <f>'收入支出明细表（基础数据表）'!F17</f>
        <v>0</v>
      </c>
      <c r="G17">
        <f>'收入支出明细表（基础数据表）'!G17</f>
        <v>0</v>
      </c>
      <c r="H17" t="e">
        <f>'收入支出明细表（基础数据表）'!H17</f>
        <v>#DIV/0!</v>
      </c>
      <c r="I17" t="e">
        <f>'收入支出明细表（基础数据表）'!I17</f>
        <v>#DIV/0!</v>
      </c>
      <c r="J17" t="e">
        <f>'收入支出明细表（基础数据表）'!J17</f>
        <v>#DIV/0!</v>
      </c>
      <c r="K17" t="e">
        <f>'收入支出明细表（基础数据表）'!K17</f>
        <v>#DIV/0!</v>
      </c>
      <c r="L17" t="e">
        <f>'收入支出明细表（基础数据表）'!L17</f>
        <v>#DIV/0!</v>
      </c>
      <c r="M17" t="e">
        <f>'收入支出明细表（基础数据表）'!M17</f>
        <v>#DIV/0!</v>
      </c>
      <c r="N17" t="e">
        <f>'收入支出明细表（基础数据表）'!N17</f>
        <v>#DIV/0!</v>
      </c>
      <c r="O17" t="e">
        <f>'收入支出明细表（基础数据表）'!O17</f>
        <v>#DIV/0!</v>
      </c>
      <c r="P17" t="e">
        <f>'收入支出明细表（基础数据表）'!P17</f>
        <v>#DIV/0!</v>
      </c>
      <c r="Q17" t="e">
        <f>'收入支出明细表（基础数据表）'!Q17</f>
        <v>#DIV/0!</v>
      </c>
      <c r="R17" t="e">
        <f>'收入支出明细表（基础数据表）'!R17</f>
        <v>#DIV/0!</v>
      </c>
      <c r="S17" t="e">
        <f>'收入支出明细表（基础数据表）'!S17</f>
        <v>#DIV/0!</v>
      </c>
    </row>
    <row r="18">
      <c r="C18" t="str">
        <v>1-3 维保收入-信息服务</v>
      </c>
      <c r="D18" t="str">
        <v>收入</v>
      </c>
      <c r="E18">
        <f>'收入支出明细表（基础数据表）'!E18</f>
        <v>0</v>
      </c>
      <c r="F18">
        <f>'收入支出明细表（基础数据表）'!F18</f>
        <v>0.06</v>
      </c>
      <c r="G18">
        <f>'收入支出明细表（基础数据表）'!G18</f>
        <v>0</v>
      </c>
      <c r="H18">
        <f>'收入支出明细表（基础数据表）'!H18</f>
        <v>0</v>
      </c>
      <c r="I18">
        <f>'收入支出明细表（基础数据表）'!I18</f>
        <v>0</v>
      </c>
      <c r="J18">
        <f>'收入支出明细表（基础数据表）'!J18</f>
        <v>0</v>
      </c>
      <c r="K18">
        <f>'收入支出明细表（基础数据表）'!K18</f>
        <v>0</v>
      </c>
      <c r="L18">
        <f>'收入支出明细表（基础数据表）'!L18</f>
        <v>0</v>
      </c>
      <c r="M18">
        <f>'收入支出明细表（基础数据表）'!M18</f>
        <v>0</v>
      </c>
      <c r="N18">
        <f>'收入支出明细表（基础数据表）'!N18</f>
        <v>0</v>
      </c>
      <c r="O18">
        <f>'收入支出明细表（基础数据表）'!O18</f>
        <v>0</v>
      </c>
      <c r="P18">
        <f>'收入支出明细表（基础数据表）'!P18</f>
        <v>0</v>
      </c>
      <c r="Q18">
        <f>'收入支出明细表（基础数据表）'!Q18</f>
        <v>0</v>
      </c>
      <c r="R18">
        <f>'收入支出明细表（基础数据表）'!R18</f>
        <v>0</v>
      </c>
      <c r="S18">
        <f>'收入支出明细表（基础数据表）'!S18</f>
        <v>0</v>
      </c>
    </row>
    <row r="19">
      <c r="D19" t="str">
        <v>收款进度-金额</v>
      </c>
      <c r="E19">
        <f>'收入支出明细表（基础数据表）'!E19</f>
        <v>0</v>
      </c>
      <c r="F19">
        <f>'收入支出明细表（基础数据表）'!F19</f>
        <v>0</v>
      </c>
      <c r="G19">
        <f>'收入支出明细表（基础数据表）'!G19</f>
        <v>0</v>
      </c>
      <c r="H19">
        <f>'收入支出明细表（基础数据表）'!H19</f>
        <v>0</v>
      </c>
      <c r="I19">
        <f>'收入支出明细表（基础数据表）'!I19</f>
        <v>0</v>
      </c>
      <c r="J19">
        <f>'收入支出明细表（基础数据表）'!J19</f>
        <v>0</v>
      </c>
      <c r="K19">
        <f>'收入支出明细表（基础数据表）'!K19</f>
        <v>0</v>
      </c>
      <c r="L19">
        <f>'收入支出明细表（基础数据表）'!L19</f>
        <v>0</v>
      </c>
      <c r="M19">
        <f>'收入支出明细表（基础数据表）'!M19</f>
        <v>0</v>
      </c>
      <c r="N19">
        <f>'收入支出明细表（基础数据表）'!N19</f>
        <v>0</v>
      </c>
      <c r="O19">
        <f>'收入支出明细表（基础数据表）'!O19</f>
        <v>0</v>
      </c>
      <c r="P19">
        <f>'收入支出明细表（基础数据表）'!P19</f>
        <v>0</v>
      </c>
      <c r="Q19">
        <f>'收入支出明细表（基础数据表）'!Q19</f>
        <v>0</v>
      </c>
      <c r="R19">
        <f>'收入支出明细表（基础数据表）'!R19</f>
        <v>0</v>
      </c>
      <c r="S19">
        <f>'收入支出明细表（基础数据表）'!S19</f>
        <v>0</v>
      </c>
    </row>
    <row r="20">
      <c r="D20" t="str">
        <v>收款进度-比例</v>
      </c>
      <c r="E20">
        <f>'收入支出明细表（基础数据表）'!E20</f>
        <v>0</v>
      </c>
      <c r="F20">
        <f>'收入支出明细表（基础数据表）'!F20</f>
        <v>0</v>
      </c>
      <c r="G20">
        <f>'收入支出明细表（基础数据表）'!G20</f>
        <v>0</v>
      </c>
      <c r="H20" t="e">
        <f>'收入支出明细表（基础数据表）'!H20</f>
        <v>#DIV/0!</v>
      </c>
      <c r="I20" t="e">
        <f>'收入支出明细表（基础数据表）'!I20</f>
        <v>#DIV/0!</v>
      </c>
      <c r="J20" t="e">
        <f>'收入支出明细表（基础数据表）'!J20</f>
        <v>#DIV/0!</v>
      </c>
      <c r="K20" t="e">
        <f>'收入支出明细表（基础数据表）'!K20</f>
        <v>#DIV/0!</v>
      </c>
      <c r="L20" t="e">
        <f>'收入支出明细表（基础数据表）'!L20</f>
        <v>#DIV/0!</v>
      </c>
      <c r="M20" t="e">
        <f>'收入支出明细表（基础数据表）'!M20</f>
        <v>#DIV/0!</v>
      </c>
      <c r="N20" t="e">
        <f>'收入支出明细表（基础数据表）'!N20</f>
        <v>#DIV/0!</v>
      </c>
      <c r="O20" t="e">
        <f>'收入支出明细表（基础数据表）'!O20</f>
        <v>#DIV/0!</v>
      </c>
      <c r="P20" t="e">
        <f>'收入支出明细表（基础数据表）'!P20</f>
        <v>#DIV/0!</v>
      </c>
      <c r="Q20" t="e">
        <f>'收入支出明细表（基础数据表）'!Q20</f>
        <v>#DIV/0!</v>
      </c>
      <c r="R20" t="e">
        <f>'收入支出明细表（基础数据表）'!R20</f>
        <v>#DIV/0!</v>
      </c>
      <c r="S20" t="e">
        <f>'收入支出明细表（基础数据表）'!S20</f>
        <v>#DIV/0!</v>
      </c>
    </row>
    <row r="21">
      <c r="C21" t="str">
        <v>1-4 维保收入-安装服务</v>
      </c>
      <c r="D21" t="str">
        <v>收入</v>
      </c>
      <c r="E21">
        <f>'收入支出明细表（基础数据表）'!E21</f>
        <v>0</v>
      </c>
      <c r="F21">
        <f>'收入支出明细表（基础数据表）'!F21</f>
        <v>0.09</v>
      </c>
      <c r="G21">
        <f>'收入支出明细表（基础数据表）'!G21</f>
        <v>0</v>
      </c>
      <c r="H21">
        <f>'收入支出明细表（基础数据表）'!H21</f>
        <v>0</v>
      </c>
      <c r="I21">
        <f>'收入支出明细表（基础数据表）'!I21</f>
        <v>0</v>
      </c>
      <c r="J21">
        <f>'收入支出明细表（基础数据表）'!J21</f>
        <v>0</v>
      </c>
      <c r="K21">
        <f>'收入支出明细表（基础数据表）'!K21</f>
        <v>0</v>
      </c>
      <c r="L21">
        <f>'收入支出明细表（基础数据表）'!L21</f>
        <v>0</v>
      </c>
      <c r="M21">
        <f>'收入支出明细表（基础数据表）'!M21</f>
        <v>0</v>
      </c>
      <c r="N21">
        <f>'收入支出明细表（基础数据表）'!N21</f>
        <v>0</v>
      </c>
      <c r="O21">
        <f>'收入支出明细表（基础数据表）'!O21</f>
        <v>0</v>
      </c>
      <c r="P21">
        <f>'收入支出明细表（基础数据表）'!P21</f>
        <v>0</v>
      </c>
      <c r="Q21">
        <f>'收入支出明细表（基础数据表）'!Q21</f>
        <v>0</v>
      </c>
      <c r="R21">
        <f>'收入支出明细表（基础数据表）'!R21</f>
        <v>0</v>
      </c>
      <c r="S21">
        <f>'收入支出明细表（基础数据表）'!S21</f>
        <v>0</v>
      </c>
    </row>
    <row r="22">
      <c r="D22" t="str">
        <v>收款进度-金额</v>
      </c>
      <c r="E22">
        <f>'收入支出明细表（基础数据表）'!E22</f>
        <v>0</v>
      </c>
      <c r="F22">
        <f>'收入支出明细表（基础数据表）'!F22</f>
        <v>0</v>
      </c>
      <c r="G22">
        <f>'收入支出明细表（基础数据表）'!G22</f>
        <v>0</v>
      </c>
      <c r="H22">
        <f>'收入支出明细表（基础数据表）'!H22</f>
        <v>0</v>
      </c>
      <c r="I22">
        <f>'收入支出明细表（基础数据表）'!I22</f>
        <v>0</v>
      </c>
      <c r="J22">
        <f>'收入支出明细表（基础数据表）'!J22</f>
        <v>0</v>
      </c>
      <c r="K22">
        <f>'收入支出明细表（基础数据表）'!K22</f>
        <v>0</v>
      </c>
      <c r="L22">
        <f>'收入支出明细表（基础数据表）'!L22</f>
        <v>0</v>
      </c>
      <c r="M22">
        <f>'收入支出明细表（基础数据表）'!M22</f>
        <v>0</v>
      </c>
      <c r="N22">
        <f>'收入支出明细表（基础数据表）'!N22</f>
        <v>0</v>
      </c>
      <c r="O22">
        <f>'收入支出明细表（基础数据表）'!O22</f>
        <v>0</v>
      </c>
      <c r="P22">
        <f>'收入支出明细表（基础数据表）'!P22</f>
        <v>0</v>
      </c>
      <c r="Q22">
        <f>'收入支出明细表（基础数据表）'!Q22</f>
        <v>0</v>
      </c>
      <c r="R22">
        <f>'收入支出明细表（基础数据表）'!R22</f>
        <v>0</v>
      </c>
      <c r="S22">
        <f>'收入支出明细表（基础数据表）'!S22</f>
        <v>0</v>
      </c>
    </row>
    <row r="23">
      <c r="D23" t="str">
        <v>收款进度-比例</v>
      </c>
      <c r="E23">
        <f>'收入支出明细表（基础数据表）'!E23</f>
        <v>0</v>
      </c>
      <c r="F23">
        <f>'收入支出明细表（基础数据表）'!F23</f>
        <v>0</v>
      </c>
      <c r="G23">
        <f>'收入支出明细表（基础数据表）'!G23</f>
        <v>0</v>
      </c>
      <c r="H23" t="e">
        <f>'收入支出明细表（基础数据表）'!H23</f>
        <v>#DIV/0!</v>
      </c>
      <c r="I23" t="e">
        <f>'收入支出明细表（基础数据表）'!I23</f>
        <v>#DIV/0!</v>
      </c>
      <c r="J23" t="e">
        <f>'收入支出明细表（基础数据表）'!J23</f>
        <v>#DIV/0!</v>
      </c>
      <c r="K23" t="e">
        <f>'收入支出明细表（基础数据表）'!K23</f>
        <v>#DIV/0!</v>
      </c>
      <c r="L23" t="e">
        <f>'收入支出明细表（基础数据表）'!L23</f>
        <v>#DIV/0!</v>
      </c>
      <c r="M23" t="e">
        <f>'收入支出明细表（基础数据表）'!M23</f>
        <v>#DIV/0!</v>
      </c>
      <c r="N23" t="e">
        <f>'收入支出明细表（基础数据表）'!N23</f>
        <v>#DIV/0!</v>
      </c>
      <c r="O23" t="e">
        <f>'收入支出明细表（基础数据表）'!O23</f>
        <v>#DIV/0!</v>
      </c>
      <c r="P23" t="e">
        <f>'收入支出明细表（基础数据表）'!P23</f>
        <v>#DIV/0!</v>
      </c>
      <c r="Q23" t="e">
        <f>'收入支出明细表（基础数据表）'!Q23</f>
        <v>#DIV/0!</v>
      </c>
      <c r="R23" t="e">
        <f>'收入支出明细表（基础数据表）'!R23</f>
        <v>#DIV/0!</v>
      </c>
      <c r="S23" t="e">
        <f>'收入支出明细表（基础数据表）'!S23</f>
        <v>#DIV/0!</v>
      </c>
    </row>
    <row r="24">
      <c r="C24" t="str">
        <v>1-5 维保收入-设备及其他硬件维修服务</v>
      </c>
      <c r="D24" t="str">
        <v>收入</v>
      </c>
      <c r="E24">
        <f>'收入支出明细表（基础数据表）'!E24</f>
        <v>0</v>
      </c>
      <c r="F24">
        <f>'收入支出明细表（基础数据表）'!F24</f>
        <v>0.13</v>
      </c>
      <c r="G24">
        <f>'收入支出明细表（基础数据表）'!G24</f>
        <v>0</v>
      </c>
      <c r="H24">
        <f>'收入支出明细表（基础数据表）'!H24</f>
        <v>0</v>
      </c>
      <c r="I24">
        <f>'收入支出明细表（基础数据表）'!I24</f>
        <v>0</v>
      </c>
      <c r="J24">
        <f>'收入支出明细表（基础数据表）'!J24</f>
        <v>0</v>
      </c>
      <c r="K24">
        <f>'收入支出明细表（基础数据表）'!K24</f>
        <v>0</v>
      </c>
      <c r="L24">
        <f>'收入支出明细表（基础数据表）'!L24</f>
        <v>0</v>
      </c>
      <c r="M24">
        <f>'收入支出明细表（基础数据表）'!M24</f>
        <v>0</v>
      </c>
      <c r="N24">
        <f>'收入支出明细表（基础数据表）'!N24</f>
        <v>0</v>
      </c>
      <c r="O24">
        <f>'收入支出明细表（基础数据表）'!O24</f>
        <v>0</v>
      </c>
      <c r="P24">
        <f>'收入支出明细表（基础数据表）'!P24</f>
        <v>0</v>
      </c>
      <c r="Q24">
        <f>'收入支出明细表（基础数据表）'!Q24</f>
        <v>0</v>
      </c>
      <c r="R24">
        <f>'收入支出明细表（基础数据表）'!R24</f>
        <v>0</v>
      </c>
      <c r="S24">
        <f>'收入支出明细表（基础数据表）'!S24</f>
        <v>0</v>
      </c>
    </row>
    <row r="25">
      <c r="D25" t="str">
        <v>收款进度-金额</v>
      </c>
      <c r="E25">
        <f>'收入支出明细表（基础数据表）'!E25</f>
        <v>0</v>
      </c>
      <c r="F25">
        <f>'收入支出明细表（基础数据表）'!F25</f>
        <v>0</v>
      </c>
      <c r="G25">
        <f>'收入支出明细表（基础数据表）'!G25</f>
        <v>0</v>
      </c>
      <c r="H25">
        <f>'收入支出明细表（基础数据表）'!H25</f>
        <v>0</v>
      </c>
      <c r="I25">
        <f>'收入支出明细表（基础数据表）'!I25</f>
        <v>0</v>
      </c>
      <c r="J25">
        <f>'收入支出明细表（基础数据表）'!J25</f>
        <v>0</v>
      </c>
      <c r="K25">
        <f>'收入支出明细表（基础数据表）'!K25</f>
        <v>0</v>
      </c>
      <c r="L25">
        <f>'收入支出明细表（基础数据表）'!L25</f>
        <v>0</v>
      </c>
      <c r="M25">
        <f>'收入支出明细表（基础数据表）'!M25</f>
        <v>0</v>
      </c>
      <c r="N25">
        <f>'收入支出明细表（基础数据表）'!N25</f>
        <v>0</v>
      </c>
      <c r="O25">
        <f>'收入支出明细表（基础数据表）'!O25</f>
        <v>0</v>
      </c>
      <c r="P25">
        <f>'收入支出明细表（基础数据表）'!P25</f>
        <v>0</v>
      </c>
      <c r="Q25">
        <f>'收入支出明细表（基础数据表）'!Q25</f>
        <v>0</v>
      </c>
      <c r="R25">
        <f>'收入支出明细表（基础数据表）'!R25</f>
        <v>0</v>
      </c>
      <c r="S25">
        <f>'收入支出明细表（基础数据表）'!S25</f>
        <v>0</v>
      </c>
    </row>
    <row r="26">
      <c r="D26" t="str">
        <v>收款进度-比例</v>
      </c>
      <c r="E26">
        <f>'收入支出明细表（基础数据表）'!E26</f>
        <v>0</v>
      </c>
      <c r="F26">
        <f>'收入支出明细表（基础数据表）'!F26</f>
        <v>0</v>
      </c>
      <c r="G26">
        <f>'收入支出明细表（基础数据表）'!G26</f>
        <v>0</v>
      </c>
      <c r="H26" t="e">
        <f>'收入支出明细表（基础数据表）'!H26</f>
        <v>#DIV/0!</v>
      </c>
      <c r="I26" t="e">
        <f>'收入支出明细表（基础数据表）'!I26</f>
        <v>#DIV/0!</v>
      </c>
      <c r="J26" t="e">
        <f>'收入支出明细表（基础数据表）'!J26</f>
        <v>#DIV/0!</v>
      </c>
      <c r="K26" t="e">
        <f>'收入支出明细表（基础数据表）'!K26</f>
        <v>#DIV/0!</v>
      </c>
      <c r="L26" t="e">
        <f>'收入支出明细表（基础数据表）'!L26</f>
        <v>#DIV/0!</v>
      </c>
      <c r="M26" t="e">
        <f>'收入支出明细表（基础数据表）'!M26</f>
        <v>#DIV/0!</v>
      </c>
      <c r="N26" t="e">
        <f>'收入支出明细表（基础数据表）'!N26</f>
        <v>#DIV/0!</v>
      </c>
      <c r="O26" t="e">
        <f>'收入支出明细表（基础数据表）'!O26</f>
        <v>#DIV/0!</v>
      </c>
      <c r="P26" t="e">
        <f>'收入支出明细表（基础数据表）'!P26</f>
        <v>#DIV/0!</v>
      </c>
      <c r="Q26" t="e">
        <f>'收入支出明细表（基础数据表）'!Q26</f>
        <v>#DIV/0!</v>
      </c>
      <c r="R26" t="e">
        <f>'收入支出明细表（基础数据表）'!R26</f>
        <v>#DIV/0!</v>
      </c>
      <c r="S26" t="e">
        <f>'收入支出明细表（基础数据表）'!S26</f>
        <v>#DIV/0!</v>
      </c>
    </row>
    <row r="27">
      <c r="C27" t="str">
        <v>2、商品销售收入</v>
      </c>
      <c r="D27" t="str">
        <v>收入</v>
      </c>
      <c r="E27">
        <f>'收入支出明细表（基础数据表）'!E27</f>
        <v>0</v>
      </c>
      <c r="F27">
        <f>'收入支出明细表（基础数据表）'!F27</f>
        <v>0.13</v>
      </c>
      <c r="G27">
        <f>'收入支出明细表（基础数据表）'!G27</f>
        <v>0</v>
      </c>
      <c r="H27">
        <f>'收入支出明细表（基础数据表）'!H27</f>
        <v>0</v>
      </c>
      <c r="I27">
        <f>'收入支出明细表（基础数据表）'!I27</f>
        <v>0</v>
      </c>
      <c r="J27">
        <f>'收入支出明细表（基础数据表）'!J27</f>
        <v>0</v>
      </c>
      <c r="K27">
        <f>'收入支出明细表（基础数据表）'!K27</f>
        <v>0</v>
      </c>
      <c r="L27">
        <f>'收入支出明细表（基础数据表）'!L27</f>
        <v>0</v>
      </c>
      <c r="M27">
        <f>'收入支出明细表（基础数据表）'!M27</f>
        <v>0</v>
      </c>
      <c r="N27">
        <f>'收入支出明细表（基础数据表）'!N27</f>
        <v>0</v>
      </c>
      <c r="O27">
        <f>'收入支出明细表（基础数据表）'!O27</f>
        <v>0</v>
      </c>
      <c r="P27">
        <f>'收入支出明细表（基础数据表）'!P27</f>
        <v>0</v>
      </c>
      <c r="Q27">
        <f>'收入支出明细表（基础数据表）'!Q27</f>
        <v>0</v>
      </c>
      <c r="R27">
        <f>'收入支出明细表（基础数据表）'!R27</f>
        <v>0</v>
      </c>
      <c r="S27">
        <f>'收入支出明细表（基础数据表）'!S27</f>
        <v>0</v>
      </c>
    </row>
    <row r="28">
      <c r="D28" t="str">
        <v>收款进度-金额</v>
      </c>
      <c r="E28">
        <f>'收入支出明细表（基础数据表）'!E28</f>
        <v>0</v>
      </c>
      <c r="F28">
        <f>'收入支出明细表（基础数据表）'!F28</f>
        <v>0</v>
      </c>
      <c r="G28">
        <f>'收入支出明细表（基础数据表）'!G28</f>
        <v>0</v>
      </c>
      <c r="H28">
        <f>'收入支出明细表（基础数据表）'!H28</f>
        <v>0</v>
      </c>
      <c r="I28">
        <f>'收入支出明细表（基础数据表）'!I28</f>
        <v>0</v>
      </c>
      <c r="J28">
        <f>'收入支出明细表（基础数据表）'!J28</f>
        <v>0</v>
      </c>
      <c r="K28">
        <f>'收入支出明细表（基础数据表）'!K28</f>
        <v>0</v>
      </c>
      <c r="L28">
        <f>'收入支出明细表（基础数据表）'!L28</f>
        <v>0</v>
      </c>
      <c r="M28">
        <f>'收入支出明细表（基础数据表）'!M28</f>
        <v>0</v>
      </c>
      <c r="N28">
        <f>'收入支出明细表（基础数据表）'!N28</f>
        <v>0</v>
      </c>
      <c r="O28">
        <f>'收入支出明细表（基础数据表）'!O28</f>
        <v>0</v>
      </c>
      <c r="P28">
        <f>'收入支出明细表（基础数据表）'!P28</f>
        <v>0</v>
      </c>
      <c r="Q28">
        <f>'收入支出明细表（基础数据表）'!Q28</f>
        <v>0</v>
      </c>
      <c r="R28">
        <f>'收入支出明细表（基础数据表）'!R28</f>
        <v>0</v>
      </c>
      <c r="S28">
        <f>'收入支出明细表（基础数据表）'!S28</f>
        <v>0</v>
      </c>
    </row>
    <row r="29">
      <c r="D29" t="str">
        <v>收款进度-比例</v>
      </c>
      <c r="E29">
        <f>'收入支出明细表（基础数据表）'!E29</f>
        <v>0</v>
      </c>
      <c r="F29">
        <f>'收入支出明细表（基础数据表）'!F29</f>
        <v>0</v>
      </c>
      <c r="G29">
        <f>'收入支出明细表（基础数据表）'!G29</f>
        <v>0</v>
      </c>
      <c r="H29" t="e">
        <f>'收入支出明细表（基础数据表）'!H29</f>
        <v>#DIV/0!</v>
      </c>
      <c r="I29" t="e">
        <f>'收入支出明细表（基础数据表）'!I29</f>
        <v>#DIV/0!</v>
      </c>
      <c r="J29" t="e">
        <f>'收入支出明细表（基础数据表）'!J29</f>
        <v>#DIV/0!</v>
      </c>
      <c r="K29" t="e">
        <f>'收入支出明细表（基础数据表）'!K29</f>
        <v>#DIV/0!</v>
      </c>
      <c r="L29" t="e">
        <f>'收入支出明细表（基础数据表）'!L29</f>
        <v>#DIV/0!</v>
      </c>
      <c r="M29" t="e">
        <f>'收入支出明细表（基础数据表）'!M29</f>
        <v>#DIV/0!</v>
      </c>
      <c r="N29" t="e">
        <f>'收入支出明细表（基础数据表）'!N29</f>
        <v>#DIV/0!</v>
      </c>
      <c r="O29" t="e">
        <f>'收入支出明细表（基础数据表）'!O29</f>
        <v>#DIV/0!</v>
      </c>
      <c r="P29" t="e">
        <f>'收入支出明细表（基础数据表）'!P29</f>
        <v>#DIV/0!</v>
      </c>
      <c r="Q29" t="e">
        <f>'收入支出明细表（基础数据表）'!Q29</f>
        <v>#DIV/0!</v>
      </c>
      <c r="R29" t="e">
        <f>'收入支出明细表（基础数据表）'!R29</f>
        <v>#DIV/0!</v>
      </c>
      <c r="S29" t="e">
        <f>'收入支出明细表（基础数据表）'!S29</f>
        <v>#DIV/0!</v>
      </c>
    </row>
    <row r="30">
      <c r="C30" t="str">
        <v>3、ICT设备/终端租赁收入</v>
      </c>
      <c r="D30" t="str">
        <v>收入</v>
      </c>
      <c r="E30">
        <f>'收入支出明细表（基础数据表）'!E30</f>
        <v>0</v>
      </c>
      <c r="F30">
        <f>'收入支出明细表（基础数据表）'!F30</f>
        <v>0.13</v>
      </c>
      <c r="G30">
        <f>'收入支出明细表（基础数据表）'!G30</f>
        <v>0</v>
      </c>
      <c r="H30">
        <f>'收入支出明细表（基础数据表）'!H30</f>
        <v>0</v>
      </c>
      <c r="I30">
        <f>'收入支出明细表（基础数据表）'!I30</f>
        <v>0</v>
      </c>
      <c r="J30">
        <f>'收入支出明细表（基础数据表）'!J30</f>
        <v>0</v>
      </c>
      <c r="K30">
        <f>'收入支出明细表（基础数据表）'!K30</f>
        <v>0</v>
      </c>
      <c r="L30">
        <f>'收入支出明细表（基础数据表）'!L30</f>
        <v>0</v>
      </c>
      <c r="M30">
        <f>'收入支出明细表（基础数据表）'!M30</f>
        <v>0</v>
      </c>
      <c r="N30">
        <f>'收入支出明细表（基础数据表）'!N30</f>
        <v>0</v>
      </c>
      <c r="O30">
        <f>'收入支出明细表（基础数据表）'!O30</f>
        <v>0</v>
      </c>
      <c r="P30">
        <f>'收入支出明细表（基础数据表）'!P30</f>
        <v>0</v>
      </c>
      <c r="Q30">
        <f>'收入支出明细表（基础数据表）'!Q30</f>
        <v>0</v>
      </c>
      <c r="R30">
        <f>'收入支出明细表（基础数据表）'!R30</f>
        <v>0</v>
      </c>
      <c r="S30">
        <f>'收入支出明细表（基础数据表）'!S30</f>
        <v>0</v>
      </c>
    </row>
    <row r="31">
      <c r="D31" t="str">
        <v>收款进度-金额</v>
      </c>
      <c r="E31">
        <f>'收入支出明细表（基础数据表）'!E31</f>
        <v>0</v>
      </c>
      <c r="F31">
        <f>'收入支出明细表（基础数据表）'!F31</f>
        <v>0</v>
      </c>
      <c r="G31">
        <f>'收入支出明细表（基础数据表）'!G31</f>
        <v>0</v>
      </c>
      <c r="H31">
        <f>'收入支出明细表（基础数据表）'!H31</f>
        <v>0</v>
      </c>
      <c r="I31">
        <f>'收入支出明细表（基础数据表）'!I31</f>
        <v>0</v>
      </c>
      <c r="J31">
        <f>'收入支出明细表（基础数据表）'!J31</f>
        <v>0</v>
      </c>
      <c r="K31">
        <f>'收入支出明细表（基础数据表）'!K31</f>
        <v>0</v>
      </c>
      <c r="L31">
        <f>'收入支出明细表（基础数据表）'!L31</f>
        <v>0</v>
      </c>
      <c r="M31">
        <f>'收入支出明细表（基础数据表）'!M31</f>
        <v>0</v>
      </c>
      <c r="N31">
        <f>'收入支出明细表（基础数据表）'!N31</f>
        <v>0</v>
      </c>
      <c r="O31">
        <f>'收入支出明细表（基础数据表）'!O31</f>
        <v>0</v>
      </c>
      <c r="P31">
        <f>'收入支出明细表（基础数据表）'!P31</f>
        <v>0</v>
      </c>
      <c r="Q31">
        <f>'收入支出明细表（基础数据表）'!Q31</f>
        <v>0</v>
      </c>
      <c r="R31">
        <f>'收入支出明细表（基础数据表）'!R31</f>
        <v>0</v>
      </c>
      <c r="S31">
        <f>'收入支出明细表（基础数据表）'!S31</f>
        <v>0</v>
      </c>
    </row>
    <row r="32">
      <c r="D32" t="str">
        <v>收款进度-比例</v>
      </c>
      <c r="E32">
        <f>'收入支出明细表（基础数据表）'!E32</f>
        <v>0</v>
      </c>
      <c r="F32">
        <f>'收入支出明细表（基础数据表）'!F32</f>
        <v>0</v>
      </c>
      <c r="G32">
        <f>'收入支出明细表（基础数据表）'!G32</f>
        <v>0</v>
      </c>
      <c r="H32" t="e">
        <f>'收入支出明细表（基础数据表）'!H32</f>
        <v>#DIV/0!</v>
      </c>
      <c r="I32" t="e">
        <f>'收入支出明细表（基础数据表）'!I32</f>
        <v>#DIV/0!</v>
      </c>
      <c r="J32" t="e">
        <f>'收入支出明细表（基础数据表）'!J32</f>
        <v>#DIV/0!</v>
      </c>
      <c r="K32" t="e">
        <f>'收入支出明细表（基础数据表）'!K32</f>
        <v>#DIV/0!</v>
      </c>
      <c r="L32" t="e">
        <f>'收入支出明细表（基础数据表）'!L32</f>
        <v>#DIV/0!</v>
      </c>
      <c r="M32" t="e">
        <f>'收入支出明细表（基础数据表）'!M32</f>
        <v>#DIV/0!</v>
      </c>
      <c r="N32" t="e">
        <f>'收入支出明细表（基础数据表）'!N32</f>
        <v>#DIV/0!</v>
      </c>
      <c r="O32" t="e">
        <f>'收入支出明细表（基础数据表）'!O32</f>
        <v>#DIV/0!</v>
      </c>
      <c r="P32" t="e">
        <f>'收入支出明细表（基础数据表）'!P32</f>
        <v>#DIV/0!</v>
      </c>
      <c r="Q32" t="e">
        <f>'收入支出明细表（基础数据表）'!Q32</f>
        <v>#DIV/0!</v>
      </c>
      <c r="R32" t="e">
        <f>'收入支出明细表（基础数据表）'!R32</f>
        <v>#DIV/0!</v>
      </c>
      <c r="S32" t="e">
        <f>'收入支出明细表（基础数据表）'!S32</f>
        <v>#DIV/0!</v>
      </c>
    </row>
    <row r="33">
      <c r="C33" t="str">
        <v>4、ICT设备/终端转租收入</v>
      </c>
      <c r="D33" t="str">
        <v>收入</v>
      </c>
      <c r="E33">
        <f>'收入支出明细表（基础数据表）'!E33</f>
        <v>0</v>
      </c>
      <c r="F33">
        <f>'收入支出明细表（基础数据表）'!F33</f>
        <v>0.13</v>
      </c>
      <c r="G33">
        <f>'收入支出明细表（基础数据表）'!G33</f>
        <v>0</v>
      </c>
      <c r="H33">
        <f>'收入支出明细表（基础数据表）'!H33</f>
        <v>0</v>
      </c>
      <c r="I33">
        <f>'收入支出明细表（基础数据表）'!I33</f>
        <v>0</v>
      </c>
      <c r="J33">
        <f>'收入支出明细表（基础数据表）'!J33</f>
        <v>0</v>
      </c>
      <c r="K33">
        <f>'收入支出明细表（基础数据表）'!K33</f>
        <v>0</v>
      </c>
      <c r="L33">
        <f>'收入支出明细表（基础数据表）'!L33</f>
        <v>0</v>
      </c>
      <c r="M33">
        <f>'收入支出明细表（基础数据表）'!M33</f>
        <v>0</v>
      </c>
      <c r="N33">
        <f>'收入支出明细表（基础数据表）'!N33</f>
        <v>0</v>
      </c>
      <c r="O33">
        <f>'收入支出明细表（基础数据表）'!O33</f>
        <v>0</v>
      </c>
      <c r="P33">
        <f>'收入支出明细表（基础数据表）'!P33</f>
        <v>0</v>
      </c>
      <c r="Q33">
        <f>'收入支出明细表（基础数据表）'!Q33</f>
        <v>0</v>
      </c>
      <c r="R33">
        <f>'收入支出明细表（基础数据表）'!R33</f>
        <v>0</v>
      </c>
      <c r="S33">
        <f>'收入支出明细表（基础数据表）'!S33</f>
        <v>0</v>
      </c>
    </row>
    <row r="34">
      <c r="D34" t="str">
        <v>收款进度-金额</v>
      </c>
      <c r="E34">
        <f>'收入支出明细表（基础数据表）'!E34</f>
        <v>0</v>
      </c>
      <c r="F34">
        <f>'收入支出明细表（基础数据表）'!F34</f>
        <v>0</v>
      </c>
      <c r="G34">
        <f>'收入支出明细表（基础数据表）'!G34</f>
        <v>0</v>
      </c>
      <c r="H34">
        <f>'收入支出明细表（基础数据表）'!H34</f>
        <v>0</v>
      </c>
      <c r="I34">
        <f>'收入支出明细表（基础数据表）'!I34</f>
        <v>0</v>
      </c>
      <c r="J34">
        <f>'收入支出明细表（基础数据表）'!J34</f>
        <v>0</v>
      </c>
      <c r="K34">
        <f>'收入支出明细表（基础数据表）'!K34</f>
        <v>0</v>
      </c>
      <c r="L34">
        <f>'收入支出明细表（基础数据表）'!L34</f>
        <v>0</v>
      </c>
      <c r="M34">
        <f>'收入支出明细表（基础数据表）'!M34</f>
        <v>0</v>
      </c>
      <c r="N34">
        <f>'收入支出明细表（基础数据表）'!N34</f>
        <v>0</v>
      </c>
      <c r="O34">
        <f>'收入支出明细表（基础数据表）'!O34</f>
        <v>0</v>
      </c>
      <c r="P34">
        <f>'收入支出明细表（基础数据表）'!P34</f>
        <v>0</v>
      </c>
      <c r="Q34">
        <f>'收入支出明细表（基础数据表）'!Q34</f>
        <v>0</v>
      </c>
      <c r="R34">
        <f>'收入支出明细表（基础数据表）'!R34</f>
        <v>0</v>
      </c>
      <c r="S34">
        <f>'收入支出明细表（基础数据表）'!S34</f>
        <v>0</v>
      </c>
    </row>
    <row r="35">
      <c r="D35" t="str">
        <v>收款进度-比例</v>
      </c>
      <c r="E35">
        <f>'收入支出明细表（基础数据表）'!E35</f>
        <v>0</v>
      </c>
      <c r="F35">
        <f>'收入支出明细表（基础数据表）'!F35</f>
        <v>0</v>
      </c>
      <c r="G35">
        <f>'收入支出明细表（基础数据表）'!G35</f>
        <v>0</v>
      </c>
      <c r="H35" t="e">
        <f>'收入支出明细表（基础数据表）'!H35</f>
        <v>#DIV/0!</v>
      </c>
      <c r="I35" t="e">
        <f>'收入支出明细表（基础数据表）'!I35</f>
        <v>#DIV/0!</v>
      </c>
      <c r="J35" t="e">
        <f>'收入支出明细表（基础数据表）'!J35</f>
        <v>#DIV/0!</v>
      </c>
      <c r="K35" t="e">
        <f>'收入支出明细表（基础数据表）'!K35</f>
        <v>#DIV/0!</v>
      </c>
      <c r="L35" t="e">
        <f>'收入支出明细表（基础数据表）'!L35</f>
        <v>#DIV/0!</v>
      </c>
      <c r="M35" t="e">
        <f>'收入支出明细表（基础数据表）'!M35</f>
        <v>#DIV/0!</v>
      </c>
      <c r="N35" t="e">
        <f>'收入支出明细表（基础数据表）'!N35</f>
        <v>#DIV/0!</v>
      </c>
      <c r="O35" t="e">
        <f>'收入支出明细表（基础数据表）'!O35</f>
        <v>#DIV/0!</v>
      </c>
      <c r="P35" t="e">
        <f>'收入支出明细表（基础数据表）'!P35</f>
        <v>#DIV/0!</v>
      </c>
      <c r="Q35" t="e">
        <f>'收入支出明细表（基础数据表）'!Q35</f>
        <v>#DIV/0!</v>
      </c>
      <c r="R35" t="e">
        <f>'收入支出明细表（基础数据表）'!R35</f>
        <v>#DIV/0!</v>
      </c>
      <c r="S35" t="e">
        <f>'收入支出明细表（基础数据表）'!S35</f>
        <v>#DIV/0!</v>
      </c>
    </row>
    <row r="36">
      <c r="C36" t="str">
        <v>5、工程建设与服务收入</v>
      </c>
      <c r="D36" t="str">
        <v>收入</v>
      </c>
      <c r="E36">
        <f>'收入支出明细表（基础数据表）'!E36</f>
        <v>0</v>
      </c>
      <c r="F36">
        <f>'收入支出明细表（基础数据表）'!F36</f>
        <v>0.09</v>
      </c>
      <c r="G36">
        <f>'收入支出明细表（基础数据表）'!G36</f>
        <v>0</v>
      </c>
      <c r="H36">
        <f>'收入支出明细表（基础数据表）'!H36</f>
        <v>0</v>
      </c>
      <c r="I36">
        <f>'收入支出明细表（基础数据表）'!I36</f>
        <v>0</v>
      </c>
      <c r="J36">
        <f>'收入支出明细表（基础数据表）'!J36</f>
        <v>0</v>
      </c>
      <c r="K36">
        <f>'收入支出明细表（基础数据表）'!K36</f>
        <v>0</v>
      </c>
      <c r="L36">
        <f>'收入支出明细表（基础数据表）'!L36</f>
        <v>0</v>
      </c>
      <c r="M36">
        <f>'收入支出明细表（基础数据表）'!M36</f>
        <v>0</v>
      </c>
      <c r="N36">
        <f>'收入支出明细表（基础数据表）'!N36</f>
        <v>0</v>
      </c>
      <c r="O36">
        <f>'收入支出明细表（基础数据表）'!O36</f>
        <v>0</v>
      </c>
      <c r="P36">
        <f>'收入支出明细表（基础数据表）'!P36</f>
        <v>0</v>
      </c>
      <c r="Q36">
        <f>'收入支出明细表（基础数据表）'!Q36</f>
        <v>0</v>
      </c>
      <c r="R36">
        <f>'收入支出明细表（基础数据表）'!R36</f>
        <v>0</v>
      </c>
      <c r="S36">
        <f>'收入支出明细表（基础数据表）'!S36</f>
        <v>0</v>
      </c>
    </row>
    <row r="37">
      <c r="D37" t="str">
        <v>收款进度-金额</v>
      </c>
      <c r="E37">
        <f>'收入支出明细表（基础数据表）'!E37</f>
        <v>0</v>
      </c>
      <c r="F37">
        <f>'收入支出明细表（基础数据表）'!F37</f>
        <v>0</v>
      </c>
      <c r="G37">
        <f>'收入支出明细表（基础数据表）'!G37</f>
        <v>0</v>
      </c>
      <c r="H37">
        <f>'收入支出明细表（基础数据表）'!H37</f>
        <v>0</v>
      </c>
      <c r="I37">
        <f>'收入支出明细表（基础数据表）'!I37</f>
        <v>0</v>
      </c>
      <c r="J37">
        <f>'收入支出明细表（基础数据表）'!J37</f>
        <v>0</v>
      </c>
      <c r="K37">
        <f>'收入支出明细表（基础数据表）'!K37</f>
        <v>0</v>
      </c>
      <c r="L37">
        <f>'收入支出明细表（基础数据表）'!L37</f>
        <v>0</v>
      </c>
      <c r="M37">
        <f>'收入支出明细表（基础数据表）'!M37</f>
        <v>0</v>
      </c>
      <c r="N37">
        <f>'收入支出明细表（基础数据表）'!N37</f>
        <v>0</v>
      </c>
      <c r="O37">
        <f>'收入支出明细表（基础数据表）'!O37</f>
        <v>0</v>
      </c>
      <c r="P37">
        <f>'收入支出明细表（基础数据表）'!P37</f>
        <v>0</v>
      </c>
      <c r="Q37">
        <f>'收入支出明细表（基础数据表）'!Q37</f>
        <v>0</v>
      </c>
      <c r="R37">
        <f>'收入支出明细表（基础数据表）'!R37</f>
        <v>0</v>
      </c>
      <c r="S37">
        <f>'收入支出明细表（基础数据表）'!S37</f>
        <v>0</v>
      </c>
    </row>
    <row r="38">
      <c r="D38" t="str">
        <v>收款进度-比例</v>
      </c>
      <c r="E38">
        <f>'收入支出明细表（基础数据表）'!E38</f>
        <v>0</v>
      </c>
      <c r="F38">
        <f>'收入支出明细表（基础数据表）'!F38</f>
        <v>0</v>
      </c>
      <c r="G38">
        <f>'收入支出明细表（基础数据表）'!G38</f>
        <v>0</v>
      </c>
      <c r="H38" t="e">
        <f>'收入支出明细表（基础数据表）'!H38</f>
        <v>#DIV/0!</v>
      </c>
      <c r="I38" t="e">
        <f>'收入支出明细表（基础数据表）'!I38</f>
        <v>#DIV/0!</v>
      </c>
      <c r="J38" t="e">
        <f>'收入支出明细表（基础数据表）'!J38</f>
        <v>#DIV/0!</v>
      </c>
      <c r="K38" t="e">
        <f>'收入支出明细表（基础数据表）'!K38</f>
        <v>#DIV/0!</v>
      </c>
      <c r="L38" t="e">
        <f>'收入支出明细表（基础数据表）'!L38</f>
        <v>#DIV/0!</v>
      </c>
      <c r="M38" t="e">
        <f>'收入支出明细表（基础数据表）'!M38</f>
        <v>#DIV/0!</v>
      </c>
      <c r="N38" t="e">
        <f>'收入支出明细表（基础数据表）'!N38</f>
        <v>#DIV/0!</v>
      </c>
      <c r="O38" t="e">
        <f>'收入支出明细表（基础数据表）'!O38</f>
        <v>#DIV/0!</v>
      </c>
      <c r="P38" t="e">
        <f>'收入支出明细表（基础数据表）'!P38</f>
        <v>#DIV/0!</v>
      </c>
      <c r="Q38" t="e">
        <f>'收入支出明细表（基础数据表）'!Q38</f>
        <v>#DIV/0!</v>
      </c>
      <c r="R38" t="e">
        <f>'收入支出明细表（基础数据表）'!R38</f>
        <v>#DIV/0!</v>
      </c>
      <c r="S38" t="e">
        <f>'收入支出明细表（基础数据表）'!S38</f>
        <v>#DIV/0!</v>
      </c>
    </row>
    <row r="39">
      <c r="C39" t="str">
        <v xml:space="preserve">        ……</v>
      </c>
      <c r="E39">
        <f>'收入支出明细表（基础数据表）'!E39</f>
        <v>0</v>
      </c>
      <c r="F39">
        <f>'收入支出明细表（基础数据表）'!F39</f>
        <v>0</v>
      </c>
      <c r="G39">
        <f>'收入支出明细表（基础数据表）'!G39</f>
        <v>0</v>
      </c>
      <c r="H39">
        <f>'收入支出明细表（基础数据表）'!H39</f>
        <v>0</v>
      </c>
      <c r="I39">
        <f>'收入支出明细表（基础数据表）'!I39</f>
        <v>0</v>
      </c>
      <c r="J39">
        <f>'收入支出明细表（基础数据表）'!J39</f>
        <v>0</v>
      </c>
      <c r="K39">
        <f>'收入支出明细表（基础数据表）'!K39</f>
        <v>0</v>
      </c>
      <c r="L39">
        <f>'收入支出明细表（基础数据表）'!L39</f>
        <v>0</v>
      </c>
      <c r="M39">
        <f>'收入支出明细表（基础数据表）'!M39</f>
        <v>0</v>
      </c>
      <c r="N39">
        <f>'收入支出明细表（基础数据表）'!N39</f>
        <v>0</v>
      </c>
      <c r="O39">
        <f>'收入支出明细表（基础数据表）'!O39</f>
        <v>0</v>
      </c>
      <c r="P39">
        <f>'收入支出明细表（基础数据表）'!P39</f>
        <v>0</v>
      </c>
      <c r="Q39">
        <f>'收入支出明细表（基础数据表）'!Q39</f>
        <v>0</v>
      </c>
      <c r="R39">
        <f>'收入支出明细表（基础数据表）'!R39</f>
        <v>0</v>
      </c>
      <c r="S39">
        <f>'收入支出明细表（基础数据表）'!S39</f>
        <v>0</v>
      </c>
    </row>
    <row r="40">
      <c r="B40" t="str">
        <v>CT类收入</v>
      </c>
      <c r="C40" t="str">
        <v>CT类收入合计</v>
      </c>
      <c r="D40" t="str">
        <v>收入</v>
      </c>
      <c r="E40">
        <f>'收入支出明细表（基础数据表）'!E40</f>
        <v>0</v>
      </c>
      <c r="F40">
        <f>'收入支出明细表（基础数据表）'!F40</f>
        <v>0</v>
      </c>
      <c r="G40">
        <f>'收入支出明细表（基础数据表）'!G40</f>
        <v>0</v>
      </c>
      <c r="H40">
        <f>'收入支出明细表（基础数据表）'!H40</f>
        <v>0</v>
      </c>
      <c r="I40">
        <f>'收入支出明细表（基础数据表）'!I40</f>
        <v>0</v>
      </c>
      <c r="J40">
        <f>'收入支出明细表（基础数据表）'!J40</f>
        <v>0</v>
      </c>
      <c r="K40">
        <f>'收入支出明细表（基础数据表）'!K40</f>
        <v>0</v>
      </c>
      <c r="L40">
        <f>'收入支出明细表（基础数据表）'!L40</f>
        <v>0</v>
      </c>
      <c r="M40">
        <f>'收入支出明细表（基础数据表）'!M40</f>
        <v>0</v>
      </c>
      <c r="N40">
        <f>'收入支出明细表（基础数据表）'!N40</f>
        <v>0</v>
      </c>
      <c r="O40">
        <f>'收入支出明细表（基础数据表）'!O40</f>
        <v>0</v>
      </c>
      <c r="P40">
        <f>'收入支出明细表（基础数据表）'!P40</f>
        <v>0</v>
      </c>
      <c r="Q40">
        <f>'收入支出明细表（基础数据表）'!Q40</f>
        <v>0</v>
      </c>
      <c r="R40">
        <f>'收入支出明细表（基础数据表）'!R40</f>
        <v>0</v>
      </c>
      <c r="S40">
        <f>'收入支出明细表（基础数据表）'!S40</f>
        <v>0</v>
      </c>
    </row>
    <row r="41">
      <c r="D41" t="str">
        <v>收款进度-金额</v>
      </c>
      <c r="E41">
        <f>'收入支出明细表（基础数据表）'!E41</f>
        <v>0</v>
      </c>
      <c r="F41">
        <f>'收入支出明细表（基础数据表）'!F41</f>
        <v>0</v>
      </c>
      <c r="G41">
        <f>'收入支出明细表（基础数据表）'!G41</f>
        <v>0</v>
      </c>
      <c r="H41">
        <f>'收入支出明细表（基础数据表）'!H41</f>
        <v>0</v>
      </c>
      <c r="I41">
        <f>'收入支出明细表（基础数据表）'!I41</f>
        <v>0</v>
      </c>
      <c r="J41">
        <f>'收入支出明细表（基础数据表）'!J41</f>
        <v>0</v>
      </c>
      <c r="K41">
        <f>'收入支出明细表（基础数据表）'!K41</f>
        <v>0</v>
      </c>
      <c r="L41">
        <f>'收入支出明细表（基础数据表）'!L41</f>
        <v>0</v>
      </c>
      <c r="M41">
        <f>'收入支出明细表（基础数据表）'!M41</f>
        <v>0</v>
      </c>
      <c r="N41">
        <f>'收入支出明细表（基础数据表）'!N41</f>
        <v>0</v>
      </c>
      <c r="O41">
        <f>'收入支出明细表（基础数据表）'!O41</f>
        <v>0</v>
      </c>
      <c r="P41">
        <f>'收入支出明细表（基础数据表）'!P41</f>
        <v>0</v>
      </c>
      <c r="Q41">
        <f>'收入支出明细表（基础数据表）'!Q41</f>
        <v>0</v>
      </c>
      <c r="R41">
        <f>'收入支出明细表（基础数据表）'!R41</f>
        <v>0</v>
      </c>
      <c r="S41">
        <f>'收入支出明细表（基础数据表）'!S41</f>
        <v>0</v>
      </c>
    </row>
    <row r="42">
      <c r="D42" t="str">
        <v>收款进度-比例</v>
      </c>
      <c r="E42">
        <f>'收入支出明细表（基础数据表）'!E42</f>
        <v>0</v>
      </c>
      <c r="F42">
        <f>'收入支出明细表（基础数据表）'!F42</f>
        <v>0</v>
      </c>
      <c r="G42">
        <f>'收入支出明细表（基础数据表）'!G42</f>
        <v>0</v>
      </c>
      <c r="H42" t="e">
        <f>'收入支出明细表（基础数据表）'!H42</f>
        <v>#DIV/0!</v>
      </c>
      <c r="I42" t="e">
        <f>'收入支出明细表（基础数据表）'!I42</f>
        <v>#DIV/0!</v>
      </c>
      <c r="J42" t="e">
        <f>'收入支出明细表（基础数据表）'!J42</f>
        <v>#DIV/0!</v>
      </c>
      <c r="K42" t="e">
        <f>'收入支出明细表（基础数据表）'!K42</f>
        <v>#DIV/0!</v>
      </c>
      <c r="L42" t="e">
        <f>'收入支出明细表（基础数据表）'!L42</f>
        <v>#DIV/0!</v>
      </c>
      <c r="M42" t="e">
        <f>'收入支出明细表（基础数据表）'!M42</f>
        <v>#DIV/0!</v>
      </c>
      <c r="N42" t="e">
        <f>'收入支出明细表（基础数据表）'!N42</f>
        <v>#DIV/0!</v>
      </c>
      <c r="O42" t="e">
        <f>'收入支出明细表（基础数据表）'!O42</f>
        <v>#DIV/0!</v>
      </c>
      <c r="P42" t="e">
        <f>'收入支出明细表（基础数据表）'!P42</f>
        <v>#DIV/0!</v>
      </c>
      <c r="Q42" t="e">
        <f>'收入支出明细表（基础数据表）'!Q42</f>
        <v>#DIV/0!</v>
      </c>
      <c r="R42" t="e">
        <f>'收入支出明细表（基础数据表）'!R42</f>
        <v>#DIV/0!</v>
      </c>
      <c r="S42" t="e">
        <f>'收入支出明细表（基础数据表）'!S42</f>
        <v>#DIV/0!</v>
      </c>
    </row>
    <row r="43">
      <c r="C43" t="str">
        <v>1、通信业务收入（基础电信服务）</v>
      </c>
      <c r="D43" t="str">
        <v>收入</v>
      </c>
      <c r="E43">
        <f>'收入支出明细表（基础数据表）'!E43</f>
        <v>0</v>
      </c>
      <c r="F43">
        <f>'收入支出明细表（基础数据表）'!F43</f>
        <v>0</v>
      </c>
      <c r="G43">
        <f>'收入支出明细表（基础数据表）'!G43</f>
        <v>0</v>
      </c>
      <c r="H43">
        <f>'收入支出明细表（基础数据表）'!H43</f>
        <v>0</v>
      </c>
      <c r="I43">
        <f>'收入支出明细表（基础数据表）'!I43</f>
        <v>0</v>
      </c>
      <c r="J43">
        <f>'收入支出明细表（基础数据表）'!J43</f>
        <v>0</v>
      </c>
      <c r="K43">
        <f>'收入支出明细表（基础数据表）'!K43</f>
        <v>0</v>
      </c>
      <c r="L43">
        <f>'收入支出明细表（基础数据表）'!L43</f>
        <v>0</v>
      </c>
      <c r="M43">
        <f>'收入支出明细表（基础数据表）'!M43</f>
        <v>0</v>
      </c>
      <c r="N43">
        <f>'收入支出明细表（基础数据表）'!N43</f>
        <v>0</v>
      </c>
      <c r="O43">
        <f>'收入支出明细表（基础数据表）'!O43</f>
        <v>0</v>
      </c>
      <c r="P43">
        <f>'收入支出明细表（基础数据表）'!P43</f>
        <v>0</v>
      </c>
      <c r="Q43">
        <f>'收入支出明细表（基础数据表）'!Q43</f>
        <v>0</v>
      </c>
      <c r="R43">
        <f>'收入支出明细表（基础数据表）'!R43</f>
        <v>0</v>
      </c>
      <c r="S43">
        <f>'收入支出明细表（基础数据表）'!S43</f>
        <v>0</v>
      </c>
    </row>
    <row r="44">
      <c r="D44" t="str">
        <v>收款进度-金额</v>
      </c>
      <c r="E44">
        <f>'收入支出明细表（基础数据表）'!E44</f>
        <v>0</v>
      </c>
      <c r="F44">
        <f>'收入支出明细表（基础数据表）'!F44</f>
        <v>0</v>
      </c>
      <c r="G44">
        <f>'收入支出明细表（基础数据表）'!G44</f>
        <v>0</v>
      </c>
      <c r="H44">
        <f>'收入支出明细表（基础数据表）'!H44</f>
        <v>0</v>
      </c>
      <c r="I44">
        <f>'收入支出明细表（基础数据表）'!I44</f>
        <v>0</v>
      </c>
      <c r="J44">
        <f>'收入支出明细表（基础数据表）'!J44</f>
        <v>0</v>
      </c>
      <c r="K44">
        <f>'收入支出明细表（基础数据表）'!K44</f>
        <v>0</v>
      </c>
      <c r="L44">
        <f>'收入支出明细表（基础数据表）'!L44</f>
        <v>0</v>
      </c>
      <c r="M44">
        <f>'收入支出明细表（基础数据表）'!M44</f>
        <v>0</v>
      </c>
      <c r="N44">
        <f>'收入支出明细表（基础数据表）'!N44</f>
        <v>0</v>
      </c>
      <c r="O44">
        <f>'收入支出明细表（基础数据表）'!O44</f>
        <v>0</v>
      </c>
      <c r="P44">
        <f>'收入支出明细表（基础数据表）'!P44</f>
        <v>0</v>
      </c>
      <c r="Q44">
        <f>'收入支出明细表（基础数据表）'!Q44</f>
        <v>0</v>
      </c>
      <c r="R44">
        <f>'收入支出明细表（基础数据表）'!R44</f>
        <v>0</v>
      </c>
      <c r="S44">
        <f>'收入支出明细表（基础数据表）'!S44</f>
        <v>0</v>
      </c>
    </row>
    <row r="45">
      <c r="D45" t="str">
        <v>收款进度-比例</v>
      </c>
      <c r="E45">
        <f>'收入支出明细表（基础数据表）'!E45</f>
        <v>0</v>
      </c>
      <c r="F45">
        <f>'收入支出明细表（基础数据表）'!F45</f>
        <v>0</v>
      </c>
      <c r="G45">
        <f>'收入支出明细表（基础数据表）'!G45</f>
        <v>0</v>
      </c>
      <c r="H45" t="e">
        <f>'收入支出明细表（基础数据表）'!H45</f>
        <v>#DIV/0!</v>
      </c>
      <c r="I45" t="e">
        <f>'收入支出明细表（基础数据表）'!I45</f>
        <v>#DIV/0!</v>
      </c>
      <c r="J45" t="e">
        <f>'收入支出明细表（基础数据表）'!J45</f>
        <v>#DIV/0!</v>
      </c>
      <c r="K45" t="e">
        <f>'收入支出明细表（基础数据表）'!K45</f>
        <v>#DIV/0!</v>
      </c>
      <c r="L45" t="e">
        <f>'收入支出明细表（基础数据表）'!L45</f>
        <v>#DIV/0!</v>
      </c>
      <c r="M45" t="e">
        <f>'收入支出明细表（基础数据表）'!M45</f>
        <v>#DIV/0!</v>
      </c>
      <c r="N45" t="e">
        <f>'收入支出明细表（基础数据表）'!N45</f>
        <v>#DIV/0!</v>
      </c>
      <c r="O45" t="e">
        <f>'收入支出明细表（基础数据表）'!O45</f>
        <v>#DIV/0!</v>
      </c>
      <c r="P45" t="e">
        <f>'收入支出明细表（基础数据表）'!P45</f>
        <v>#DIV/0!</v>
      </c>
      <c r="Q45" t="e">
        <f>'收入支出明细表（基础数据表）'!Q45</f>
        <v>#DIV/0!</v>
      </c>
      <c r="R45" t="e">
        <f>'收入支出明细表（基础数据表）'!R45</f>
        <v>#DIV/0!</v>
      </c>
      <c r="S45" t="e">
        <f>'收入支出明细表（基础数据表）'!S45</f>
        <v>#DIV/0!</v>
      </c>
    </row>
    <row r="46">
      <c r="C46" t="str">
        <v xml:space="preserve">        语音</v>
      </c>
      <c r="D46" t="str">
        <v>收入</v>
      </c>
      <c r="E46">
        <f>'收入支出明细表（基础数据表）'!E46</f>
        <v>0</v>
      </c>
      <c r="F46">
        <f>'收入支出明细表（基础数据表）'!F46</f>
        <v>0.09</v>
      </c>
      <c r="G46">
        <f>'收入支出明细表（基础数据表）'!G46</f>
        <v>0</v>
      </c>
      <c r="H46">
        <f>'收入支出明细表（基础数据表）'!H46</f>
        <v>0</v>
      </c>
      <c r="I46">
        <f>'收入支出明细表（基础数据表）'!I46</f>
        <v>0</v>
      </c>
      <c r="J46">
        <f>'收入支出明细表（基础数据表）'!J46</f>
        <v>0</v>
      </c>
      <c r="K46">
        <f>'收入支出明细表（基础数据表）'!K46</f>
        <v>0</v>
      </c>
      <c r="L46">
        <f>'收入支出明细表（基础数据表）'!L46</f>
        <v>0</v>
      </c>
      <c r="M46">
        <f>'收入支出明细表（基础数据表）'!M46</f>
        <v>0</v>
      </c>
      <c r="N46">
        <f>'收入支出明细表（基础数据表）'!N46</f>
        <v>0</v>
      </c>
      <c r="O46">
        <f>'收入支出明细表（基础数据表）'!O46</f>
        <v>0</v>
      </c>
      <c r="P46">
        <f>'收入支出明细表（基础数据表）'!P46</f>
        <v>0</v>
      </c>
      <c r="Q46">
        <f>'收入支出明细表（基础数据表）'!Q46</f>
        <v>0</v>
      </c>
      <c r="R46">
        <f>'收入支出明细表（基础数据表）'!R46</f>
        <v>0</v>
      </c>
      <c r="S46">
        <f>'收入支出明细表（基础数据表）'!S46</f>
        <v>0</v>
      </c>
    </row>
    <row r="47">
      <c r="D47" t="str">
        <v>收款进度-金额</v>
      </c>
      <c r="E47">
        <f>'收入支出明细表（基础数据表）'!E47</f>
        <v>0</v>
      </c>
      <c r="F47">
        <f>'收入支出明细表（基础数据表）'!F47</f>
        <v>0</v>
      </c>
      <c r="G47">
        <f>'收入支出明细表（基础数据表）'!G47</f>
        <v>0</v>
      </c>
      <c r="H47">
        <f>'收入支出明细表（基础数据表）'!H47</f>
        <v>0</v>
      </c>
      <c r="I47">
        <f>'收入支出明细表（基础数据表）'!I47</f>
        <v>0</v>
      </c>
      <c r="J47">
        <f>'收入支出明细表（基础数据表）'!J47</f>
        <v>0</v>
      </c>
      <c r="K47">
        <f>'收入支出明细表（基础数据表）'!K47</f>
        <v>0</v>
      </c>
      <c r="L47">
        <f>'收入支出明细表（基础数据表）'!L47</f>
        <v>0</v>
      </c>
      <c r="M47">
        <f>'收入支出明细表（基础数据表）'!M47</f>
        <v>0</v>
      </c>
      <c r="N47">
        <f>'收入支出明细表（基础数据表）'!N47</f>
        <v>0</v>
      </c>
      <c r="O47">
        <f>'收入支出明细表（基础数据表）'!O47</f>
        <v>0</v>
      </c>
      <c r="P47">
        <f>'收入支出明细表（基础数据表）'!P47</f>
        <v>0</v>
      </c>
      <c r="Q47">
        <f>'收入支出明细表（基础数据表）'!Q47</f>
        <v>0</v>
      </c>
      <c r="R47">
        <f>'收入支出明细表（基础数据表）'!R47</f>
        <v>0</v>
      </c>
      <c r="S47">
        <f>'收入支出明细表（基础数据表）'!S47</f>
        <v>0</v>
      </c>
    </row>
    <row r="48">
      <c r="D48" t="str">
        <v>收款进度-比例</v>
      </c>
      <c r="E48">
        <f>'收入支出明细表（基础数据表）'!E48</f>
        <v>0</v>
      </c>
      <c r="F48">
        <f>'收入支出明细表（基础数据表）'!F48</f>
        <v>0</v>
      </c>
      <c r="G48">
        <f>'收入支出明细表（基础数据表）'!G48</f>
        <v>0</v>
      </c>
      <c r="H48" t="e">
        <f>'收入支出明细表（基础数据表）'!H48</f>
        <v>#DIV/0!</v>
      </c>
      <c r="I48" t="e">
        <f>'收入支出明细表（基础数据表）'!I48</f>
        <v>#DIV/0!</v>
      </c>
      <c r="J48" t="e">
        <f>'收入支出明细表（基础数据表）'!J48</f>
        <v>#DIV/0!</v>
      </c>
      <c r="K48" t="e">
        <f>'收入支出明细表（基础数据表）'!K48</f>
        <v>#DIV/0!</v>
      </c>
      <c r="L48" t="e">
        <f>'收入支出明细表（基础数据表）'!L48</f>
        <v>#DIV/0!</v>
      </c>
      <c r="M48" t="e">
        <f>'收入支出明细表（基础数据表）'!M48</f>
        <v>#DIV/0!</v>
      </c>
      <c r="N48" t="e">
        <f>'收入支出明细表（基础数据表）'!N48</f>
        <v>#DIV/0!</v>
      </c>
      <c r="O48" t="e">
        <f>'收入支出明细表（基础数据表）'!O48</f>
        <v>#DIV/0!</v>
      </c>
      <c r="P48" t="e">
        <f>'收入支出明细表（基础数据表）'!P48</f>
        <v>#DIV/0!</v>
      </c>
      <c r="Q48" t="e">
        <f>'收入支出明细表（基础数据表）'!Q48</f>
        <v>#DIV/0!</v>
      </c>
      <c r="R48" t="e">
        <f>'收入支出明细表（基础数据表）'!R48</f>
        <v>#DIV/0!</v>
      </c>
      <c r="S48" t="e">
        <f>'收入支出明细表（基础数据表）'!S48</f>
        <v>#DIV/0!</v>
      </c>
    </row>
    <row r="49">
      <c r="C49" t="str">
        <v xml:space="preserve">        数据专线</v>
      </c>
      <c r="D49" t="str">
        <v>收入</v>
      </c>
      <c r="E49">
        <f>'收入支出明细表（基础数据表）'!E49</f>
        <v>0</v>
      </c>
      <c r="F49">
        <f>'收入支出明细表（基础数据表）'!F49</f>
        <v>0.09</v>
      </c>
      <c r="G49">
        <f>'收入支出明细表（基础数据表）'!G49</f>
        <v>0</v>
      </c>
      <c r="H49">
        <f>'收入支出明细表（基础数据表）'!H49</f>
        <v>0</v>
      </c>
      <c r="I49">
        <f>'收入支出明细表（基础数据表）'!I49</f>
        <v>0</v>
      </c>
      <c r="J49">
        <f>'收入支出明细表（基础数据表）'!J49</f>
        <v>0</v>
      </c>
      <c r="K49">
        <f>'收入支出明细表（基础数据表）'!K49</f>
        <v>0</v>
      </c>
      <c r="L49">
        <f>'收入支出明细表（基础数据表）'!L49</f>
        <v>0</v>
      </c>
      <c r="M49">
        <f>'收入支出明细表（基础数据表）'!M49</f>
        <v>0</v>
      </c>
      <c r="N49">
        <f>'收入支出明细表（基础数据表）'!N49</f>
        <v>0</v>
      </c>
      <c r="O49">
        <f>'收入支出明细表（基础数据表）'!O49</f>
        <v>0</v>
      </c>
      <c r="P49">
        <f>'收入支出明细表（基础数据表）'!P49</f>
        <v>0</v>
      </c>
      <c r="Q49">
        <f>'收入支出明细表（基础数据表）'!Q49</f>
        <v>0</v>
      </c>
      <c r="R49">
        <f>'收入支出明细表（基础数据表）'!R49</f>
        <v>0</v>
      </c>
      <c r="S49">
        <f>'收入支出明细表（基础数据表）'!S49</f>
        <v>0</v>
      </c>
    </row>
    <row r="50">
      <c r="D50" t="str">
        <v>收款进度-金额</v>
      </c>
      <c r="E50">
        <f>'收入支出明细表（基础数据表）'!E50</f>
        <v>0</v>
      </c>
      <c r="F50">
        <f>'收入支出明细表（基础数据表）'!F50</f>
        <v>0</v>
      </c>
      <c r="G50">
        <f>'收入支出明细表（基础数据表）'!G50</f>
        <v>0</v>
      </c>
      <c r="H50">
        <f>'收入支出明细表（基础数据表）'!H50</f>
        <v>0</v>
      </c>
      <c r="I50">
        <f>'收入支出明细表（基础数据表）'!I50</f>
        <v>0</v>
      </c>
      <c r="J50">
        <f>'收入支出明细表（基础数据表）'!J50</f>
        <v>0</v>
      </c>
      <c r="K50">
        <f>'收入支出明细表（基础数据表）'!K50</f>
        <v>0</v>
      </c>
      <c r="L50">
        <f>'收入支出明细表（基础数据表）'!L50</f>
        <v>0</v>
      </c>
      <c r="M50">
        <f>'收入支出明细表（基础数据表）'!M50</f>
        <v>0</v>
      </c>
      <c r="N50">
        <f>'收入支出明细表（基础数据表）'!N50</f>
        <v>0</v>
      </c>
      <c r="O50">
        <f>'收入支出明细表（基础数据表）'!O50</f>
        <v>0</v>
      </c>
      <c r="P50">
        <f>'收入支出明细表（基础数据表）'!P50</f>
        <v>0</v>
      </c>
      <c r="Q50">
        <f>'收入支出明细表（基础数据表）'!Q50</f>
        <v>0</v>
      </c>
      <c r="R50">
        <f>'收入支出明细表（基础数据表）'!R50</f>
        <v>0</v>
      </c>
      <c r="S50">
        <f>'收入支出明细表（基础数据表）'!S50</f>
        <v>0</v>
      </c>
    </row>
    <row r="51">
      <c r="D51" t="str">
        <v>收款进度-比例</v>
      </c>
      <c r="E51">
        <f>'收入支出明细表（基础数据表）'!E51</f>
        <v>0</v>
      </c>
      <c r="F51">
        <f>'收入支出明细表（基础数据表）'!F51</f>
        <v>0</v>
      </c>
      <c r="G51">
        <f>'收入支出明细表（基础数据表）'!G51</f>
        <v>0</v>
      </c>
      <c r="H51" t="e">
        <f>'收入支出明细表（基础数据表）'!H51</f>
        <v>#DIV/0!</v>
      </c>
      <c r="I51" t="e">
        <f>'收入支出明细表（基础数据表）'!I51</f>
        <v>#DIV/0!</v>
      </c>
      <c r="J51" t="e">
        <f>'收入支出明细表（基础数据表）'!J51</f>
        <v>#DIV/0!</v>
      </c>
      <c r="K51" t="e">
        <f>'收入支出明细表（基础数据表）'!K51</f>
        <v>#DIV/0!</v>
      </c>
      <c r="L51" t="e">
        <f>'收入支出明细表（基础数据表）'!L51</f>
        <v>#DIV/0!</v>
      </c>
      <c r="M51" t="e">
        <f>'收入支出明细表（基础数据表）'!M51</f>
        <v>#DIV/0!</v>
      </c>
      <c r="N51" t="e">
        <f>'收入支出明细表（基础数据表）'!N51</f>
        <v>#DIV/0!</v>
      </c>
      <c r="O51" t="e">
        <f>'收入支出明细表（基础数据表）'!O51</f>
        <v>#DIV/0!</v>
      </c>
      <c r="P51" t="e">
        <f>'收入支出明细表（基础数据表）'!P51</f>
        <v>#DIV/0!</v>
      </c>
      <c r="Q51" t="e">
        <f>'收入支出明细表（基础数据表）'!Q51</f>
        <v>#DIV/0!</v>
      </c>
      <c r="R51" t="e">
        <f>'收入支出明细表（基础数据表）'!R51</f>
        <v>#DIV/0!</v>
      </c>
      <c r="S51" t="e">
        <f>'收入支出明细表（基础数据表）'!S51</f>
        <v>#DIV/0!</v>
      </c>
    </row>
    <row r="52">
      <c r="C52" t="str">
        <v xml:space="preserve">        IMS固话</v>
      </c>
      <c r="D52" t="str">
        <v>收入</v>
      </c>
      <c r="E52">
        <f>'收入支出明细表（基础数据表）'!E52</f>
        <v>0</v>
      </c>
      <c r="F52">
        <f>'收入支出明细表（基础数据表）'!F52</f>
        <v>0.09</v>
      </c>
      <c r="G52">
        <f>'收入支出明细表（基础数据表）'!G52</f>
        <v>0</v>
      </c>
      <c r="H52">
        <f>'收入支出明细表（基础数据表）'!H52</f>
        <v>0</v>
      </c>
      <c r="I52">
        <f>'收入支出明细表（基础数据表）'!I52</f>
        <v>0</v>
      </c>
      <c r="J52">
        <f>'收入支出明细表（基础数据表）'!J52</f>
        <v>0</v>
      </c>
      <c r="K52">
        <f>'收入支出明细表（基础数据表）'!K52</f>
        <v>0</v>
      </c>
      <c r="L52">
        <f>'收入支出明细表（基础数据表）'!L52</f>
        <v>0</v>
      </c>
      <c r="M52">
        <f>'收入支出明细表（基础数据表）'!M52</f>
        <v>0</v>
      </c>
      <c r="N52">
        <f>'收入支出明细表（基础数据表）'!N52</f>
        <v>0</v>
      </c>
      <c r="O52">
        <f>'收入支出明细表（基础数据表）'!O52</f>
        <v>0</v>
      </c>
      <c r="P52">
        <f>'收入支出明细表（基础数据表）'!P52</f>
        <v>0</v>
      </c>
      <c r="Q52">
        <f>'收入支出明细表（基础数据表）'!Q52</f>
        <v>0</v>
      </c>
      <c r="R52">
        <f>'收入支出明细表（基础数据表）'!R52</f>
        <v>0</v>
      </c>
      <c r="S52">
        <f>'收入支出明细表（基础数据表）'!S52</f>
        <v>0</v>
      </c>
    </row>
    <row r="53">
      <c r="D53" t="str">
        <v>收款进度-金额</v>
      </c>
      <c r="E53">
        <f>'收入支出明细表（基础数据表）'!E53</f>
        <v>0</v>
      </c>
      <c r="F53">
        <f>'收入支出明细表（基础数据表）'!F53</f>
        <v>0</v>
      </c>
      <c r="G53">
        <f>'收入支出明细表（基础数据表）'!G53</f>
        <v>0</v>
      </c>
      <c r="H53">
        <f>'收入支出明细表（基础数据表）'!H53</f>
        <v>0</v>
      </c>
      <c r="I53">
        <f>'收入支出明细表（基础数据表）'!I53</f>
        <v>0</v>
      </c>
      <c r="J53">
        <f>'收入支出明细表（基础数据表）'!J53</f>
        <v>0</v>
      </c>
      <c r="K53">
        <f>'收入支出明细表（基础数据表）'!K53</f>
        <v>0</v>
      </c>
      <c r="L53">
        <f>'收入支出明细表（基础数据表）'!L53</f>
        <v>0</v>
      </c>
      <c r="M53">
        <f>'收入支出明细表（基础数据表）'!M53</f>
        <v>0</v>
      </c>
      <c r="N53">
        <f>'收入支出明细表（基础数据表）'!N53</f>
        <v>0</v>
      </c>
      <c r="O53">
        <f>'收入支出明细表（基础数据表）'!O53</f>
        <v>0</v>
      </c>
      <c r="P53">
        <f>'收入支出明细表（基础数据表）'!P53</f>
        <v>0</v>
      </c>
      <c r="Q53">
        <f>'收入支出明细表（基础数据表）'!Q53</f>
        <v>0</v>
      </c>
      <c r="R53">
        <f>'收入支出明细表（基础数据表）'!R53</f>
        <v>0</v>
      </c>
      <c r="S53">
        <f>'收入支出明细表（基础数据表）'!S53</f>
        <v>0</v>
      </c>
    </row>
    <row r="54">
      <c r="D54" t="str">
        <v>收款进度-比例</v>
      </c>
      <c r="E54">
        <f>'收入支出明细表（基础数据表）'!E54</f>
        <v>0</v>
      </c>
      <c r="F54">
        <f>'收入支出明细表（基础数据表）'!F54</f>
        <v>0</v>
      </c>
      <c r="G54">
        <f>'收入支出明细表（基础数据表）'!G54</f>
        <v>0</v>
      </c>
      <c r="H54" t="e">
        <f>'收入支出明细表（基础数据表）'!H54</f>
        <v>#DIV/0!</v>
      </c>
      <c r="I54" t="e">
        <f>'收入支出明细表（基础数据表）'!I54</f>
        <v>#DIV/0!</v>
      </c>
      <c r="J54" t="e">
        <f>'收入支出明细表（基础数据表）'!J54</f>
        <v>#DIV/0!</v>
      </c>
      <c r="K54" t="e">
        <f>'收入支出明细表（基础数据表）'!K54</f>
        <v>#DIV/0!</v>
      </c>
      <c r="L54" t="e">
        <f>'收入支出明细表（基础数据表）'!L54</f>
        <v>#DIV/0!</v>
      </c>
      <c r="M54" t="e">
        <f>'收入支出明细表（基础数据表）'!M54</f>
        <v>#DIV/0!</v>
      </c>
      <c r="N54" t="e">
        <f>'收入支出明细表（基础数据表）'!N54</f>
        <v>#DIV/0!</v>
      </c>
      <c r="O54" t="e">
        <f>'收入支出明细表（基础数据表）'!O54</f>
        <v>#DIV/0!</v>
      </c>
      <c r="P54" t="e">
        <f>'收入支出明细表（基础数据表）'!P54</f>
        <v>#DIV/0!</v>
      </c>
      <c r="Q54" t="e">
        <f>'收入支出明细表（基础数据表）'!Q54</f>
        <v>#DIV/0!</v>
      </c>
      <c r="R54" t="e">
        <f>'收入支出明细表（基础数据表）'!R54</f>
        <v>#DIV/0!</v>
      </c>
      <c r="S54" t="e">
        <f>'收入支出明细表（基础数据表）'!S54</f>
        <v>#DIV/0!</v>
      </c>
    </row>
    <row r="55">
      <c r="C55" t="str">
        <v xml:space="preserve">        语音专线</v>
      </c>
      <c r="D55" t="str">
        <v>收入</v>
      </c>
      <c r="E55">
        <f>'收入支出明细表（基础数据表）'!E55</f>
        <v>0</v>
      </c>
      <c r="F55">
        <f>'收入支出明细表（基础数据表）'!F55</f>
        <v>0.09</v>
      </c>
      <c r="G55">
        <f>'收入支出明细表（基础数据表）'!G55</f>
        <v>0</v>
      </c>
      <c r="H55">
        <f>'收入支出明细表（基础数据表）'!H55</f>
        <v>0</v>
      </c>
      <c r="I55">
        <f>'收入支出明细表（基础数据表）'!I55</f>
        <v>0</v>
      </c>
      <c r="J55">
        <f>'收入支出明细表（基础数据表）'!J55</f>
        <v>0</v>
      </c>
      <c r="K55">
        <f>'收入支出明细表（基础数据表）'!K55</f>
        <v>0</v>
      </c>
      <c r="L55">
        <f>'收入支出明细表（基础数据表）'!L55</f>
        <v>0</v>
      </c>
      <c r="M55">
        <f>'收入支出明细表（基础数据表）'!M55</f>
        <v>0</v>
      </c>
      <c r="N55">
        <f>'收入支出明细表（基础数据表）'!N55</f>
        <v>0</v>
      </c>
      <c r="O55">
        <f>'收入支出明细表（基础数据表）'!O55</f>
        <v>0</v>
      </c>
      <c r="P55">
        <f>'收入支出明细表（基础数据表）'!P55</f>
        <v>0</v>
      </c>
      <c r="Q55">
        <f>'收入支出明细表（基础数据表）'!Q55</f>
        <v>0</v>
      </c>
      <c r="R55">
        <f>'收入支出明细表（基础数据表）'!R55</f>
        <v>0</v>
      </c>
      <c r="S55">
        <f>'收入支出明细表（基础数据表）'!S55</f>
        <v>0</v>
      </c>
    </row>
    <row r="56">
      <c r="D56" t="str">
        <v>收款进度-金额</v>
      </c>
      <c r="E56">
        <f>'收入支出明细表（基础数据表）'!E56</f>
        <v>0</v>
      </c>
      <c r="F56">
        <f>'收入支出明细表（基础数据表）'!F56</f>
        <v>0</v>
      </c>
      <c r="G56">
        <f>'收入支出明细表（基础数据表）'!G56</f>
        <v>0</v>
      </c>
      <c r="H56">
        <f>'收入支出明细表（基础数据表）'!H56</f>
        <v>0</v>
      </c>
      <c r="I56">
        <f>'收入支出明细表（基础数据表）'!I56</f>
        <v>0</v>
      </c>
      <c r="J56">
        <f>'收入支出明细表（基础数据表）'!J56</f>
        <v>0</v>
      </c>
      <c r="K56">
        <f>'收入支出明细表（基础数据表）'!K56</f>
        <v>0</v>
      </c>
      <c r="L56">
        <f>'收入支出明细表（基础数据表）'!L56</f>
        <v>0</v>
      </c>
      <c r="M56">
        <f>'收入支出明细表（基础数据表）'!M56</f>
        <v>0</v>
      </c>
      <c r="N56">
        <f>'收入支出明细表（基础数据表）'!N56</f>
        <v>0</v>
      </c>
      <c r="O56">
        <f>'收入支出明细表（基础数据表）'!O56</f>
        <v>0</v>
      </c>
      <c r="P56">
        <f>'收入支出明细表（基础数据表）'!P56</f>
        <v>0</v>
      </c>
      <c r="Q56">
        <f>'收入支出明细表（基础数据表）'!Q56</f>
        <v>0</v>
      </c>
      <c r="R56">
        <f>'收入支出明细表（基础数据表）'!R56</f>
        <v>0</v>
      </c>
      <c r="S56">
        <f>'收入支出明细表（基础数据表）'!S56</f>
        <v>0</v>
      </c>
    </row>
    <row r="57">
      <c r="D57" t="str">
        <v>收款进度-比例</v>
      </c>
      <c r="E57">
        <f>'收入支出明细表（基础数据表）'!E57</f>
        <v>0</v>
      </c>
      <c r="F57">
        <f>'收入支出明细表（基础数据表）'!F57</f>
        <v>0</v>
      </c>
      <c r="G57">
        <f>'收入支出明细表（基础数据表）'!G57</f>
        <v>0</v>
      </c>
      <c r="H57" t="e">
        <f>'收入支出明细表（基础数据表）'!H57</f>
        <v>#DIV/0!</v>
      </c>
      <c r="I57" t="e">
        <f>'收入支出明细表（基础数据表）'!I57</f>
        <v>#DIV/0!</v>
      </c>
      <c r="J57" t="e">
        <f>'收入支出明细表（基础数据表）'!J57</f>
        <v>#DIV/0!</v>
      </c>
      <c r="K57" t="e">
        <f>'收入支出明细表（基础数据表）'!K57</f>
        <v>#DIV/0!</v>
      </c>
      <c r="L57" t="e">
        <f>'收入支出明细表（基础数据表）'!L57</f>
        <v>#DIV/0!</v>
      </c>
      <c r="M57" t="e">
        <f>'收入支出明细表（基础数据表）'!M57</f>
        <v>#DIV/0!</v>
      </c>
      <c r="N57" t="e">
        <f>'收入支出明细表（基础数据表）'!N57</f>
        <v>#DIV/0!</v>
      </c>
      <c r="O57" t="e">
        <f>'收入支出明细表（基础数据表）'!O57</f>
        <v>#DIV/0!</v>
      </c>
      <c r="P57" t="e">
        <f>'收入支出明细表（基础数据表）'!P57</f>
        <v>#DIV/0!</v>
      </c>
      <c r="Q57" t="e">
        <f>'收入支出明细表（基础数据表）'!Q57</f>
        <v>#DIV/0!</v>
      </c>
      <c r="R57" t="e">
        <f>'收入支出明细表（基础数据表）'!R57</f>
        <v>#DIV/0!</v>
      </c>
      <c r="S57" t="e">
        <f>'收入支出明细表（基础数据表）'!S57</f>
        <v>#DIV/0!</v>
      </c>
    </row>
    <row r="58">
      <c r="C58" t="str">
        <v xml:space="preserve">        ……</v>
      </c>
      <c r="E58">
        <f>'收入支出明细表（基础数据表）'!E58</f>
        <v>0</v>
      </c>
      <c r="F58">
        <f>'收入支出明细表（基础数据表）'!F58</f>
        <v>0</v>
      </c>
      <c r="G58">
        <f>'收入支出明细表（基础数据表）'!G58</f>
        <v>0</v>
      </c>
      <c r="H58">
        <f>'收入支出明细表（基础数据表）'!H58</f>
        <v>0</v>
      </c>
      <c r="I58">
        <f>'收入支出明细表（基础数据表）'!I58</f>
        <v>0</v>
      </c>
      <c r="J58">
        <f>'收入支出明细表（基础数据表）'!J58</f>
        <v>0</v>
      </c>
      <c r="K58">
        <f>'收入支出明细表（基础数据表）'!K58</f>
        <v>0</v>
      </c>
      <c r="L58">
        <f>'收入支出明细表（基础数据表）'!L58</f>
        <v>0</v>
      </c>
      <c r="M58">
        <f>'收入支出明细表（基础数据表）'!M58</f>
        <v>0</v>
      </c>
      <c r="N58">
        <f>'收入支出明细表（基础数据表）'!N58</f>
        <v>0</v>
      </c>
      <c r="O58">
        <f>'收入支出明细表（基础数据表）'!O58</f>
        <v>0</v>
      </c>
      <c r="P58">
        <f>'收入支出明细表（基础数据表）'!P58</f>
        <v>0</v>
      </c>
      <c r="Q58">
        <f>'收入支出明细表（基础数据表）'!Q58</f>
        <v>0</v>
      </c>
      <c r="R58">
        <f>'收入支出明细表（基础数据表）'!R58</f>
        <v>0</v>
      </c>
      <c r="S58">
        <f>'收入支出明细表（基础数据表）'!S58</f>
        <v>0</v>
      </c>
    </row>
    <row r="59">
      <c r="E59">
        <f>'收入支出明细表（基础数据表）'!E59</f>
        <v>0</v>
      </c>
      <c r="F59">
        <f>'收入支出明细表（基础数据表）'!F59</f>
        <v>0</v>
      </c>
      <c r="G59">
        <f>'收入支出明细表（基础数据表）'!G59</f>
        <v>0</v>
      </c>
      <c r="H59">
        <f>'收入支出明细表（基础数据表）'!H59</f>
        <v>0</v>
      </c>
      <c r="I59">
        <f>'收入支出明细表（基础数据表）'!I59</f>
        <v>0</v>
      </c>
      <c r="J59">
        <f>'收入支出明细表（基础数据表）'!J59</f>
        <v>0</v>
      </c>
      <c r="K59">
        <f>'收入支出明细表（基础数据表）'!K59</f>
        <v>0</v>
      </c>
      <c r="L59">
        <f>'收入支出明细表（基础数据表）'!L59</f>
        <v>0</v>
      </c>
      <c r="M59">
        <f>'收入支出明细表（基础数据表）'!M59</f>
        <v>0</v>
      </c>
      <c r="N59">
        <f>'收入支出明细表（基础数据表）'!N59</f>
        <v>0</v>
      </c>
      <c r="O59">
        <f>'收入支出明细表（基础数据表）'!O59</f>
        <v>0</v>
      </c>
      <c r="P59">
        <f>'收入支出明细表（基础数据表）'!P59</f>
        <v>0</v>
      </c>
      <c r="Q59">
        <f>'收入支出明细表（基础数据表）'!Q59</f>
        <v>0</v>
      </c>
      <c r="R59">
        <f>'收入支出明细表（基础数据表）'!R59</f>
        <v>0</v>
      </c>
      <c r="S59">
        <f>'收入支出明细表（基础数据表）'!S59</f>
        <v>0</v>
      </c>
    </row>
    <row r="60">
      <c r="E60">
        <f>'收入支出明细表（基础数据表）'!E60</f>
        <v>0</v>
      </c>
      <c r="F60">
        <f>'收入支出明细表（基础数据表）'!F60</f>
        <v>0</v>
      </c>
      <c r="G60">
        <f>'收入支出明细表（基础数据表）'!G60</f>
        <v>0</v>
      </c>
      <c r="H60">
        <f>'收入支出明细表（基础数据表）'!H60</f>
        <v>0</v>
      </c>
      <c r="I60">
        <f>'收入支出明细表（基础数据表）'!I60</f>
        <v>0</v>
      </c>
      <c r="J60">
        <f>'收入支出明细表（基础数据表）'!J60</f>
        <v>0</v>
      </c>
      <c r="K60">
        <f>'收入支出明细表（基础数据表）'!K60</f>
        <v>0</v>
      </c>
      <c r="L60">
        <f>'收入支出明细表（基础数据表）'!L60</f>
        <v>0</v>
      </c>
      <c r="M60">
        <f>'收入支出明细表（基础数据表）'!M60</f>
        <v>0</v>
      </c>
      <c r="N60">
        <f>'收入支出明细表（基础数据表）'!N60</f>
        <v>0</v>
      </c>
      <c r="O60">
        <f>'收入支出明细表（基础数据表）'!O60</f>
        <v>0</v>
      </c>
      <c r="P60">
        <f>'收入支出明细表（基础数据表）'!P60</f>
        <v>0</v>
      </c>
      <c r="Q60">
        <f>'收入支出明细表（基础数据表）'!Q60</f>
        <v>0</v>
      </c>
      <c r="R60">
        <f>'收入支出明细表（基础数据表）'!R60</f>
        <v>0</v>
      </c>
      <c r="S60">
        <f>'收入支出明细表（基础数据表）'!S60</f>
        <v>0</v>
      </c>
    </row>
    <row r="61">
      <c r="C61" t="str">
        <v>2、通信业务收入（增值电信服务）</v>
      </c>
      <c r="D61" t="str">
        <v>收入</v>
      </c>
      <c r="E61">
        <f>'收入支出明细表（基础数据表）'!E61</f>
        <v>0</v>
      </c>
      <c r="F61">
        <f>'收入支出明细表（基础数据表）'!F61</f>
        <v>0</v>
      </c>
      <c r="G61">
        <f>'收入支出明细表（基础数据表）'!G61</f>
        <v>0</v>
      </c>
      <c r="H61">
        <f>'收入支出明细表（基础数据表）'!H61</f>
        <v>0</v>
      </c>
      <c r="I61">
        <f>'收入支出明细表（基础数据表）'!I61</f>
        <v>0</v>
      </c>
      <c r="J61">
        <f>'收入支出明细表（基础数据表）'!J61</f>
        <v>0</v>
      </c>
      <c r="K61">
        <f>'收入支出明细表（基础数据表）'!K61</f>
        <v>0</v>
      </c>
      <c r="L61">
        <f>'收入支出明细表（基础数据表）'!L61</f>
        <v>0</v>
      </c>
      <c r="M61">
        <f>'收入支出明细表（基础数据表）'!M61</f>
        <v>0</v>
      </c>
      <c r="N61">
        <f>'收入支出明细表（基础数据表）'!N61</f>
        <v>0</v>
      </c>
      <c r="O61">
        <f>'收入支出明细表（基础数据表）'!O61</f>
        <v>0</v>
      </c>
      <c r="P61">
        <f>'收入支出明细表（基础数据表）'!P61</f>
        <v>0</v>
      </c>
      <c r="Q61">
        <f>'收入支出明细表（基础数据表）'!Q61</f>
        <v>0</v>
      </c>
      <c r="R61">
        <f>'收入支出明细表（基础数据表）'!R61</f>
        <v>0</v>
      </c>
      <c r="S61">
        <f>'收入支出明细表（基础数据表）'!S61</f>
        <v>0</v>
      </c>
    </row>
    <row r="62">
      <c r="D62" t="str">
        <v>收款进度-金额</v>
      </c>
      <c r="E62">
        <f>'收入支出明细表（基础数据表）'!E62</f>
        <v>0</v>
      </c>
      <c r="F62">
        <f>'收入支出明细表（基础数据表）'!F62</f>
        <v>0</v>
      </c>
      <c r="G62">
        <f>'收入支出明细表（基础数据表）'!G62</f>
        <v>0</v>
      </c>
      <c r="H62">
        <f>'收入支出明细表（基础数据表）'!H62</f>
        <v>0</v>
      </c>
      <c r="I62">
        <f>'收入支出明细表（基础数据表）'!I62</f>
        <v>0</v>
      </c>
      <c r="J62">
        <f>'收入支出明细表（基础数据表）'!J62</f>
        <v>0</v>
      </c>
      <c r="K62">
        <f>'收入支出明细表（基础数据表）'!K62</f>
        <v>0</v>
      </c>
      <c r="L62">
        <f>'收入支出明细表（基础数据表）'!L62</f>
        <v>0</v>
      </c>
      <c r="M62">
        <f>'收入支出明细表（基础数据表）'!M62</f>
        <v>0</v>
      </c>
      <c r="N62">
        <f>'收入支出明细表（基础数据表）'!N62</f>
        <v>0</v>
      </c>
      <c r="O62">
        <f>'收入支出明细表（基础数据表）'!O62</f>
        <v>0</v>
      </c>
      <c r="P62">
        <f>'收入支出明细表（基础数据表）'!P62</f>
        <v>0</v>
      </c>
      <c r="Q62">
        <f>'收入支出明细表（基础数据表）'!Q62</f>
        <v>0</v>
      </c>
      <c r="R62">
        <f>'收入支出明细表（基础数据表）'!R62</f>
        <v>0</v>
      </c>
      <c r="S62">
        <f>'收入支出明细表（基础数据表）'!S62</f>
        <v>0</v>
      </c>
    </row>
    <row r="63">
      <c r="D63" t="str">
        <v>收款进度-比例</v>
      </c>
      <c r="E63">
        <f>'收入支出明细表（基础数据表）'!E63</f>
        <v>0</v>
      </c>
      <c r="F63">
        <f>'收入支出明细表（基础数据表）'!F63</f>
        <v>0</v>
      </c>
      <c r="G63">
        <f>'收入支出明细表（基础数据表）'!G63</f>
        <v>0</v>
      </c>
      <c r="H63" t="e">
        <f>'收入支出明细表（基础数据表）'!H63</f>
        <v>#DIV/0!</v>
      </c>
      <c r="I63" t="e">
        <f>'收入支出明细表（基础数据表）'!I63</f>
        <v>#DIV/0!</v>
      </c>
      <c r="J63" t="e">
        <f>'收入支出明细表（基础数据表）'!J63</f>
        <v>#DIV/0!</v>
      </c>
      <c r="K63" t="e">
        <f>'收入支出明细表（基础数据表）'!K63</f>
        <v>#DIV/0!</v>
      </c>
      <c r="L63" t="e">
        <f>'收入支出明细表（基础数据表）'!L63</f>
        <v>#DIV/0!</v>
      </c>
      <c r="M63" t="e">
        <f>'收入支出明细表（基础数据表）'!M63</f>
        <v>#DIV/0!</v>
      </c>
      <c r="N63" t="e">
        <f>'收入支出明细表（基础数据表）'!N63</f>
        <v>#DIV/0!</v>
      </c>
      <c r="O63" t="e">
        <f>'收入支出明细表（基础数据表）'!O63</f>
        <v>#DIV/0!</v>
      </c>
      <c r="P63" t="e">
        <f>'收入支出明细表（基础数据表）'!P63</f>
        <v>#DIV/0!</v>
      </c>
      <c r="Q63" t="e">
        <f>'收入支出明细表（基础数据表）'!Q63</f>
        <v>#DIV/0!</v>
      </c>
      <c r="R63" t="e">
        <f>'收入支出明细表（基础数据表）'!R63</f>
        <v>#DIV/0!</v>
      </c>
      <c r="S63" t="e">
        <f>'收入支出明细表（基础数据表）'!S63</f>
        <v>#DIV/0!</v>
      </c>
    </row>
    <row r="64">
      <c r="C64" t="str">
        <v xml:space="preserve">        短信</v>
      </c>
      <c r="D64" t="str">
        <v>收入</v>
      </c>
      <c r="E64">
        <f>'收入支出明细表（基础数据表）'!E64</f>
        <v>0</v>
      </c>
      <c r="F64">
        <f>'收入支出明细表（基础数据表）'!F64</f>
        <v>0.06</v>
      </c>
      <c r="G64">
        <f>'收入支出明细表（基础数据表）'!G64</f>
        <v>0</v>
      </c>
      <c r="H64">
        <f>'收入支出明细表（基础数据表）'!H64</f>
        <v>0</v>
      </c>
      <c r="I64">
        <f>'收入支出明细表（基础数据表）'!I64</f>
        <v>0</v>
      </c>
      <c r="J64">
        <f>'收入支出明细表（基础数据表）'!J64</f>
        <v>0</v>
      </c>
      <c r="K64">
        <f>'收入支出明细表（基础数据表）'!K64</f>
        <v>0</v>
      </c>
      <c r="L64">
        <f>'收入支出明细表（基础数据表）'!L64</f>
        <v>0</v>
      </c>
      <c r="M64">
        <f>'收入支出明细表（基础数据表）'!M64</f>
        <v>0</v>
      </c>
      <c r="N64">
        <f>'收入支出明细表（基础数据表）'!N64</f>
        <v>0</v>
      </c>
      <c r="O64">
        <f>'收入支出明细表（基础数据表）'!O64</f>
        <v>0</v>
      </c>
      <c r="P64">
        <f>'收入支出明细表（基础数据表）'!P64</f>
        <v>0</v>
      </c>
      <c r="Q64">
        <f>'收入支出明细表（基础数据表）'!Q64</f>
        <v>0</v>
      </c>
      <c r="R64">
        <f>'收入支出明细表（基础数据表）'!R64</f>
        <v>0</v>
      </c>
      <c r="S64">
        <f>'收入支出明细表（基础数据表）'!S64</f>
        <v>0</v>
      </c>
    </row>
    <row r="65">
      <c r="D65" t="str">
        <v>收款进度-金额</v>
      </c>
      <c r="E65">
        <f>'收入支出明细表（基础数据表）'!E65</f>
        <v>0</v>
      </c>
      <c r="F65">
        <f>'收入支出明细表（基础数据表）'!F65</f>
        <v>0</v>
      </c>
      <c r="G65">
        <f>'收入支出明细表（基础数据表）'!G65</f>
        <v>0</v>
      </c>
      <c r="H65">
        <f>'收入支出明细表（基础数据表）'!H65</f>
        <v>0</v>
      </c>
      <c r="I65">
        <f>'收入支出明细表（基础数据表）'!I65</f>
        <v>0</v>
      </c>
      <c r="J65">
        <f>'收入支出明细表（基础数据表）'!J65</f>
        <v>0</v>
      </c>
      <c r="K65">
        <f>'收入支出明细表（基础数据表）'!K65</f>
        <v>0</v>
      </c>
      <c r="L65">
        <f>'收入支出明细表（基础数据表）'!L65</f>
        <v>0</v>
      </c>
      <c r="M65">
        <f>'收入支出明细表（基础数据表）'!M65</f>
        <v>0</v>
      </c>
      <c r="N65">
        <f>'收入支出明细表（基础数据表）'!N65</f>
        <v>0</v>
      </c>
      <c r="O65">
        <f>'收入支出明细表（基础数据表）'!O65</f>
        <v>0</v>
      </c>
      <c r="P65">
        <f>'收入支出明细表（基础数据表）'!P65</f>
        <v>0</v>
      </c>
      <c r="Q65">
        <f>'收入支出明细表（基础数据表）'!Q65</f>
        <v>0</v>
      </c>
      <c r="R65">
        <f>'收入支出明细表（基础数据表）'!R65</f>
        <v>0</v>
      </c>
      <c r="S65">
        <f>'收入支出明细表（基础数据表）'!S65</f>
        <v>0</v>
      </c>
    </row>
    <row r="66">
      <c r="D66" t="str">
        <v>收款进度-比例</v>
      </c>
      <c r="E66">
        <f>'收入支出明细表（基础数据表）'!E66</f>
        <v>0</v>
      </c>
      <c r="F66">
        <f>'收入支出明细表（基础数据表）'!F66</f>
        <v>0</v>
      </c>
      <c r="G66">
        <f>'收入支出明细表（基础数据表）'!G66</f>
        <v>0</v>
      </c>
      <c r="H66" t="e">
        <f>'收入支出明细表（基础数据表）'!H66</f>
        <v>#DIV/0!</v>
      </c>
      <c r="I66" t="e">
        <f>'收入支出明细表（基础数据表）'!I66</f>
        <v>#DIV/0!</v>
      </c>
      <c r="J66" t="e">
        <f>'收入支出明细表（基础数据表）'!J66</f>
        <v>#DIV/0!</v>
      </c>
      <c r="K66" t="e">
        <f>'收入支出明细表（基础数据表）'!K66</f>
        <v>#DIV/0!</v>
      </c>
      <c r="L66" t="e">
        <f>'收入支出明细表（基础数据表）'!L66</f>
        <v>#DIV/0!</v>
      </c>
      <c r="M66" t="e">
        <f>'收入支出明细表（基础数据表）'!M66</f>
        <v>#DIV/0!</v>
      </c>
      <c r="N66" t="e">
        <f>'收入支出明细表（基础数据表）'!N66</f>
        <v>#DIV/0!</v>
      </c>
      <c r="O66" t="e">
        <f>'收入支出明细表（基础数据表）'!O66</f>
        <v>#DIV/0!</v>
      </c>
      <c r="P66" t="e">
        <f>'收入支出明细表（基础数据表）'!P66</f>
        <v>#DIV/0!</v>
      </c>
      <c r="Q66" t="e">
        <f>'收入支出明细表（基础数据表）'!Q66</f>
        <v>#DIV/0!</v>
      </c>
      <c r="R66" t="e">
        <f>'收入支出明细表（基础数据表）'!R66</f>
        <v>#DIV/0!</v>
      </c>
      <c r="S66" t="e">
        <f>'收入支出明细表（基础数据表）'!S66</f>
        <v>#DIV/0!</v>
      </c>
    </row>
    <row r="67">
      <c r="C67" t="str">
        <v xml:space="preserve">        数据流量</v>
      </c>
      <c r="D67" t="str">
        <v>收入</v>
      </c>
      <c r="E67">
        <f>'收入支出明细表（基础数据表）'!E67</f>
        <v>0</v>
      </c>
      <c r="F67">
        <f>'收入支出明细表（基础数据表）'!F67</f>
        <v>0.06</v>
      </c>
      <c r="G67">
        <f>'收入支出明细表（基础数据表）'!G67</f>
        <v>0</v>
      </c>
      <c r="H67">
        <f>'收入支出明细表（基础数据表）'!H67</f>
        <v>0</v>
      </c>
      <c r="I67">
        <f>'收入支出明细表（基础数据表）'!I67</f>
        <v>0</v>
      </c>
      <c r="J67">
        <f>'收入支出明细表（基础数据表）'!J67</f>
        <v>0</v>
      </c>
      <c r="K67">
        <f>'收入支出明细表（基础数据表）'!K67</f>
        <v>0</v>
      </c>
      <c r="L67">
        <f>'收入支出明细表（基础数据表）'!L67</f>
        <v>0</v>
      </c>
      <c r="M67">
        <f>'收入支出明细表（基础数据表）'!M67</f>
        <v>0</v>
      </c>
      <c r="N67">
        <f>'收入支出明细表（基础数据表）'!N67</f>
        <v>0</v>
      </c>
      <c r="O67">
        <f>'收入支出明细表（基础数据表）'!O67</f>
        <v>0</v>
      </c>
      <c r="P67">
        <f>'收入支出明细表（基础数据表）'!P67</f>
        <v>0</v>
      </c>
      <c r="Q67">
        <f>'收入支出明细表（基础数据表）'!Q67</f>
        <v>0</v>
      </c>
      <c r="R67">
        <f>'收入支出明细表（基础数据表）'!R67</f>
        <v>0</v>
      </c>
      <c r="S67">
        <f>'收入支出明细表（基础数据表）'!S67</f>
        <v>0</v>
      </c>
    </row>
    <row r="68">
      <c r="D68" t="str">
        <v>收款进度-金额</v>
      </c>
      <c r="E68">
        <f>'收入支出明细表（基础数据表）'!E68</f>
        <v>0</v>
      </c>
      <c r="F68">
        <f>'收入支出明细表（基础数据表）'!F68</f>
        <v>0</v>
      </c>
      <c r="G68">
        <f>'收入支出明细表（基础数据表）'!G68</f>
        <v>0</v>
      </c>
      <c r="H68">
        <f>'收入支出明细表（基础数据表）'!H68</f>
        <v>0</v>
      </c>
      <c r="I68">
        <f>'收入支出明细表（基础数据表）'!I68</f>
        <v>0</v>
      </c>
      <c r="J68">
        <f>'收入支出明细表（基础数据表）'!J68</f>
        <v>0</v>
      </c>
      <c r="K68">
        <f>'收入支出明细表（基础数据表）'!K68</f>
        <v>0</v>
      </c>
      <c r="L68">
        <f>'收入支出明细表（基础数据表）'!L68</f>
        <v>0</v>
      </c>
      <c r="M68">
        <f>'收入支出明细表（基础数据表）'!M68</f>
        <v>0</v>
      </c>
      <c r="N68">
        <f>'收入支出明细表（基础数据表）'!N68</f>
        <v>0</v>
      </c>
      <c r="O68">
        <f>'收入支出明细表（基础数据表）'!O68</f>
        <v>0</v>
      </c>
      <c r="P68">
        <f>'收入支出明细表（基础数据表）'!P68</f>
        <v>0</v>
      </c>
      <c r="Q68">
        <f>'收入支出明细表（基础数据表）'!Q68</f>
        <v>0</v>
      </c>
      <c r="R68">
        <f>'收入支出明细表（基础数据表）'!R68</f>
        <v>0</v>
      </c>
      <c r="S68">
        <f>'收入支出明细表（基础数据表）'!S68</f>
        <v>0</v>
      </c>
    </row>
    <row r="69">
      <c r="D69" t="str">
        <v>收款进度-比例</v>
      </c>
      <c r="E69">
        <f>'收入支出明细表（基础数据表）'!E69</f>
        <v>0</v>
      </c>
      <c r="F69">
        <f>'收入支出明细表（基础数据表）'!F69</f>
        <v>0</v>
      </c>
      <c r="G69">
        <f>'收入支出明细表（基础数据表）'!G69</f>
        <v>0</v>
      </c>
      <c r="H69" t="e">
        <f>'收入支出明细表（基础数据表）'!H69</f>
        <v>#DIV/0!</v>
      </c>
      <c r="I69" t="e">
        <f>'收入支出明细表（基础数据表）'!I69</f>
        <v>#DIV/0!</v>
      </c>
      <c r="J69" t="e">
        <f>'收入支出明细表（基础数据表）'!J69</f>
        <v>#DIV/0!</v>
      </c>
      <c r="K69" t="e">
        <f>'收入支出明细表（基础数据表）'!K69</f>
        <v>#DIV/0!</v>
      </c>
      <c r="L69" t="e">
        <f>'收入支出明细表（基础数据表）'!L69</f>
        <v>#DIV/0!</v>
      </c>
      <c r="M69" t="e">
        <f>'收入支出明细表（基础数据表）'!M69</f>
        <v>#DIV/0!</v>
      </c>
      <c r="N69" t="e">
        <f>'收入支出明细表（基础数据表）'!N69</f>
        <v>#DIV/0!</v>
      </c>
      <c r="O69" t="e">
        <f>'收入支出明细表（基础数据表）'!O69</f>
        <v>#DIV/0!</v>
      </c>
      <c r="P69" t="e">
        <f>'收入支出明细表（基础数据表）'!P69</f>
        <v>#DIV/0!</v>
      </c>
      <c r="Q69" t="e">
        <f>'收入支出明细表（基础数据表）'!Q69</f>
        <v>#DIV/0!</v>
      </c>
      <c r="R69" t="e">
        <f>'收入支出明细表（基础数据表）'!R69</f>
        <v>#DIV/0!</v>
      </c>
      <c r="S69" t="e">
        <f>'收入支出明细表（基础数据表）'!S69</f>
        <v>#DIV/0!</v>
      </c>
    </row>
    <row r="70">
      <c r="C70" t="str">
        <v xml:space="preserve">        企业宽带</v>
      </c>
      <c r="D70" t="str">
        <v>收入</v>
      </c>
      <c r="E70">
        <f>'收入支出明细表（基础数据表）'!E70</f>
        <v>0</v>
      </c>
      <c r="F70">
        <f>'收入支出明细表（基础数据表）'!F70</f>
        <v>0.06</v>
      </c>
      <c r="G70">
        <f>'收入支出明细表（基础数据表）'!G70</f>
        <v>0</v>
      </c>
      <c r="H70">
        <f>'收入支出明细表（基础数据表）'!H70</f>
        <v>0</v>
      </c>
      <c r="I70">
        <f>'收入支出明细表（基础数据表）'!I70</f>
        <v>0</v>
      </c>
      <c r="J70">
        <f>'收入支出明细表（基础数据表）'!J70</f>
        <v>0</v>
      </c>
      <c r="K70">
        <f>'收入支出明细表（基础数据表）'!K70</f>
        <v>0</v>
      </c>
      <c r="L70">
        <f>'收入支出明细表（基础数据表）'!L70</f>
        <v>0</v>
      </c>
      <c r="M70">
        <f>'收入支出明细表（基础数据表）'!M70</f>
        <v>0</v>
      </c>
      <c r="N70">
        <f>'收入支出明细表（基础数据表）'!N70</f>
        <v>0</v>
      </c>
      <c r="O70">
        <f>'收入支出明细表（基础数据表）'!O70</f>
        <v>0</v>
      </c>
      <c r="P70">
        <f>'收入支出明细表（基础数据表）'!P70</f>
        <v>0</v>
      </c>
      <c r="Q70">
        <f>'收入支出明细表（基础数据表）'!Q70</f>
        <v>0</v>
      </c>
      <c r="R70">
        <f>'收入支出明细表（基础数据表）'!R70</f>
        <v>0</v>
      </c>
      <c r="S70">
        <f>'收入支出明细表（基础数据表）'!S70</f>
        <v>0</v>
      </c>
    </row>
    <row r="71">
      <c r="D71" t="str">
        <v>收款进度-金额</v>
      </c>
      <c r="E71">
        <f>'收入支出明细表（基础数据表）'!E71</f>
        <v>0</v>
      </c>
      <c r="F71">
        <f>'收入支出明细表（基础数据表）'!F71</f>
        <v>0</v>
      </c>
      <c r="G71">
        <f>'收入支出明细表（基础数据表）'!G71</f>
        <v>0</v>
      </c>
      <c r="H71">
        <f>'收入支出明细表（基础数据表）'!H71</f>
        <v>0</v>
      </c>
      <c r="I71">
        <f>'收入支出明细表（基础数据表）'!I71</f>
        <v>0</v>
      </c>
      <c r="J71">
        <f>'收入支出明细表（基础数据表）'!J71</f>
        <v>0</v>
      </c>
      <c r="K71">
        <f>'收入支出明细表（基础数据表）'!K71</f>
        <v>0</v>
      </c>
      <c r="L71">
        <f>'收入支出明细表（基础数据表）'!L71</f>
        <v>0</v>
      </c>
      <c r="M71">
        <f>'收入支出明细表（基础数据表）'!M71</f>
        <v>0</v>
      </c>
      <c r="N71">
        <f>'收入支出明细表（基础数据表）'!N71</f>
        <v>0</v>
      </c>
      <c r="O71">
        <f>'收入支出明细表（基础数据表）'!O71</f>
        <v>0</v>
      </c>
      <c r="P71">
        <f>'收入支出明细表（基础数据表）'!P71</f>
        <v>0</v>
      </c>
      <c r="Q71">
        <f>'收入支出明细表（基础数据表）'!Q71</f>
        <v>0</v>
      </c>
      <c r="R71">
        <f>'收入支出明细表（基础数据表）'!R71</f>
        <v>0</v>
      </c>
      <c r="S71">
        <f>'收入支出明细表（基础数据表）'!S71</f>
        <v>0</v>
      </c>
    </row>
    <row r="72">
      <c r="D72" t="str">
        <v>收款进度-比例</v>
      </c>
      <c r="E72">
        <f>'收入支出明细表（基础数据表）'!E72</f>
        <v>0</v>
      </c>
      <c r="F72">
        <f>'收入支出明细表（基础数据表）'!F72</f>
        <v>0</v>
      </c>
      <c r="G72">
        <f>'收入支出明细表（基础数据表）'!G72</f>
        <v>0</v>
      </c>
      <c r="H72" t="e">
        <f>'收入支出明细表（基础数据表）'!H72</f>
        <v>#DIV/0!</v>
      </c>
      <c r="I72" t="e">
        <f>'收入支出明细表（基础数据表）'!I72</f>
        <v>#DIV/0!</v>
      </c>
      <c r="J72" t="e">
        <f>'收入支出明细表（基础数据表）'!J72</f>
        <v>#DIV/0!</v>
      </c>
      <c r="K72" t="e">
        <f>'收入支出明细表（基础数据表）'!K72</f>
        <v>#DIV/0!</v>
      </c>
      <c r="L72" t="e">
        <f>'收入支出明细表（基础数据表）'!L72</f>
        <v>#DIV/0!</v>
      </c>
      <c r="M72" t="e">
        <f>'收入支出明细表（基础数据表）'!M72</f>
        <v>#DIV/0!</v>
      </c>
      <c r="N72" t="e">
        <f>'收入支出明细表（基础数据表）'!N72</f>
        <v>#DIV/0!</v>
      </c>
      <c r="O72" t="e">
        <f>'收入支出明细表（基础数据表）'!O72</f>
        <v>#DIV/0!</v>
      </c>
      <c r="P72" t="e">
        <f>'收入支出明细表（基础数据表）'!P72</f>
        <v>#DIV/0!</v>
      </c>
      <c r="Q72" t="e">
        <f>'收入支出明细表（基础数据表）'!Q72</f>
        <v>#DIV/0!</v>
      </c>
      <c r="R72" t="e">
        <f>'收入支出明细表（基础数据表）'!R72</f>
        <v>#DIV/0!</v>
      </c>
      <c r="S72" t="e">
        <f>'收入支出明细表（基础数据表）'!S72</f>
        <v>#DIV/0!</v>
      </c>
    </row>
    <row r="73">
      <c r="C73" t="str">
        <v xml:space="preserve">        互联网专线</v>
      </c>
      <c r="D73" t="str">
        <v>收入</v>
      </c>
      <c r="E73">
        <f>'收入支出明细表（基础数据表）'!E73</f>
        <v>0</v>
      </c>
      <c r="F73">
        <f>'收入支出明细表（基础数据表）'!F73</f>
        <v>0.06</v>
      </c>
      <c r="G73">
        <f>'收入支出明细表（基础数据表）'!G73</f>
        <v>0</v>
      </c>
      <c r="H73">
        <f>'收入支出明细表（基础数据表）'!H73</f>
        <v>0</v>
      </c>
      <c r="I73">
        <f>'收入支出明细表（基础数据表）'!I73</f>
        <v>0</v>
      </c>
      <c r="J73">
        <f>'收入支出明细表（基础数据表）'!J73</f>
        <v>0</v>
      </c>
      <c r="K73">
        <f>'收入支出明细表（基础数据表）'!K73</f>
        <v>0</v>
      </c>
      <c r="L73">
        <f>'收入支出明细表（基础数据表）'!L73</f>
        <v>0</v>
      </c>
      <c r="M73">
        <f>'收入支出明细表（基础数据表）'!M73</f>
        <v>0</v>
      </c>
      <c r="N73">
        <f>'收入支出明细表（基础数据表）'!N73</f>
        <v>0</v>
      </c>
      <c r="O73">
        <f>'收入支出明细表（基础数据表）'!O73</f>
        <v>0</v>
      </c>
      <c r="P73">
        <f>'收入支出明细表（基础数据表）'!P73</f>
        <v>0</v>
      </c>
      <c r="Q73">
        <f>'收入支出明细表（基础数据表）'!Q73</f>
        <v>0</v>
      </c>
      <c r="R73">
        <f>'收入支出明细表（基础数据表）'!R73</f>
        <v>0</v>
      </c>
      <c r="S73">
        <f>'收入支出明细表（基础数据表）'!S73</f>
        <v>0</v>
      </c>
    </row>
    <row r="74">
      <c r="D74" t="str">
        <v>收款进度-金额</v>
      </c>
      <c r="E74">
        <f>'收入支出明细表（基础数据表）'!E74</f>
        <v>0</v>
      </c>
      <c r="F74">
        <f>'收入支出明细表（基础数据表）'!F74</f>
        <v>0</v>
      </c>
      <c r="G74">
        <f>'收入支出明细表（基础数据表）'!G74</f>
        <v>0</v>
      </c>
      <c r="H74">
        <f>'收入支出明细表（基础数据表）'!H74</f>
        <v>0</v>
      </c>
      <c r="I74">
        <f>'收入支出明细表（基础数据表）'!I74</f>
        <v>0</v>
      </c>
      <c r="J74">
        <f>'收入支出明细表（基础数据表）'!J74</f>
        <v>0</v>
      </c>
      <c r="K74">
        <f>'收入支出明细表（基础数据表）'!K74</f>
        <v>0</v>
      </c>
      <c r="L74">
        <f>'收入支出明细表（基础数据表）'!L74</f>
        <v>0</v>
      </c>
      <c r="M74">
        <f>'收入支出明细表（基础数据表）'!M74</f>
        <v>0</v>
      </c>
      <c r="N74">
        <f>'收入支出明细表（基础数据表）'!N74</f>
        <v>0</v>
      </c>
      <c r="O74">
        <f>'收入支出明细表（基础数据表）'!O74</f>
        <v>0</v>
      </c>
      <c r="P74">
        <f>'收入支出明细表（基础数据表）'!P74</f>
        <v>0</v>
      </c>
      <c r="Q74">
        <f>'收入支出明细表（基础数据表）'!Q74</f>
        <v>0</v>
      </c>
      <c r="R74">
        <f>'收入支出明细表（基础数据表）'!R74</f>
        <v>0</v>
      </c>
      <c r="S74">
        <f>'收入支出明细表（基础数据表）'!S74</f>
        <v>0</v>
      </c>
    </row>
    <row r="75">
      <c r="D75" t="str">
        <v>收款进度-比例</v>
      </c>
      <c r="E75">
        <f>'收入支出明细表（基础数据表）'!E75</f>
        <v>0</v>
      </c>
      <c r="F75">
        <f>'收入支出明细表（基础数据表）'!F75</f>
        <v>0</v>
      </c>
      <c r="G75">
        <f>'收入支出明细表（基础数据表）'!G75</f>
        <v>0</v>
      </c>
      <c r="H75" t="e">
        <f>'收入支出明细表（基础数据表）'!H75</f>
        <v>#DIV/0!</v>
      </c>
      <c r="I75" t="e">
        <f>'收入支出明细表（基础数据表）'!I75</f>
        <v>#DIV/0!</v>
      </c>
      <c r="J75" t="e">
        <f>'收入支出明细表（基础数据表）'!J75</f>
        <v>#DIV/0!</v>
      </c>
      <c r="K75" t="e">
        <f>'收入支出明细表（基础数据表）'!K75</f>
        <v>#DIV/0!</v>
      </c>
      <c r="L75" t="e">
        <f>'收入支出明细表（基础数据表）'!L75</f>
        <v>#DIV/0!</v>
      </c>
      <c r="M75" t="e">
        <f>'收入支出明细表（基础数据表）'!M75</f>
        <v>#DIV/0!</v>
      </c>
      <c r="N75" t="e">
        <f>'收入支出明细表（基础数据表）'!N75</f>
        <v>#DIV/0!</v>
      </c>
      <c r="O75" t="e">
        <f>'收入支出明细表（基础数据表）'!O75</f>
        <v>#DIV/0!</v>
      </c>
      <c r="P75" t="e">
        <f>'收入支出明细表（基础数据表）'!P75</f>
        <v>#DIV/0!</v>
      </c>
      <c r="Q75" t="e">
        <f>'收入支出明细表（基础数据表）'!Q75</f>
        <v>#DIV/0!</v>
      </c>
      <c r="R75" t="e">
        <f>'收入支出明细表（基础数据表）'!R75</f>
        <v>#DIV/0!</v>
      </c>
      <c r="S75" t="e">
        <f>'收入支出明细表（基础数据表）'!S75</f>
        <v>#DIV/0!</v>
      </c>
    </row>
    <row r="76">
      <c r="C76" t="str">
        <v xml:space="preserve">        云计算</v>
      </c>
      <c r="D76" t="str">
        <v>收入</v>
      </c>
      <c r="E76">
        <f>'收入支出明细表（基础数据表）'!E76</f>
        <v>0</v>
      </c>
      <c r="F76">
        <f>'收入支出明细表（基础数据表）'!F76</f>
        <v>0.06</v>
      </c>
      <c r="G76">
        <f>'收入支出明细表（基础数据表）'!G76</f>
        <v>0</v>
      </c>
      <c r="H76">
        <f>'收入支出明细表（基础数据表）'!H76</f>
        <v>0</v>
      </c>
      <c r="I76">
        <f>'收入支出明细表（基础数据表）'!I76</f>
        <v>0</v>
      </c>
      <c r="J76">
        <f>'收入支出明细表（基础数据表）'!J76</f>
        <v>0</v>
      </c>
      <c r="K76">
        <f>'收入支出明细表（基础数据表）'!K76</f>
        <v>0</v>
      </c>
      <c r="L76">
        <f>'收入支出明细表（基础数据表）'!L76</f>
        <v>0</v>
      </c>
      <c r="M76">
        <f>'收入支出明细表（基础数据表）'!M76</f>
        <v>0</v>
      </c>
      <c r="N76">
        <f>'收入支出明细表（基础数据表）'!N76</f>
        <v>0</v>
      </c>
      <c r="O76">
        <f>'收入支出明细表（基础数据表）'!O76</f>
        <v>0</v>
      </c>
      <c r="P76">
        <f>'收入支出明细表（基础数据表）'!P76</f>
        <v>0</v>
      </c>
      <c r="Q76">
        <f>'收入支出明细表（基础数据表）'!Q76</f>
        <v>0</v>
      </c>
      <c r="R76">
        <f>'收入支出明细表（基础数据表）'!R76</f>
        <v>0</v>
      </c>
      <c r="S76">
        <f>'收入支出明细表（基础数据表）'!S76</f>
        <v>0</v>
      </c>
    </row>
    <row r="77">
      <c r="D77" t="str">
        <v>收款进度-金额</v>
      </c>
      <c r="E77">
        <f>'收入支出明细表（基础数据表）'!E77</f>
        <v>0</v>
      </c>
      <c r="F77">
        <f>'收入支出明细表（基础数据表）'!F77</f>
        <v>0</v>
      </c>
      <c r="G77">
        <f>'收入支出明细表（基础数据表）'!G77</f>
        <v>0</v>
      </c>
      <c r="H77">
        <f>'收入支出明细表（基础数据表）'!H77</f>
        <v>0</v>
      </c>
      <c r="I77">
        <f>'收入支出明细表（基础数据表）'!I77</f>
        <v>0</v>
      </c>
      <c r="J77">
        <f>'收入支出明细表（基础数据表）'!J77</f>
        <v>0</v>
      </c>
      <c r="K77">
        <f>'收入支出明细表（基础数据表）'!K77</f>
        <v>0</v>
      </c>
      <c r="L77">
        <f>'收入支出明细表（基础数据表）'!L77</f>
        <v>0</v>
      </c>
      <c r="M77">
        <f>'收入支出明细表（基础数据表）'!M77</f>
        <v>0</v>
      </c>
      <c r="N77">
        <f>'收入支出明细表（基础数据表）'!N77</f>
        <v>0</v>
      </c>
      <c r="O77">
        <f>'收入支出明细表（基础数据表）'!O77</f>
        <v>0</v>
      </c>
      <c r="P77">
        <f>'收入支出明细表（基础数据表）'!P77</f>
        <v>0</v>
      </c>
      <c r="Q77">
        <f>'收入支出明细表（基础数据表）'!Q77</f>
        <v>0</v>
      </c>
      <c r="R77">
        <f>'收入支出明细表（基础数据表）'!R77</f>
        <v>0</v>
      </c>
      <c r="S77">
        <f>'收入支出明细表（基础数据表）'!S77</f>
        <v>0</v>
      </c>
    </row>
    <row r="78">
      <c r="D78" t="str">
        <v>收款进度-比例</v>
      </c>
      <c r="E78">
        <f>'收入支出明细表（基础数据表）'!E78</f>
        <v>0</v>
      </c>
      <c r="F78">
        <f>'收入支出明细表（基础数据表）'!F78</f>
        <v>0</v>
      </c>
      <c r="G78">
        <f>'收入支出明细表（基础数据表）'!G78</f>
        <v>0</v>
      </c>
      <c r="H78" t="e">
        <f>'收入支出明细表（基础数据表）'!H78</f>
        <v>#DIV/0!</v>
      </c>
      <c r="I78" t="e">
        <f>'收入支出明细表（基础数据表）'!I78</f>
        <v>#DIV/0!</v>
      </c>
      <c r="J78" t="e">
        <f>'收入支出明细表（基础数据表）'!J78</f>
        <v>#DIV/0!</v>
      </c>
      <c r="K78" t="e">
        <f>'收入支出明细表（基础数据表）'!K78</f>
        <v>#DIV/0!</v>
      </c>
      <c r="L78" t="e">
        <f>'收入支出明细表（基础数据表）'!L78</f>
        <v>#DIV/0!</v>
      </c>
      <c r="M78" t="e">
        <f>'收入支出明细表（基础数据表）'!M78</f>
        <v>#DIV/0!</v>
      </c>
      <c r="N78" t="e">
        <f>'收入支出明细表（基础数据表）'!N78</f>
        <v>#DIV/0!</v>
      </c>
      <c r="O78" t="e">
        <f>'收入支出明细表（基础数据表）'!O78</f>
        <v>#DIV/0!</v>
      </c>
      <c r="P78" t="e">
        <f>'收入支出明细表（基础数据表）'!P78</f>
        <v>#DIV/0!</v>
      </c>
      <c r="Q78" t="e">
        <f>'收入支出明细表（基础数据表）'!Q78</f>
        <v>#DIV/0!</v>
      </c>
      <c r="R78" t="e">
        <f>'收入支出明细表（基础数据表）'!R78</f>
        <v>#DIV/0!</v>
      </c>
      <c r="S78" t="e">
        <f>'收入支出明细表（基础数据表）'!S78</f>
        <v>#DIV/0!</v>
      </c>
    </row>
    <row r="79">
      <c r="C79" t="str">
        <v xml:space="preserve">        大数据</v>
      </c>
      <c r="D79" t="str">
        <v>收入</v>
      </c>
      <c r="E79">
        <f>'收入支出明细表（基础数据表）'!E79</f>
        <v>0</v>
      </c>
      <c r="F79">
        <f>'收入支出明细表（基础数据表）'!F79</f>
        <v>0.06</v>
      </c>
      <c r="G79">
        <f>'收入支出明细表（基础数据表）'!G79</f>
        <v>0</v>
      </c>
      <c r="H79">
        <f>'收入支出明细表（基础数据表）'!H79</f>
        <v>0</v>
      </c>
      <c r="I79">
        <f>'收入支出明细表（基础数据表）'!I79</f>
        <v>0</v>
      </c>
      <c r="J79">
        <f>'收入支出明细表（基础数据表）'!J79</f>
        <v>0</v>
      </c>
      <c r="K79">
        <f>'收入支出明细表（基础数据表）'!K79</f>
        <v>0</v>
      </c>
      <c r="L79">
        <f>'收入支出明细表（基础数据表）'!L79</f>
        <v>0</v>
      </c>
      <c r="M79">
        <f>'收入支出明细表（基础数据表）'!M79</f>
        <v>0</v>
      </c>
      <c r="N79">
        <f>'收入支出明细表（基础数据表）'!N79</f>
        <v>0</v>
      </c>
      <c r="O79">
        <f>'收入支出明细表（基础数据表）'!O79</f>
        <v>0</v>
      </c>
      <c r="P79">
        <f>'收入支出明细表（基础数据表）'!P79</f>
        <v>0</v>
      </c>
      <c r="Q79">
        <f>'收入支出明细表（基础数据表）'!Q79</f>
        <v>0</v>
      </c>
      <c r="R79">
        <f>'收入支出明细表（基础数据表）'!R79</f>
        <v>0</v>
      </c>
      <c r="S79">
        <f>'收入支出明细表（基础数据表）'!S79</f>
        <v>0</v>
      </c>
    </row>
    <row r="80">
      <c r="D80" t="str">
        <v>收款进度-金额</v>
      </c>
      <c r="E80">
        <f>'收入支出明细表（基础数据表）'!E80</f>
        <v>0</v>
      </c>
      <c r="F80">
        <f>'收入支出明细表（基础数据表）'!F80</f>
        <v>0</v>
      </c>
      <c r="G80">
        <f>'收入支出明细表（基础数据表）'!G80</f>
        <v>0</v>
      </c>
      <c r="H80">
        <f>'收入支出明细表（基础数据表）'!H80</f>
        <v>0</v>
      </c>
      <c r="I80">
        <f>'收入支出明细表（基础数据表）'!I80</f>
        <v>0</v>
      </c>
      <c r="J80">
        <f>'收入支出明细表（基础数据表）'!J80</f>
        <v>0</v>
      </c>
      <c r="K80">
        <f>'收入支出明细表（基础数据表）'!K80</f>
        <v>0</v>
      </c>
      <c r="L80">
        <f>'收入支出明细表（基础数据表）'!L80</f>
        <v>0</v>
      </c>
      <c r="M80">
        <f>'收入支出明细表（基础数据表）'!M80</f>
        <v>0</v>
      </c>
      <c r="N80">
        <f>'收入支出明细表（基础数据表）'!N80</f>
        <v>0</v>
      </c>
      <c r="O80">
        <f>'收入支出明细表（基础数据表）'!O80</f>
        <v>0</v>
      </c>
      <c r="P80">
        <f>'收入支出明细表（基础数据表）'!P80</f>
        <v>0</v>
      </c>
      <c r="Q80">
        <f>'收入支出明细表（基础数据表）'!Q80</f>
        <v>0</v>
      </c>
      <c r="R80">
        <f>'收入支出明细表（基础数据表）'!R80</f>
        <v>0</v>
      </c>
      <c r="S80">
        <f>'收入支出明细表（基础数据表）'!S80</f>
        <v>0</v>
      </c>
    </row>
    <row r="81">
      <c r="D81" t="str">
        <v>收款进度-比例</v>
      </c>
      <c r="E81">
        <f>'收入支出明细表（基础数据表）'!E81</f>
        <v>0</v>
      </c>
      <c r="F81">
        <f>'收入支出明细表（基础数据表）'!F81</f>
        <v>0</v>
      </c>
      <c r="G81">
        <f>'收入支出明细表（基础数据表）'!G81</f>
        <v>0</v>
      </c>
      <c r="H81" t="e">
        <f>'收入支出明细表（基础数据表）'!H81</f>
        <v>#DIV/0!</v>
      </c>
      <c r="I81" t="e">
        <f>'收入支出明细表（基础数据表）'!I81</f>
        <v>#DIV/0!</v>
      </c>
      <c r="J81" t="e">
        <f>'收入支出明细表（基础数据表）'!J81</f>
        <v>#DIV/0!</v>
      </c>
      <c r="K81" t="e">
        <f>'收入支出明细表（基础数据表）'!K81</f>
        <v>#DIV/0!</v>
      </c>
      <c r="L81" t="e">
        <f>'收入支出明细表（基础数据表）'!L81</f>
        <v>#DIV/0!</v>
      </c>
      <c r="M81" t="e">
        <f>'收入支出明细表（基础数据表）'!M81</f>
        <v>#DIV/0!</v>
      </c>
      <c r="N81" t="e">
        <f>'收入支出明细表（基础数据表）'!N81</f>
        <v>#DIV/0!</v>
      </c>
      <c r="O81" t="e">
        <f>'收入支出明细表（基础数据表）'!O81</f>
        <v>#DIV/0!</v>
      </c>
      <c r="P81" t="e">
        <f>'收入支出明细表（基础数据表）'!P81</f>
        <v>#DIV/0!</v>
      </c>
      <c r="Q81" t="e">
        <f>'收入支出明细表（基础数据表）'!Q81</f>
        <v>#DIV/0!</v>
      </c>
      <c r="R81" t="e">
        <f>'收入支出明细表（基础数据表）'!R81</f>
        <v>#DIV/0!</v>
      </c>
      <c r="S81" t="e">
        <f>'收入支出明细表（基础数据表）'!S81</f>
        <v>#DIV/0!</v>
      </c>
    </row>
    <row r="82">
      <c r="C82" t="str">
        <v xml:space="preserve">        IDC</v>
      </c>
      <c r="D82" t="str">
        <v>收入</v>
      </c>
      <c r="E82">
        <f>'收入支出明细表（基础数据表）'!E82</f>
        <v>0</v>
      </c>
      <c r="F82">
        <f>'收入支出明细表（基础数据表）'!F82</f>
        <v>0.06</v>
      </c>
      <c r="G82">
        <f>'收入支出明细表（基础数据表）'!G82</f>
        <v>0</v>
      </c>
      <c r="H82">
        <f>'收入支出明细表（基础数据表）'!H82</f>
        <v>0</v>
      </c>
      <c r="I82">
        <f>'收入支出明细表（基础数据表）'!I82</f>
        <v>0</v>
      </c>
      <c r="J82">
        <f>'收入支出明细表（基础数据表）'!J82</f>
        <v>0</v>
      </c>
      <c r="K82">
        <f>'收入支出明细表（基础数据表）'!K82</f>
        <v>0</v>
      </c>
      <c r="L82">
        <f>'收入支出明细表（基础数据表）'!L82</f>
        <v>0</v>
      </c>
      <c r="M82">
        <f>'收入支出明细表（基础数据表）'!M82</f>
        <v>0</v>
      </c>
      <c r="N82">
        <f>'收入支出明细表（基础数据表）'!N82</f>
        <v>0</v>
      </c>
      <c r="O82">
        <f>'收入支出明细表（基础数据表）'!O82</f>
        <v>0</v>
      </c>
      <c r="P82">
        <f>'收入支出明细表（基础数据表）'!P82</f>
        <v>0</v>
      </c>
      <c r="Q82">
        <f>'收入支出明细表（基础数据表）'!Q82</f>
        <v>0</v>
      </c>
      <c r="R82">
        <f>'收入支出明细表（基础数据表）'!R82</f>
        <v>0</v>
      </c>
      <c r="S82">
        <f>'收入支出明细表（基础数据表）'!S82</f>
        <v>0</v>
      </c>
    </row>
    <row r="83">
      <c r="D83" t="str">
        <v>收款进度-金额</v>
      </c>
      <c r="E83">
        <f>'收入支出明细表（基础数据表）'!E83</f>
        <v>0</v>
      </c>
      <c r="F83">
        <f>'收入支出明细表（基础数据表）'!F83</f>
        <v>0</v>
      </c>
      <c r="G83">
        <f>'收入支出明细表（基础数据表）'!G83</f>
        <v>0</v>
      </c>
      <c r="H83">
        <f>'收入支出明细表（基础数据表）'!H83</f>
        <v>0</v>
      </c>
      <c r="I83">
        <f>'收入支出明细表（基础数据表）'!I83</f>
        <v>0</v>
      </c>
      <c r="J83">
        <f>'收入支出明细表（基础数据表）'!J83</f>
        <v>0</v>
      </c>
      <c r="K83">
        <f>'收入支出明细表（基础数据表）'!K83</f>
        <v>0</v>
      </c>
      <c r="L83">
        <f>'收入支出明细表（基础数据表）'!L83</f>
        <v>0</v>
      </c>
      <c r="M83">
        <f>'收入支出明细表（基础数据表）'!M83</f>
        <v>0</v>
      </c>
      <c r="N83">
        <f>'收入支出明细表（基础数据表）'!N83</f>
        <v>0</v>
      </c>
      <c r="O83">
        <f>'收入支出明细表（基础数据表）'!O83</f>
        <v>0</v>
      </c>
      <c r="P83">
        <f>'收入支出明细表（基础数据表）'!P83</f>
        <v>0</v>
      </c>
      <c r="Q83">
        <f>'收入支出明细表（基础数据表）'!Q83</f>
        <v>0</v>
      </c>
      <c r="R83">
        <f>'收入支出明细表（基础数据表）'!R83</f>
        <v>0</v>
      </c>
      <c r="S83">
        <f>'收入支出明细表（基础数据表）'!S83</f>
        <v>0</v>
      </c>
    </row>
    <row r="84">
      <c r="D84" t="str">
        <v>收款进度-比例</v>
      </c>
      <c r="E84">
        <f>'收入支出明细表（基础数据表）'!E84</f>
        <v>0</v>
      </c>
      <c r="F84">
        <f>'收入支出明细表（基础数据表）'!F84</f>
        <v>0</v>
      </c>
      <c r="G84">
        <f>'收入支出明细表（基础数据表）'!G84</f>
        <v>0</v>
      </c>
      <c r="H84" t="e">
        <f>'收入支出明细表（基础数据表）'!H84</f>
        <v>#DIV/0!</v>
      </c>
      <c r="I84" t="e">
        <f>'收入支出明细表（基础数据表）'!I84</f>
        <v>#DIV/0!</v>
      </c>
      <c r="J84" t="e">
        <f>'收入支出明细表（基础数据表）'!J84</f>
        <v>#DIV/0!</v>
      </c>
      <c r="K84" t="e">
        <f>'收入支出明细表（基础数据表）'!K84</f>
        <v>#DIV/0!</v>
      </c>
      <c r="L84" t="e">
        <f>'收入支出明细表（基础数据表）'!L84</f>
        <v>#DIV/0!</v>
      </c>
      <c r="M84" t="e">
        <f>'收入支出明细表（基础数据表）'!M84</f>
        <v>#DIV/0!</v>
      </c>
      <c r="N84" t="e">
        <f>'收入支出明细表（基础数据表）'!N84</f>
        <v>#DIV/0!</v>
      </c>
      <c r="O84" t="e">
        <f>'收入支出明细表（基础数据表）'!O84</f>
        <v>#DIV/0!</v>
      </c>
      <c r="P84" t="e">
        <f>'收入支出明细表（基础数据表）'!P84</f>
        <v>#DIV/0!</v>
      </c>
      <c r="Q84" t="e">
        <f>'收入支出明细表（基础数据表）'!Q84</f>
        <v>#DIV/0!</v>
      </c>
      <c r="R84" t="e">
        <f>'收入支出明细表（基础数据表）'!R84</f>
        <v>#DIV/0!</v>
      </c>
      <c r="S84" t="e">
        <f>'收入支出明细表（基础数据表）'!S84</f>
        <v>#DIV/0!</v>
      </c>
    </row>
    <row r="85">
      <c r="C85" t="str">
        <v xml:space="preserve">        5G专网</v>
      </c>
      <c r="D85" t="str">
        <v>收入</v>
      </c>
      <c r="E85">
        <f>'收入支出明细表（基础数据表）'!E85</f>
        <v>0</v>
      </c>
      <c r="F85">
        <f>'收入支出明细表（基础数据表）'!F85</f>
        <v>0.06</v>
      </c>
      <c r="G85">
        <f>'收入支出明细表（基础数据表）'!G85</f>
        <v>0</v>
      </c>
      <c r="H85">
        <f>'收入支出明细表（基础数据表）'!H85</f>
        <v>0</v>
      </c>
      <c r="I85">
        <f>'收入支出明细表（基础数据表）'!I85</f>
        <v>0</v>
      </c>
      <c r="J85">
        <f>'收入支出明细表（基础数据表）'!J85</f>
        <v>0</v>
      </c>
      <c r="K85">
        <f>'收入支出明细表（基础数据表）'!K85</f>
        <v>0</v>
      </c>
      <c r="L85">
        <f>'收入支出明细表（基础数据表）'!L85</f>
        <v>0</v>
      </c>
      <c r="M85">
        <f>'收入支出明细表（基础数据表）'!M85</f>
        <v>0</v>
      </c>
      <c r="N85">
        <f>'收入支出明细表（基础数据表）'!N85</f>
        <v>0</v>
      </c>
      <c r="O85">
        <f>'收入支出明细表（基础数据表）'!O85</f>
        <v>0</v>
      </c>
      <c r="P85">
        <f>'收入支出明细表（基础数据表）'!P85</f>
        <v>0</v>
      </c>
      <c r="Q85">
        <f>'收入支出明细表（基础数据表）'!Q85</f>
        <v>0</v>
      </c>
      <c r="R85">
        <f>'收入支出明细表（基础数据表）'!R85</f>
        <v>0</v>
      </c>
      <c r="S85">
        <f>'收入支出明细表（基础数据表）'!S85</f>
        <v>0</v>
      </c>
    </row>
    <row r="86">
      <c r="D86" t="str">
        <v>收款进度-金额</v>
      </c>
      <c r="E86">
        <f>'收入支出明细表（基础数据表）'!E86</f>
        <v>0</v>
      </c>
      <c r="F86">
        <f>'收入支出明细表（基础数据表）'!F86</f>
        <v>0</v>
      </c>
      <c r="G86">
        <f>'收入支出明细表（基础数据表）'!G86</f>
        <v>0</v>
      </c>
      <c r="H86">
        <f>'收入支出明细表（基础数据表）'!H86</f>
        <v>0</v>
      </c>
      <c r="I86">
        <f>'收入支出明细表（基础数据表）'!I86</f>
        <v>0</v>
      </c>
      <c r="J86">
        <f>'收入支出明细表（基础数据表）'!J86</f>
        <v>0</v>
      </c>
      <c r="K86">
        <f>'收入支出明细表（基础数据表）'!K86</f>
        <v>0</v>
      </c>
      <c r="L86">
        <f>'收入支出明细表（基础数据表）'!L86</f>
        <v>0</v>
      </c>
      <c r="M86">
        <f>'收入支出明细表（基础数据表）'!M86</f>
        <v>0</v>
      </c>
      <c r="N86">
        <f>'收入支出明细表（基础数据表）'!N86</f>
        <v>0</v>
      </c>
      <c r="O86">
        <f>'收入支出明细表（基础数据表）'!O86</f>
        <v>0</v>
      </c>
      <c r="P86">
        <f>'收入支出明细表（基础数据表）'!P86</f>
        <v>0</v>
      </c>
      <c r="Q86">
        <f>'收入支出明细表（基础数据表）'!Q86</f>
        <v>0</v>
      </c>
      <c r="R86">
        <f>'收入支出明细表（基础数据表）'!R86</f>
        <v>0</v>
      </c>
      <c r="S86">
        <f>'收入支出明细表（基础数据表）'!S86</f>
        <v>0</v>
      </c>
    </row>
    <row r="87">
      <c r="D87" t="str">
        <v>收款进度-比例</v>
      </c>
      <c r="E87">
        <f>'收入支出明细表（基础数据表）'!E87</f>
        <v>0</v>
      </c>
      <c r="F87">
        <f>'收入支出明细表（基础数据表）'!F87</f>
        <v>0</v>
      </c>
      <c r="G87">
        <f>'收入支出明细表（基础数据表）'!G87</f>
        <v>0</v>
      </c>
      <c r="H87" t="e">
        <f>'收入支出明细表（基础数据表）'!H87</f>
        <v>#DIV/0!</v>
      </c>
      <c r="I87" t="e">
        <f>'收入支出明细表（基础数据表）'!I87</f>
        <v>#DIV/0!</v>
      </c>
      <c r="J87" t="e">
        <f>'收入支出明细表（基础数据表）'!J87</f>
        <v>#DIV/0!</v>
      </c>
      <c r="K87" t="e">
        <f>'收入支出明细表（基础数据表）'!K87</f>
        <v>#DIV/0!</v>
      </c>
      <c r="L87" t="e">
        <f>'收入支出明细表（基础数据表）'!L87</f>
        <v>#DIV/0!</v>
      </c>
      <c r="M87" t="e">
        <f>'收入支出明细表（基础数据表）'!M87</f>
        <v>#DIV/0!</v>
      </c>
      <c r="N87" t="e">
        <f>'收入支出明细表（基础数据表）'!N87</f>
        <v>#DIV/0!</v>
      </c>
      <c r="O87" t="e">
        <f>'收入支出明细表（基础数据表）'!O87</f>
        <v>#DIV/0!</v>
      </c>
      <c r="P87" t="e">
        <f>'收入支出明细表（基础数据表）'!P87</f>
        <v>#DIV/0!</v>
      </c>
      <c r="Q87" t="e">
        <f>'收入支出明细表（基础数据表）'!Q87</f>
        <v>#DIV/0!</v>
      </c>
      <c r="R87" t="e">
        <f>'收入支出明细表（基础数据表）'!R87</f>
        <v>#DIV/0!</v>
      </c>
      <c r="S87" t="e">
        <f>'收入支出明细表（基础数据表）'!S87</f>
        <v>#DIV/0!</v>
      </c>
    </row>
    <row r="88">
      <c r="C88" t="str">
        <v xml:space="preserve">        物联网</v>
      </c>
      <c r="D88" t="str">
        <v>收入</v>
      </c>
      <c r="E88">
        <f>'收入支出明细表（基础数据表）'!E88</f>
        <v>0</v>
      </c>
      <c r="F88">
        <f>'收入支出明细表（基础数据表）'!F88</f>
        <v>0.06</v>
      </c>
      <c r="G88">
        <f>'收入支出明细表（基础数据表）'!G88</f>
        <v>0</v>
      </c>
      <c r="H88">
        <f>'收入支出明细表（基础数据表）'!H88</f>
        <v>0</v>
      </c>
      <c r="I88">
        <f>'收入支出明细表（基础数据表）'!I88</f>
        <v>0</v>
      </c>
      <c r="J88">
        <f>'收入支出明细表（基础数据表）'!J88</f>
        <v>0</v>
      </c>
      <c r="K88">
        <f>'收入支出明细表（基础数据表）'!K88</f>
        <v>0</v>
      </c>
      <c r="L88">
        <f>'收入支出明细表（基础数据表）'!L88</f>
        <v>0</v>
      </c>
      <c r="M88">
        <f>'收入支出明细表（基础数据表）'!M88</f>
        <v>0</v>
      </c>
      <c r="N88">
        <f>'收入支出明细表（基础数据表）'!N88</f>
        <v>0</v>
      </c>
      <c r="O88">
        <f>'收入支出明细表（基础数据表）'!O88</f>
        <v>0</v>
      </c>
      <c r="P88">
        <f>'收入支出明细表（基础数据表）'!P88</f>
        <v>0</v>
      </c>
      <c r="Q88">
        <f>'收入支出明细表（基础数据表）'!Q88</f>
        <v>0</v>
      </c>
      <c r="R88">
        <f>'收入支出明细表（基础数据表）'!R88</f>
        <v>0</v>
      </c>
      <c r="S88">
        <f>'收入支出明细表（基础数据表）'!S88</f>
        <v>0</v>
      </c>
    </row>
    <row r="89">
      <c r="D89" t="str">
        <v>收款进度-金额</v>
      </c>
      <c r="E89">
        <f>'收入支出明细表（基础数据表）'!E89</f>
        <v>0</v>
      </c>
      <c r="F89">
        <f>'收入支出明细表（基础数据表）'!F89</f>
        <v>0</v>
      </c>
      <c r="G89">
        <f>'收入支出明细表（基础数据表）'!G89</f>
        <v>0</v>
      </c>
      <c r="H89">
        <f>'收入支出明细表（基础数据表）'!H89</f>
        <v>0</v>
      </c>
      <c r="I89">
        <f>'收入支出明细表（基础数据表）'!I89</f>
        <v>0</v>
      </c>
      <c r="J89">
        <f>'收入支出明细表（基础数据表）'!J89</f>
        <v>0</v>
      </c>
      <c r="K89">
        <f>'收入支出明细表（基础数据表）'!K89</f>
        <v>0</v>
      </c>
      <c r="L89">
        <f>'收入支出明细表（基础数据表）'!L89</f>
        <v>0</v>
      </c>
      <c r="M89">
        <f>'收入支出明细表（基础数据表）'!M89</f>
        <v>0</v>
      </c>
      <c r="N89">
        <f>'收入支出明细表（基础数据表）'!N89</f>
        <v>0</v>
      </c>
      <c r="O89">
        <f>'收入支出明细表（基础数据表）'!O89</f>
        <v>0</v>
      </c>
      <c r="P89">
        <f>'收入支出明细表（基础数据表）'!P89</f>
        <v>0</v>
      </c>
      <c r="Q89">
        <f>'收入支出明细表（基础数据表）'!Q89</f>
        <v>0</v>
      </c>
      <c r="R89">
        <f>'收入支出明细表（基础数据表）'!R89</f>
        <v>0</v>
      </c>
      <c r="S89">
        <f>'收入支出明细表（基础数据表）'!S89</f>
        <v>0</v>
      </c>
    </row>
    <row r="90">
      <c r="D90" t="str">
        <v>收款进度-比例</v>
      </c>
      <c r="E90">
        <f>'收入支出明细表（基础数据表）'!E90</f>
        <v>0</v>
      </c>
      <c r="F90">
        <f>'收入支出明细表（基础数据表）'!F90</f>
        <v>0</v>
      </c>
      <c r="G90">
        <f>'收入支出明细表（基础数据表）'!G90</f>
        <v>0</v>
      </c>
      <c r="H90" t="e">
        <f>'收入支出明细表（基础数据表）'!H90</f>
        <v>#DIV/0!</v>
      </c>
      <c r="I90" t="e">
        <f>'收入支出明细表（基础数据表）'!I90</f>
        <v>#DIV/0!</v>
      </c>
      <c r="J90" t="e">
        <f>'收入支出明细表（基础数据表）'!J90</f>
        <v>#DIV/0!</v>
      </c>
      <c r="K90" t="e">
        <f>'收入支出明细表（基础数据表）'!K90</f>
        <v>#DIV/0!</v>
      </c>
      <c r="L90" t="e">
        <f>'收入支出明细表（基础数据表）'!L90</f>
        <v>#DIV/0!</v>
      </c>
      <c r="M90" t="e">
        <f>'收入支出明细表（基础数据表）'!M90</f>
        <v>#DIV/0!</v>
      </c>
      <c r="N90" t="e">
        <f>'收入支出明细表（基础数据表）'!N90</f>
        <v>#DIV/0!</v>
      </c>
      <c r="O90" t="e">
        <f>'收入支出明细表（基础数据表）'!O90</f>
        <v>#DIV/0!</v>
      </c>
      <c r="P90" t="e">
        <f>'收入支出明细表（基础数据表）'!P90</f>
        <v>#DIV/0!</v>
      </c>
      <c r="Q90" t="e">
        <f>'收入支出明细表（基础数据表）'!Q90</f>
        <v>#DIV/0!</v>
      </c>
      <c r="R90" t="e">
        <f>'收入支出明细表（基础数据表）'!R90</f>
        <v>#DIV/0!</v>
      </c>
      <c r="S90" t="e">
        <f>'收入支出明细表（基础数据表）'!S90</f>
        <v>#DIV/0!</v>
      </c>
    </row>
    <row r="91">
      <c r="C91" t="str">
        <v xml:space="preserve">        和教育</v>
      </c>
      <c r="D91" t="str">
        <v>收入</v>
      </c>
      <c r="E91">
        <f>'收入支出明细表（基础数据表）'!E91</f>
        <v>0</v>
      </c>
      <c r="F91">
        <f>'收入支出明细表（基础数据表）'!F91</f>
        <v>0.06</v>
      </c>
      <c r="G91">
        <f>'收入支出明细表（基础数据表）'!G91</f>
        <v>0</v>
      </c>
      <c r="H91">
        <f>'收入支出明细表（基础数据表）'!H91</f>
        <v>0</v>
      </c>
      <c r="I91">
        <f>'收入支出明细表（基础数据表）'!I91</f>
        <v>0</v>
      </c>
      <c r="J91">
        <f>'收入支出明细表（基础数据表）'!J91</f>
        <v>0</v>
      </c>
      <c r="K91">
        <f>'收入支出明细表（基础数据表）'!K91</f>
        <v>0</v>
      </c>
      <c r="L91">
        <f>'收入支出明细表（基础数据表）'!L91</f>
        <v>0</v>
      </c>
      <c r="M91">
        <f>'收入支出明细表（基础数据表）'!M91</f>
        <v>0</v>
      </c>
      <c r="N91">
        <f>'收入支出明细表（基础数据表）'!N91</f>
        <v>0</v>
      </c>
      <c r="O91">
        <f>'收入支出明细表（基础数据表）'!O91</f>
        <v>0</v>
      </c>
      <c r="P91">
        <f>'收入支出明细表（基础数据表）'!P91</f>
        <v>0</v>
      </c>
      <c r="Q91">
        <f>'收入支出明细表（基础数据表）'!Q91</f>
        <v>0</v>
      </c>
      <c r="R91">
        <f>'收入支出明细表（基础数据表）'!R91</f>
        <v>0</v>
      </c>
      <c r="S91">
        <f>'收入支出明细表（基础数据表）'!S91</f>
        <v>0</v>
      </c>
    </row>
    <row r="92">
      <c r="D92" t="str">
        <v>收款进度-金额</v>
      </c>
      <c r="E92">
        <f>'收入支出明细表（基础数据表）'!E92</f>
        <v>0</v>
      </c>
      <c r="F92">
        <f>'收入支出明细表（基础数据表）'!F92</f>
        <v>0</v>
      </c>
      <c r="G92">
        <f>'收入支出明细表（基础数据表）'!G92</f>
        <v>0</v>
      </c>
      <c r="H92">
        <f>'收入支出明细表（基础数据表）'!H92</f>
        <v>0</v>
      </c>
      <c r="I92">
        <f>'收入支出明细表（基础数据表）'!I92</f>
        <v>0</v>
      </c>
      <c r="J92">
        <f>'收入支出明细表（基础数据表）'!J92</f>
        <v>0</v>
      </c>
      <c r="K92">
        <f>'收入支出明细表（基础数据表）'!K92</f>
        <v>0</v>
      </c>
      <c r="L92">
        <f>'收入支出明细表（基础数据表）'!L92</f>
        <v>0</v>
      </c>
      <c r="M92">
        <f>'收入支出明细表（基础数据表）'!M92</f>
        <v>0</v>
      </c>
      <c r="N92">
        <f>'收入支出明细表（基础数据表）'!N92</f>
        <v>0</v>
      </c>
      <c r="O92">
        <f>'收入支出明细表（基础数据表）'!O92</f>
        <v>0</v>
      </c>
      <c r="P92">
        <f>'收入支出明细表（基础数据表）'!P92</f>
        <v>0</v>
      </c>
      <c r="Q92">
        <f>'收入支出明细表（基础数据表）'!Q92</f>
        <v>0</v>
      </c>
      <c r="R92">
        <f>'收入支出明细表（基础数据表）'!R92</f>
        <v>0</v>
      </c>
      <c r="S92">
        <f>'收入支出明细表（基础数据表）'!S92</f>
        <v>0</v>
      </c>
    </row>
    <row r="93">
      <c r="D93" t="str">
        <v>收款进度-比例</v>
      </c>
      <c r="E93">
        <f>'收入支出明细表（基础数据表）'!E93</f>
        <v>0</v>
      </c>
      <c r="F93">
        <f>'收入支出明细表（基础数据表）'!F93</f>
        <v>0</v>
      </c>
      <c r="G93">
        <f>'收入支出明细表（基础数据表）'!G93</f>
        <v>0</v>
      </c>
      <c r="H93" t="e">
        <f>'收入支出明细表（基础数据表）'!H93</f>
        <v>#DIV/0!</v>
      </c>
      <c r="I93" t="e">
        <f>'收入支出明细表（基础数据表）'!I93</f>
        <v>#DIV/0!</v>
      </c>
      <c r="J93" t="e">
        <f>'收入支出明细表（基础数据表）'!J93</f>
        <v>#DIV/0!</v>
      </c>
      <c r="K93" t="e">
        <f>'收入支出明细表（基础数据表）'!K93</f>
        <v>#DIV/0!</v>
      </c>
      <c r="L93" t="e">
        <f>'收入支出明细表（基础数据表）'!L93</f>
        <v>#DIV/0!</v>
      </c>
      <c r="M93" t="e">
        <f>'收入支出明细表（基础数据表）'!M93</f>
        <v>#DIV/0!</v>
      </c>
      <c r="N93" t="e">
        <f>'收入支出明细表（基础数据表）'!N93</f>
        <v>#DIV/0!</v>
      </c>
      <c r="O93" t="e">
        <f>'收入支出明细表（基础数据表）'!O93</f>
        <v>#DIV/0!</v>
      </c>
      <c r="P93" t="e">
        <f>'收入支出明细表（基础数据表）'!P93</f>
        <v>#DIV/0!</v>
      </c>
      <c r="Q93" t="e">
        <f>'收入支出明细表（基础数据表）'!Q93</f>
        <v>#DIV/0!</v>
      </c>
      <c r="R93" t="e">
        <f>'收入支出明细表（基础数据表）'!R93</f>
        <v>#DIV/0!</v>
      </c>
      <c r="S93" t="e">
        <f>'收入支出明细表（基础数据表）'!S93</f>
        <v>#DIV/0!</v>
      </c>
    </row>
    <row r="94">
      <c r="C94" t="str">
        <v xml:space="preserve">        ……</v>
      </c>
      <c r="E94">
        <f>'收入支出明细表（基础数据表）'!E94</f>
        <v>0</v>
      </c>
      <c r="F94">
        <f>'收入支出明细表（基础数据表）'!F94</f>
        <v>0</v>
      </c>
      <c r="G94">
        <f>'收入支出明细表（基础数据表）'!G94</f>
        <v>0</v>
      </c>
      <c r="H94">
        <f>'收入支出明细表（基础数据表）'!H94</f>
        <v>0</v>
      </c>
      <c r="I94">
        <f>'收入支出明细表（基础数据表）'!I94</f>
        <v>0</v>
      </c>
      <c r="J94">
        <f>'收入支出明细表（基础数据表）'!J94</f>
        <v>0</v>
      </c>
      <c r="K94">
        <f>'收入支出明细表（基础数据表）'!K94</f>
        <v>0</v>
      </c>
      <c r="L94">
        <f>'收入支出明细表（基础数据表）'!L94</f>
        <v>0</v>
      </c>
      <c r="M94">
        <f>'收入支出明细表（基础数据表）'!M94</f>
        <v>0</v>
      </c>
      <c r="N94">
        <f>'收入支出明细表（基础数据表）'!N94</f>
        <v>0</v>
      </c>
      <c r="O94">
        <f>'收入支出明细表（基础数据表）'!O94</f>
        <v>0</v>
      </c>
      <c r="P94">
        <f>'收入支出明细表（基础数据表）'!P94</f>
        <v>0</v>
      </c>
      <c r="Q94">
        <f>'收入支出明细表（基础数据表）'!Q94</f>
        <v>0</v>
      </c>
      <c r="R94">
        <f>'收入支出明细表（基础数据表）'!R94</f>
        <v>0</v>
      </c>
      <c r="S94">
        <f>'收入支出明细表（基础数据表）'!S94</f>
        <v>0</v>
      </c>
    </row>
    <row r="95">
      <c r="E95">
        <f>'收入支出明细表（基础数据表）'!E95</f>
        <v>0</v>
      </c>
      <c r="F95">
        <f>'收入支出明细表（基础数据表）'!F95</f>
        <v>0</v>
      </c>
      <c r="G95">
        <f>'收入支出明细表（基础数据表）'!G95</f>
        <v>0</v>
      </c>
      <c r="H95">
        <f>'收入支出明细表（基础数据表）'!H95</f>
        <v>0</v>
      </c>
      <c r="I95">
        <f>'收入支出明细表（基础数据表）'!I95</f>
        <v>0</v>
      </c>
      <c r="J95">
        <f>'收入支出明细表（基础数据表）'!J95</f>
        <v>0</v>
      </c>
      <c r="K95">
        <f>'收入支出明细表（基础数据表）'!K95</f>
        <v>0</v>
      </c>
      <c r="L95">
        <f>'收入支出明细表（基础数据表）'!L95</f>
        <v>0</v>
      </c>
      <c r="M95">
        <f>'收入支出明细表（基础数据表）'!M95</f>
        <v>0</v>
      </c>
      <c r="N95">
        <f>'收入支出明细表（基础数据表）'!N95</f>
        <v>0</v>
      </c>
      <c r="O95">
        <f>'收入支出明细表（基础数据表）'!O95</f>
        <v>0</v>
      </c>
      <c r="P95">
        <f>'收入支出明细表（基础数据表）'!P95</f>
        <v>0</v>
      </c>
      <c r="Q95">
        <f>'收入支出明细表（基础数据表）'!Q95</f>
        <v>0</v>
      </c>
      <c r="R95">
        <f>'收入支出明细表（基础数据表）'!R95</f>
        <v>0</v>
      </c>
      <c r="S95">
        <f>'收入支出明细表（基础数据表）'!S95</f>
        <v>0</v>
      </c>
    </row>
    <row r="96" xml:space="preserve">
      <c r="A96" t="str" xml:space="preserve">
        <v xml:space="preserve">投资支出_x000d_
（Capex）</v>
      </c>
      <c r="B96" t="str">
        <v>项目支出合计</v>
      </c>
      <c r="D96" t="str">
        <v>支出</v>
      </c>
      <c r="E96">
        <f>'收入支出明细表（基础数据表）'!E96</f>
        <v>0</v>
      </c>
      <c r="F96">
        <f>'收入支出明细表（基础数据表）'!F96</f>
        <v>0</v>
      </c>
      <c r="G96">
        <f>'收入支出明细表（基础数据表）'!G96</f>
        <v>0</v>
      </c>
      <c r="H96">
        <f>'收入支出明细表（基础数据表）'!H96</f>
        <v>0</v>
      </c>
      <c r="I96">
        <f>'收入支出明细表（基础数据表）'!I96</f>
        <v>0</v>
      </c>
      <c r="J96">
        <f>'收入支出明细表（基础数据表）'!J96</f>
        <v>0</v>
      </c>
      <c r="K96">
        <f>'收入支出明细表（基础数据表）'!K96</f>
        <v>0</v>
      </c>
      <c r="L96">
        <f>'收入支出明细表（基础数据表）'!L96</f>
        <v>0</v>
      </c>
      <c r="M96">
        <f>'收入支出明细表（基础数据表）'!M96</f>
        <v>0</v>
      </c>
      <c r="N96">
        <f>'收入支出明细表（基础数据表）'!N96</f>
        <v>0</v>
      </c>
      <c r="O96">
        <f>'收入支出明细表（基础数据表）'!O96</f>
        <v>0</v>
      </c>
      <c r="P96">
        <f>'收入支出明细表（基础数据表）'!P96</f>
        <v>0</v>
      </c>
      <c r="Q96">
        <f>'收入支出明细表（基础数据表）'!Q96</f>
        <v>0</v>
      </c>
      <c r="R96">
        <f>'收入支出明细表（基础数据表）'!R96</f>
        <v>0</v>
      </c>
      <c r="S96">
        <f>'收入支出明细表（基础数据表）'!S96</f>
        <v>0</v>
      </c>
    </row>
    <row r="97">
      <c r="D97" t="str">
        <v>付款进度-金额</v>
      </c>
      <c r="E97">
        <f>'收入支出明细表（基础数据表）'!E97</f>
        <v>0</v>
      </c>
      <c r="F97">
        <f>'收入支出明细表（基础数据表）'!F97</f>
        <v>0</v>
      </c>
      <c r="G97">
        <f>'收入支出明细表（基础数据表）'!G97</f>
        <v>0</v>
      </c>
      <c r="H97">
        <f>'收入支出明细表（基础数据表）'!H97</f>
        <v>0</v>
      </c>
      <c r="I97">
        <f>'收入支出明细表（基础数据表）'!I97</f>
        <v>0</v>
      </c>
      <c r="J97">
        <f>'收入支出明细表（基础数据表）'!J97</f>
        <v>0</v>
      </c>
      <c r="K97">
        <f>'收入支出明细表（基础数据表）'!K97</f>
        <v>0</v>
      </c>
      <c r="L97">
        <f>'收入支出明细表（基础数据表）'!L97</f>
        <v>0</v>
      </c>
      <c r="M97">
        <f>'收入支出明细表（基础数据表）'!M97</f>
        <v>0</v>
      </c>
      <c r="N97">
        <f>'收入支出明细表（基础数据表）'!N97</f>
        <v>0</v>
      </c>
      <c r="O97">
        <f>'收入支出明细表（基础数据表）'!O97</f>
        <v>0</v>
      </c>
      <c r="P97">
        <f>'收入支出明细表（基础数据表）'!P97</f>
        <v>0</v>
      </c>
      <c r="Q97">
        <f>'收入支出明细表（基础数据表）'!Q97</f>
        <v>0</v>
      </c>
      <c r="R97">
        <f>'收入支出明细表（基础数据表）'!R97</f>
        <v>0</v>
      </c>
      <c r="S97">
        <f>'收入支出明细表（基础数据表）'!S97</f>
        <v>0</v>
      </c>
    </row>
    <row r="98">
      <c r="D98" t="str">
        <v>付款进度-比例</v>
      </c>
      <c r="E98">
        <f>'收入支出明细表（基础数据表）'!E98</f>
        <v>0</v>
      </c>
      <c r="F98">
        <f>'收入支出明细表（基础数据表）'!F98</f>
        <v>0</v>
      </c>
      <c r="G98">
        <f>'收入支出明细表（基础数据表）'!G98</f>
        <v>0</v>
      </c>
      <c r="H98" t="e">
        <f>'收入支出明细表（基础数据表）'!H98</f>
        <v>#DIV/0!</v>
      </c>
      <c r="I98" t="e">
        <f>'收入支出明细表（基础数据表）'!I98</f>
        <v>#DIV/0!</v>
      </c>
      <c r="J98" t="e">
        <f>'收入支出明细表（基础数据表）'!J98</f>
        <v>#DIV/0!</v>
      </c>
      <c r="K98" t="e">
        <f>'收入支出明细表（基础数据表）'!K98</f>
        <v>#DIV/0!</v>
      </c>
      <c r="L98" t="e">
        <f>'收入支出明细表（基础数据表）'!L98</f>
        <v>#DIV/0!</v>
      </c>
      <c r="M98" t="e">
        <f>'收入支出明细表（基础数据表）'!M98</f>
        <v>#DIV/0!</v>
      </c>
      <c r="N98" t="e">
        <f>'收入支出明细表（基础数据表）'!N98</f>
        <v>#DIV/0!</v>
      </c>
      <c r="O98" t="e">
        <f>'收入支出明细表（基础数据表）'!O98</f>
        <v>#DIV/0!</v>
      </c>
      <c r="P98" t="e">
        <f>'收入支出明细表（基础数据表）'!P98</f>
        <v>#DIV/0!</v>
      </c>
      <c r="Q98" t="e">
        <f>'收入支出明细表（基础数据表）'!Q98</f>
        <v>#DIV/0!</v>
      </c>
      <c r="R98" t="e">
        <f>'收入支出明细表（基础数据表）'!R98</f>
        <v>#DIV/0!</v>
      </c>
      <c r="S98" t="e">
        <f>'收入支出明细表（基础数据表）'!S98</f>
        <v>#DIV/0!</v>
      </c>
    </row>
    <row r="99">
      <c r="B99" t="str">
        <v>IT类投资</v>
      </c>
      <c r="C99" t="str">
        <v>IT类投资合计</v>
      </c>
      <c r="D99" t="str">
        <v>支出</v>
      </c>
      <c r="E99">
        <f>'收入支出明细表（基础数据表）'!E99</f>
        <v>0</v>
      </c>
      <c r="F99">
        <f>'收入支出明细表（基础数据表）'!F99</f>
        <v>0</v>
      </c>
      <c r="G99">
        <f>'收入支出明细表（基础数据表）'!G99</f>
        <v>0</v>
      </c>
      <c r="H99">
        <f>'收入支出明细表（基础数据表）'!H99</f>
        <v>0</v>
      </c>
      <c r="I99">
        <f>'收入支出明细表（基础数据表）'!I99</f>
        <v>0</v>
      </c>
      <c r="J99">
        <f>'收入支出明细表（基础数据表）'!J99</f>
        <v>0</v>
      </c>
      <c r="K99">
        <f>'收入支出明细表（基础数据表）'!K99</f>
        <v>0</v>
      </c>
      <c r="L99">
        <f>'收入支出明细表（基础数据表）'!L99</f>
        <v>0</v>
      </c>
      <c r="M99">
        <f>'收入支出明细表（基础数据表）'!M99</f>
        <v>0</v>
      </c>
      <c r="N99">
        <f>'收入支出明细表（基础数据表）'!N99</f>
        <v>0</v>
      </c>
      <c r="O99">
        <f>'收入支出明细表（基础数据表）'!O99</f>
        <v>0</v>
      </c>
      <c r="P99">
        <f>'收入支出明细表（基础数据表）'!P99</f>
        <v>0</v>
      </c>
      <c r="Q99">
        <f>'收入支出明细表（基础数据表）'!Q99</f>
        <v>0</v>
      </c>
      <c r="R99">
        <f>'收入支出明细表（基础数据表）'!R99</f>
        <v>0</v>
      </c>
      <c r="S99">
        <f>'收入支出明细表（基础数据表）'!S99</f>
        <v>0</v>
      </c>
    </row>
    <row r="100">
      <c r="D100" t="str">
        <v>付款进度-金额</v>
      </c>
      <c r="E100">
        <f>'收入支出明细表（基础数据表）'!E100</f>
        <v>0</v>
      </c>
      <c r="F100">
        <f>'收入支出明细表（基础数据表）'!F100</f>
        <v>0</v>
      </c>
      <c r="G100">
        <f>'收入支出明细表（基础数据表）'!G100</f>
        <v>0</v>
      </c>
      <c r="H100">
        <f>'收入支出明细表（基础数据表）'!H100</f>
        <v>0</v>
      </c>
      <c r="I100">
        <f>'收入支出明细表（基础数据表）'!I100</f>
        <v>0</v>
      </c>
      <c r="J100">
        <f>'收入支出明细表（基础数据表）'!J100</f>
        <v>0</v>
      </c>
      <c r="K100">
        <f>'收入支出明细表（基础数据表）'!K100</f>
        <v>0</v>
      </c>
      <c r="L100">
        <f>'收入支出明细表（基础数据表）'!L100</f>
        <v>0</v>
      </c>
      <c r="M100">
        <f>'收入支出明细表（基础数据表）'!M100</f>
        <v>0</v>
      </c>
      <c r="N100">
        <f>'收入支出明细表（基础数据表）'!N100</f>
        <v>0</v>
      </c>
      <c r="O100">
        <f>'收入支出明细表（基础数据表）'!O100</f>
        <v>0</v>
      </c>
      <c r="P100">
        <f>'收入支出明细表（基础数据表）'!P100</f>
        <v>0</v>
      </c>
      <c r="Q100">
        <f>'收入支出明细表（基础数据表）'!Q100</f>
        <v>0</v>
      </c>
      <c r="R100">
        <f>'收入支出明细表（基础数据表）'!R100</f>
        <v>0</v>
      </c>
      <c r="S100">
        <f>'收入支出明细表（基础数据表）'!S100</f>
        <v>0</v>
      </c>
    </row>
    <row r="101">
      <c r="D101" t="str">
        <v>付款进度-比例</v>
      </c>
      <c r="E101">
        <f>'收入支出明细表（基础数据表）'!E101</f>
        <v>0</v>
      </c>
      <c r="F101">
        <f>'收入支出明细表（基础数据表）'!F101</f>
        <v>0</v>
      </c>
      <c r="G101">
        <f>'收入支出明细表（基础数据表）'!G101</f>
        <v>0</v>
      </c>
      <c r="H101" t="e">
        <f>'收入支出明细表（基础数据表）'!H101</f>
        <v>#DIV/0!</v>
      </c>
      <c r="I101" t="e">
        <f>'收入支出明细表（基础数据表）'!I101</f>
        <v>#DIV/0!</v>
      </c>
      <c r="J101" t="e">
        <f>'收入支出明细表（基础数据表）'!J101</f>
        <v>#DIV/0!</v>
      </c>
      <c r="K101" t="e">
        <f>'收入支出明细表（基础数据表）'!K101</f>
        <v>#DIV/0!</v>
      </c>
      <c r="L101" t="e">
        <f>'收入支出明细表（基础数据表）'!L101</f>
        <v>#DIV/0!</v>
      </c>
      <c r="M101" t="e">
        <f>'收入支出明细表（基础数据表）'!M101</f>
        <v>#DIV/0!</v>
      </c>
      <c r="N101" t="e">
        <f>'收入支出明细表（基础数据表）'!N101</f>
        <v>#DIV/0!</v>
      </c>
      <c r="O101" t="e">
        <f>'收入支出明细表（基础数据表）'!O101</f>
        <v>#DIV/0!</v>
      </c>
      <c r="P101" t="e">
        <f>'收入支出明细表（基础数据表）'!P101</f>
        <v>#DIV/0!</v>
      </c>
      <c r="Q101" t="e">
        <f>'收入支出明细表（基础数据表）'!Q101</f>
        <v>#DIV/0!</v>
      </c>
      <c r="R101" t="e">
        <f>'收入支出明细表（基础数据表）'!R101</f>
        <v>#DIV/0!</v>
      </c>
      <c r="S101" t="e">
        <f>'收入支出明细表（基础数据表）'!S101</f>
        <v>#DIV/0!</v>
      </c>
    </row>
    <row r="102">
      <c r="C102" t="str">
        <v>1、硬件设备类投资</v>
      </c>
      <c r="D102" t="str">
        <v>支出</v>
      </c>
      <c r="E102">
        <f>'收入支出明细表（基础数据表）'!E102</f>
        <v>0</v>
      </c>
      <c r="F102">
        <f>'收入支出明细表（基础数据表）'!F102</f>
        <v>0.13</v>
      </c>
      <c r="G102">
        <f>'收入支出明细表（基础数据表）'!G102</f>
        <v>0</v>
      </c>
      <c r="H102">
        <f>'收入支出明细表（基础数据表）'!H102</f>
        <v>0</v>
      </c>
      <c r="I102">
        <f>'收入支出明细表（基础数据表）'!I102</f>
        <v>0</v>
      </c>
      <c r="J102">
        <f>'收入支出明细表（基础数据表）'!J102</f>
        <v>0</v>
      </c>
      <c r="K102">
        <f>'收入支出明细表（基础数据表）'!K102</f>
        <v>0</v>
      </c>
      <c r="L102">
        <f>'收入支出明细表（基础数据表）'!L102</f>
        <v>0</v>
      </c>
      <c r="M102">
        <f>'收入支出明细表（基础数据表）'!M102</f>
        <v>0</v>
      </c>
      <c r="N102">
        <f>'收入支出明细表（基础数据表）'!N102</f>
        <v>0</v>
      </c>
      <c r="O102">
        <f>'收入支出明细表（基础数据表）'!O102</f>
        <v>0</v>
      </c>
      <c r="P102">
        <f>'收入支出明细表（基础数据表）'!P102</f>
        <v>0</v>
      </c>
      <c r="Q102">
        <f>'收入支出明细表（基础数据表）'!Q102</f>
        <v>0</v>
      </c>
      <c r="R102">
        <f>'收入支出明细表（基础数据表）'!R102</f>
        <v>0</v>
      </c>
      <c r="S102">
        <f>'收入支出明细表（基础数据表）'!S102</f>
        <v>0</v>
      </c>
    </row>
    <row r="103">
      <c r="D103" t="str">
        <v>付款进度-金额</v>
      </c>
      <c r="E103">
        <f>'收入支出明细表（基础数据表）'!E103</f>
        <v>0</v>
      </c>
      <c r="F103">
        <f>'收入支出明细表（基础数据表）'!F103</f>
        <v>0</v>
      </c>
      <c r="G103">
        <f>'收入支出明细表（基础数据表）'!G103</f>
        <v>0</v>
      </c>
      <c r="H103">
        <f>'收入支出明细表（基础数据表）'!H103</f>
        <v>0</v>
      </c>
      <c r="I103">
        <f>'收入支出明细表（基础数据表）'!I103</f>
        <v>0</v>
      </c>
      <c r="J103">
        <f>'收入支出明细表（基础数据表）'!J103</f>
        <v>0</v>
      </c>
      <c r="K103">
        <f>'收入支出明细表（基础数据表）'!K103</f>
        <v>0</v>
      </c>
      <c r="L103">
        <f>'收入支出明细表（基础数据表）'!L103</f>
        <v>0</v>
      </c>
      <c r="M103">
        <f>'收入支出明细表（基础数据表）'!M103</f>
        <v>0</v>
      </c>
      <c r="N103">
        <f>'收入支出明细表（基础数据表）'!N103</f>
        <v>0</v>
      </c>
      <c r="O103">
        <f>'收入支出明细表（基础数据表）'!O103</f>
        <v>0</v>
      </c>
      <c r="P103">
        <f>'收入支出明细表（基础数据表）'!P103</f>
        <v>0</v>
      </c>
      <c r="Q103">
        <f>'收入支出明细表（基础数据表）'!Q103</f>
        <v>0</v>
      </c>
      <c r="R103">
        <f>'收入支出明细表（基础数据表）'!R103</f>
        <v>0</v>
      </c>
      <c r="S103">
        <f>'收入支出明细表（基础数据表）'!S103</f>
        <v>0</v>
      </c>
    </row>
    <row r="104">
      <c r="D104" t="str">
        <v>付款进度-比例</v>
      </c>
      <c r="E104">
        <f>'收入支出明细表（基础数据表）'!E104</f>
        <v>0</v>
      </c>
      <c r="F104">
        <f>'收入支出明细表（基础数据表）'!F104</f>
        <v>0</v>
      </c>
      <c r="G104">
        <f>'收入支出明细表（基础数据表）'!G104</f>
        <v>0</v>
      </c>
      <c r="H104" t="e">
        <f>'收入支出明细表（基础数据表）'!H104</f>
        <v>#DIV/0!</v>
      </c>
      <c r="I104" t="e">
        <f>'收入支出明细表（基础数据表）'!I104</f>
        <v>#DIV/0!</v>
      </c>
      <c r="J104" t="e">
        <f>'收入支出明细表（基础数据表）'!J104</f>
        <v>#DIV/0!</v>
      </c>
      <c r="K104" t="e">
        <f>'收入支出明细表（基础数据表）'!K104</f>
        <v>#DIV/0!</v>
      </c>
      <c r="L104" t="e">
        <f>'收入支出明细表（基础数据表）'!L104</f>
        <v>#DIV/0!</v>
      </c>
      <c r="M104" t="e">
        <f>'收入支出明细表（基础数据表）'!M104</f>
        <v>#DIV/0!</v>
      </c>
      <c r="N104" t="e">
        <f>'收入支出明细表（基础数据表）'!N104</f>
        <v>#DIV/0!</v>
      </c>
      <c r="O104" t="e">
        <f>'收入支出明细表（基础数据表）'!O104</f>
        <v>#DIV/0!</v>
      </c>
      <c r="P104" t="e">
        <f>'收入支出明细表（基础数据表）'!P104</f>
        <v>#DIV/0!</v>
      </c>
      <c r="Q104" t="e">
        <f>'收入支出明细表（基础数据表）'!Q104</f>
        <v>#DIV/0!</v>
      </c>
      <c r="R104" t="e">
        <f>'收入支出明细表（基础数据表）'!R104</f>
        <v>#DIV/0!</v>
      </c>
      <c r="S104" t="e">
        <f>'收入支出明细表（基础数据表）'!S104</f>
        <v>#DIV/0!</v>
      </c>
    </row>
    <row r="105">
      <c r="C105" t="str">
        <v>2、定制软件类投资</v>
      </c>
      <c r="D105" t="str">
        <v>支出</v>
      </c>
      <c r="E105">
        <f>'收入支出明细表（基础数据表）'!E105</f>
        <v>0</v>
      </c>
      <c r="F105">
        <f>'收入支出明细表（基础数据表）'!F105</f>
        <v>0.06</v>
      </c>
      <c r="G105">
        <f>'收入支出明细表（基础数据表）'!G105</f>
        <v>0</v>
      </c>
      <c r="H105">
        <f>'收入支出明细表（基础数据表）'!H105</f>
        <v>0</v>
      </c>
      <c r="I105">
        <f>'收入支出明细表（基础数据表）'!I105</f>
        <v>0</v>
      </c>
      <c r="J105">
        <f>'收入支出明细表（基础数据表）'!J105</f>
        <v>0</v>
      </c>
      <c r="K105">
        <f>'收入支出明细表（基础数据表）'!K105</f>
        <v>0</v>
      </c>
      <c r="L105">
        <f>'收入支出明细表（基础数据表）'!L105</f>
        <v>0</v>
      </c>
      <c r="M105">
        <f>'收入支出明细表（基础数据表）'!M105</f>
        <v>0</v>
      </c>
      <c r="N105">
        <f>'收入支出明细表（基础数据表）'!N105</f>
        <v>0</v>
      </c>
      <c r="O105">
        <f>'收入支出明细表（基础数据表）'!O105</f>
        <v>0</v>
      </c>
      <c r="P105">
        <f>'收入支出明细表（基础数据表）'!P105</f>
        <v>0</v>
      </c>
      <c r="Q105">
        <f>'收入支出明细表（基础数据表）'!Q105</f>
        <v>0</v>
      </c>
      <c r="R105">
        <f>'收入支出明细表（基础数据表）'!R105</f>
        <v>0</v>
      </c>
      <c r="S105">
        <f>'收入支出明细表（基础数据表）'!S105</f>
        <v>0</v>
      </c>
    </row>
    <row r="106">
      <c r="D106" t="str">
        <v>付款进度-金额</v>
      </c>
      <c r="E106">
        <f>'收入支出明细表（基础数据表）'!E106</f>
        <v>0</v>
      </c>
      <c r="F106">
        <f>'收入支出明细表（基础数据表）'!F106</f>
        <v>0</v>
      </c>
      <c r="G106">
        <f>'收入支出明细表（基础数据表）'!G106</f>
        <v>0</v>
      </c>
      <c r="H106">
        <f>'收入支出明细表（基础数据表）'!H106</f>
        <v>0</v>
      </c>
      <c r="I106">
        <f>'收入支出明细表（基础数据表）'!I106</f>
        <v>0</v>
      </c>
      <c r="J106">
        <f>'收入支出明细表（基础数据表）'!J106</f>
        <v>0</v>
      </c>
      <c r="K106">
        <f>'收入支出明细表（基础数据表）'!K106</f>
        <v>0</v>
      </c>
      <c r="L106">
        <f>'收入支出明细表（基础数据表）'!L106</f>
        <v>0</v>
      </c>
      <c r="M106">
        <f>'收入支出明细表（基础数据表）'!M106</f>
        <v>0</v>
      </c>
      <c r="N106">
        <f>'收入支出明细表（基础数据表）'!N106</f>
        <v>0</v>
      </c>
      <c r="O106">
        <f>'收入支出明细表（基础数据表）'!O106</f>
        <v>0</v>
      </c>
      <c r="P106">
        <f>'收入支出明细表（基础数据表）'!P106</f>
        <v>0</v>
      </c>
      <c r="Q106">
        <f>'收入支出明细表（基础数据表）'!Q106</f>
        <v>0</v>
      </c>
      <c r="R106">
        <f>'收入支出明细表（基础数据表）'!R106</f>
        <v>0</v>
      </c>
      <c r="S106">
        <f>'收入支出明细表（基础数据表）'!S106</f>
        <v>0</v>
      </c>
    </row>
    <row r="107">
      <c r="D107" t="str">
        <v>付款进度-比例</v>
      </c>
      <c r="E107">
        <f>'收入支出明细表（基础数据表）'!E107</f>
        <v>0</v>
      </c>
      <c r="F107">
        <f>'收入支出明细表（基础数据表）'!F107</f>
        <v>0</v>
      </c>
      <c r="G107">
        <f>'收入支出明细表（基础数据表）'!G107</f>
        <v>0</v>
      </c>
      <c r="H107" t="e">
        <f>'收入支出明细表（基础数据表）'!H107</f>
        <v>#DIV/0!</v>
      </c>
      <c r="I107" t="e">
        <f>'收入支出明细表（基础数据表）'!I107</f>
        <v>#DIV/0!</v>
      </c>
      <c r="J107" t="e">
        <f>'收入支出明细表（基础数据表）'!J107</f>
        <v>#DIV/0!</v>
      </c>
      <c r="K107" t="e">
        <f>'收入支出明细表（基础数据表）'!K107</f>
        <v>#DIV/0!</v>
      </c>
      <c r="L107" t="e">
        <f>'收入支出明细表（基础数据表）'!L107</f>
        <v>#DIV/0!</v>
      </c>
      <c r="M107" t="e">
        <f>'收入支出明细表（基础数据表）'!M107</f>
        <v>#DIV/0!</v>
      </c>
      <c r="N107" t="e">
        <f>'收入支出明细表（基础数据表）'!N107</f>
        <v>#DIV/0!</v>
      </c>
      <c r="O107" t="e">
        <f>'收入支出明细表（基础数据表）'!O107</f>
        <v>#DIV/0!</v>
      </c>
      <c r="P107" t="e">
        <f>'收入支出明细表（基础数据表）'!P107</f>
        <v>#DIV/0!</v>
      </c>
      <c r="Q107" t="e">
        <f>'收入支出明细表（基础数据表）'!Q107</f>
        <v>#DIV/0!</v>
      </c>
      <c r="R107" t="e">
        <f>'收入支出明细表（基础数据表）'!R107</f>
        <v>#DIV/0!</v>
      </c>
      <c r="S107" t="e">
        <f>'收入支出明细表（基础数据表）'!S107</f>
        <v>#DIV/0!</v>
      </c>
    </row>
    <row r="108">
      <c r="C108" t="str">
        <v>3、 集成服务费-信息服务</v>
      </c>
      <c r="D108" t="str">
        <v>支出</v>
      </c>
      <c r="E108">
        <f>'收入支出明细表（基础数据表）'!E108</f>
        <v>0</v>
      </c>
      <c r="F108">
        <f>'收入支出明细表（基础数据表）'!F108</f>
        <v>0.06</v>
      </c>
      <c r="G108">
        <f>'收入支出明细表（基础数据表）'!G108</f>
        <v>0</v>
      </c>
      <c r="H108">
        <f>'收入支出明细表（基础数据表）'!H108</f>
        <v>0</v>
      </c>
      <c r="I108">
        <f>'收入支出明细表（基础数据表）'!I108</f>
        <v>0</v>
      </c>
      <c r="J108">
        <f>'收入支出明细表（基础数据表）'!J108</f>
        <v>0</v>
      </c>
      <c r="K108">
        <f>'收入支出明细表（基础数据表）'!K108</f>
        <v>0</v>
      </c>
      <c r="L108">
        <f>'收入支出明细表（基础数据表）'!L108</f>
        <v>0</v>
      </c>
      <c r="M108">
        <f>'收入支出明细表（基础数据表）'!M108</f>
        <v>0</v>
      </c>
      <c r="N108">
        <f>'收入支出明细表（基础数据表）'!N108</f>
        <v>0</v>
      </c>
      <c r="O108">
        <f>'收入支出明细表（基础数据表）'!O108</f>
        <v>0</v>
      </c>
      <c r="P108">
        <f>'收入支出明细表（基础数据表）'!P108</f>
        <v>0</v>
      </c>
      <c r="Q108">
        <f>'收入支出明细表（基础数据表）'!Q108</f>
        <v>0</v>
      </c>
      <c r="R108">
        <f>'收入支出明细表（基础数据表）'!R108</f>
        <v>0</v>
      </c>
      <c r="S108">
        <f>'收入支出明细表（基础数据表）'!S108</f>
        <v>0</v>
      </c>
    </row>
    <row r="109">
      <c r="D109" t="str">
        <v>付款进度-金额</v>
      </c>
      <c r="E109">
        <f>'收入支出明细表（基础数据表）'!E109</f>
        <v>0</v>
      </c>
      <c r="F109">
        <f>'收入支出明细表（基础数据表）'!F109</f>
        <v>0</v>
      </c>
      <c r="G109">
        <f>'收入支出明细表（基础数据表）'!G109</f>
        <v>0</v>
      </c>
      <c r="H109">
        <f>'收入支出明细表（基础数据表）'!H109</f>
        <v>0</v>
      </c>
      <c r="I109">
        <f>'收入支出明细表（基础数据表）'!I109</f>
        <v>0</v>
      </c>
      <c r="J109">
        <f>'收入支出明细表（基础数据表）'!J109</f>
        <v>0</v>
      </c>
      <c r="K109">
        <f>'收入支出明细表（基础数据表）'!K109</f>
        <v>0</v>
      </c>
      <c r="L109">
        <f>'收入支出明细表（基础数据表）'!L109</f>
        <v>0</v>
      </c>
      <c r="M109">
        <f>'收入支出明细表（基础数据表）'!M109</f>
        <v>0</v>
      </c>
      <c r="N109">
        <f>'收入支出明细表（基础数据表）'!N109</f>
        <v>0</v>
      </c>
      <c r="O109">
        <f>'收入支出明细表（基础数据表）'!O109</f>
        <v>0</v>
      </c>
      <c r="P109">
        <f>'收入支出明细表（基础数据表）'!P109</f>
        <v>0</v>
      </c>
      <c r="Q109">
        <f>'收入支出明细表（基础数据表）'!Q109</f>
        <v>0</v>
      </c>
      <c r="R109">
        <f>'收入支出明细表（基础数据表）'!R109</f>
        <v>0</v>
      </c>
      <c r="S109">
        <f>'收入支出明细表（基础数据表）'!S109</f>
        <v>0</v>
      </c>
    </row>
    <row r="110">
      <c r="D110" t="str">
        <v>付款进度-比例</v>
      </c>
      <c r="E110">
        <f>'收入支出明细表（基础数据表）'!E110</f>
        <v>0</v>
      </c>
      <c r="F110">
        <f>'收入支出明细表（基础数据表）'!F110</f>
        <v>0</v>
      </c>
      <c r="G110">
        <f>'收入支出明细表（基础数据表）'!G110</f>
        <v>0</v>
      </c>
      <c r="H110" t="e">
        <f>'收入支出明细表（基础数据表）'!H110</f>
        <v>#DIV/0!</v>
      </c>
      <c r="I110" t="e">
        <f>'收入支出明细表（基础数据表）'!I110</f>
        <v>#DIV/0!</v>
      </c>
      <c r="J110" t="e">
        <f>'收入支出明细表（基础数据表）'!J110</f>
        <v>#DIV/0!</v>
      </c>
      <c r="K110" t="e">
        <f>'收入支出明细表（基础数据表）'!K110</f>
        <v>#DIV/0!</v>
      </c>
      <c r="L110" t="e">
        <f>'收入支出明细表（基础数据表）'!L110</f>
        <v>#DIV/0!</v>
      </c>
      <c r="M110" t="e">
        <f>'收入支出明细表（基础数据表）'!M110</f>
        <v>#DIV/0!</v>
      </c>
      <c r="N110" t="e">
        <f>'收入支出明细表（基础数据表）'!N110</f>
        <v>#DIV/0!</v>
      </c>
      <c r="O110" t="e">
        <f>'收入支出明细表（基础数据表）'!O110</f>
        <v>#DIV/0!</v>
      </c>
      <c r="P110" t="e">
        <f>'收入支出明细表（基础数据表）'!P110</f>
        <v>#DIV/0!</v>
      </c>
      <c r="Q110" t="e">
        <f>'收入支出明细表（基础数据表）'!Q110</f>
        <v>#DIV/0!</v>
      </c>
      <c r="R110" t="e">
        <f>'收入支出明细表（基础数据表）'!R110</f>
        <v>#DIV/0!</v>
      </c>
      <c r="S110" t="e">
        <f>'收入支出明细表（基础数据表）'!S110</f>
        <v>#DIV/0!</v>
      </c>
    </row>
    <row r="111">
      <c r="C111" t="str">
        <v>4、 集成服务费-安装</v>
      </c>
      <c r="D111" t="str">
        <v>支出</v>
      </c>
      <c r="E111">
        <f>'收入支出明细表（基础数据表）'!E111</f>
        <v>0</v>
      </c>
      <c r="F111">
        <f>'收入支出明细表（基础数据表）'!F111</f>
        <v>0.09</v>
      </c>
      <c r="G111">
        <f>'收入支出明细表（基础数据表）'!G111</f>
        <v>0</v>
      </c>
      <c r="H111">
        <f>'收入支出明细表（基础数据表）'!H111</f>
        <v>0</v>
      </c>
      <c r="I111">
        <f>'收入支出明细表（基础数据表）'!I111</f>
        <v>0</v>
      </c>
      <c r="J111">
        <f>'收入支出明细表（基础数据表）'!J111</f>
        <v>0</v>
      </c>
      <c r="K111">
        <f>'收入支出明细表（基础数据表）'!K111</f>
        <v>0</v>
      </c>
      <c r="L111">
        <f>'收入支出明细表（基础数据表）'!L111</f>
        <v>0</v>
      </c>
      <c r="M111">
        <f>'收入支出明细表（基础数据表）'!M111</f>
        <v>0</v>
      </c>
      <c r="N111">
        <f>'收入支出明细表（基础数据表）'!N111</f>
        <v>0</v>
      </c>
      <c r="O111">
        <f>'收入支出明细表（基础数据表）'!O111</f>
        <v>0</v>
      </c>
      <c r="P111">
        <f>'收入支出明细表（基础数据表）'!P111</f>
        <v>0</v>
      </c>
      <c r="Q111">
        <f>'收入支出明细表（基础数据表）'!Q111</f>
        <v>0</v>
      </c>
      <c r="R111">
        <f>'收入支出明细表（基础数据表）'!R111</f>
        <v>0</v>
      </c>
      <c r="S111">
        <f>'收入支出明细表（基础数据表）'!S111</f>
        <v>0</v>
      </c>
    </row>
    <row r="112">
      <c r="D112" t="str">
        <v>付款进度-金额</v>
      </c>
      <c r="E112">
        <f>'收入支出明细表（基础数据表）'!E112</f>
        <v>0</v>
      </c>
      <c r="F112">
        <f>'收入支出明细表（基础数据表）'!F112</f>
        <v>0</v>
      </c>
      <c r="G112">
        <f>'收入支出明细表（基础数据表）'!G112</f>
        <v>0</v>
      </c>
      <c r="H112">
        <f>'收入支出明细表（基础数据表）'!H112</f>
        <v>0</v>
      </c>
      <c r="I112">
        <f>'收入支出明细表（基础数据表）'!I112</f>
        <v>0</v>
      </c>
      <c r="J112">
        <f>'收入支出明细表（基础数据表）'!J112</f>
        <v>0</v>
      </c>
      <c r="K112">
        <f>'收入支出明细表（基础数据表）'!K112</f>
        <v>0</v>
      </c>
      <c r="L112">
        <f>'收入支出明细表（基础数据表）'!L112</f>
        <v>0</v>
      </c>
      <c r="M112">
        <f>'收入支出明细表（基础数据表）'!M112</f>
        <v>0</v>
      </c>
      <c r="N112">
        <f>'收入支出明细表（基础数据表）'!N112</f>
        <v>0</v>
      </c>
      <c r="O112">
        <f>'收入支出明细表（基础数据表）'!O112</f>
        <v>0</v>
      </c>
      <c r="P112">
        <f>'收入支出明细表（基础数据表）'!P112</f>
        <v>0</v>
      </c>
      <c r="Q112">
        <f>'收入支出明细表（基础数据表）'!Q112</f>
        <v>0</v>
      </c>
      <c r="R112">
        <f>'收入支出明细表（基础数据表）'!R112</f>
        <v>0</v>
      </c>
      <c r="S112">
        <f>'收入支出明细表（基础数据表）'!S112</f>
        <v>0</v>
      </c>
    </row>
    <row r="113">
      <c r="D113" t="str">
        <v>付款进度-比例</v>
      </c>
      <c r="E113">
        <f>'收入支出明细表（基础数据表）'!E113</f>
        <v>0</v>
      </c>
      <c r="F113">
        <f>'收入支出明细表（基础数据表）'!F113</f>
        <v>0</v>
      </c>
      <c r="G113">
        <f>'收入支出明细表（基础数据表）'!G113</f>
        <v>0</v>
      </c>
      <c r="H113" t="e">
        <f>'收入支出明细表（基础数据表）'!H113</f>
        <v>#DIV/0!</v>
      </c>
      <c r="I113" t="e">
        <f>'收入支出明细表（基础数据表）'!I113</f>
        <v>#DIV/0!</v>
      </c>
      <c r="J113" t="e">
        <f>'收入支出明细表（基础数据表）'!J113</f>
        <v>#DIV/0!</v>
      </c>
      <c r="K113" t="e">
        <f>'收入支出明细表（基础数据表）'!K113</f>
        <v>#DIV/0!</v>
      </c>
      <c r="L113" t="e">
        <f>'收入支出明细表（基础数据表）'!L113</f>
        <v>#DIV/0!</v>
      </c>
      <c r="M113" t="e">
        <f>'收入支出明细表（基础数据表）'!M113</f>
        <v>#DIV/0!</v>
      </c>
      <c r="N113" t="e">
        <f>'收入支出明细表（基础数据表）'!N113</f>
        <v>#DIV/0!</v>
      </c>
      <c r="O113" t="e">
        <f>'收入支出明细表（基础数据表）'!O113</f>
        <v>#DIV/0!</v>
      </c>
      <c r="P113" t="e">
        <f>'收入支出明细表（基础数据表）'!P113</f>
        <v>#DIV/0!</v>
      </c>
      <c r="Q113" t="e">
        <f>'收入支出明细表（基础数据表）'!Q113</f>
        <v>#DIV/0!</v>
      </c>
      <c r="R113" t="e">
        <f>'收入支出明细表（基础数据表）'!R113</f>
        <v>#DIV/0!</v>
      </c>
      <c r="S113" t="e">
        <f>'收入支出明细表（基础数据表）'!S113</f>
        <v>#DIV/0!</v>
      </c>
    </row>
    <row r="114">
      <c r="C114" t="str">
        <v>5、工程配套费</v>
      </c>
      <c r="D114" t="str">
        <v>支出</v>
      </c>
      <c r="E114">
        <f>'收入支出明细表（基础数据表）'!E114</f>
        <v>0</v>
      </c>
      <c r="F114">
        <f>'收入支出明细表（基础数据表）'!F114</f>
        <v>0.09</v>
      </c>
      <c r="G114">
        <f>'收入支出明细表（基础数据表）'!G114</f>
        <v>0</v>
      </c>
      <c r="H114">
        <f>'收入支出明细表（基础数据表）'!H114</f>
        <v>0</v>
      </c>
      <c r="I114">
        <f>'收入支出明细表（基础数据表）'!I114</f>
        <v>0</v>
      </c>
      <c r="J114">
        <f>'收入支出明细表（基础数据表）'!J114</f>
        <v>0</v>
      </c>
      <c r="K114">
        <f>'收入支出明细表（基础数据表）'!K114</f>
        <v>0</v>
      </c>
      <c r="L114">
        <f>'收入支出明细表（基础数据表）'!L114</f>
        <v>0</v>
      </c>
      <c r="M114">
        <f>'收入支出明细表（基础数据表）'!M114</f>
        <v>0</v>
      </c>
      <c r="N114">
        <f>'收入支出明细表（基础数据表）'!N114</f>
        <v>0</v>
      </c>
      <c r="O114">
        <f>'收入支出明细表（基础数据表）'!O114</f>
        <v>0</v>
      </c>
      <c r="P114">
        <f>'收入支出明细表（基础数据表）'!P114</f>
        <v>0</v>
      </c>
      <c r="Q114">
        <f>'收入支出明细表（基础数据表）'!Q114</f>
        <v>0</v>
      </c>
      <c r="R114">
        <f>'收入支出明细表（基础数据表）'!R114</f>
        <v>0</v>
      </c>
      <c r="S114">
        <f>'收入支出明细表（基础数据表）'!S114</f>
        <v>0</v>
      </c>
    </row>
    <row r="115">
      <c r="D115" t="str">
        <v>付款进度-金额</v>
      </c>
      <c r="E115">
        <f>'收入支出明细表（基础数据表）'!E115</f>
        <v>0</v>
      </c>
      <c r="F115">
        <f>'收入支出明细表（基础数据表）'!F115</f>
        <v>0</v>
      </c>
      <c r="G115">
        <f>'收入支出明细表（基础数据表）'!G115</f>
        <v>0</v>
      </c>
      <c r="H115">
        <f>'收入支出明细表（基础数据表）'!H115</f>
        <v>0</v>
      </c>
      <c r="I115">
        <f>'收入支出明细表（基础数据表）'!I115</f>
        <v>0</v>
      </c>
      <c r="J115">
        <f>'收入支出明细表（基础数据表）'!J115</f>
        <v>0</v>
      </c>
      <c r="K115">
        <f>'收入支出明细表（基础数据表）'!K115</f>
        <v>0</v>
      </c>
      <c r="L115">
        <f>'收入支出明细表（基础数据表）'!L115</f>
        <v>0</v>
      </c>
      <c r="M115">
        <f>'收入支出明细表（基础数据表）'!M115</f>
        <v>0</v>
      </c>
      <c r="N115">
        <f>'收入支出明细表（基础数据表）'!N115</f>
        <v>0</v>
      </c>
      <c r="O115">
        <f>'收入支出明细表（基础数据表）'!O115</f>
        <v>0</v>
      </c>
      <c r="P115">
        <f>'收入支出明细表（基础数据表）'!P115</f>
        <v>0</v>
      </c>
      <c r="Q115">
        <f>'收入支出明细表（基础数据表）'!Q115</f>
        <v>0</v>
      </c>
      <c r="R115">
        <f>'收入支出明细表（基础数据表）'!R115</f>
        <v>0</v>
      </c>
      <c r="S115">
        <f>'收入支出明细表（基础数据表）'!S115</f>
        <v>0</v>
      </c>
    </row>
    <row r="116">
      <c r="D116" t="str">
        <v>付款进度-比例</v>
      </c>
      <c r="E116">
        <f>'收入支出明细表（基础数据表）'!E116</f>
        <v>0</v>
      </c>
      <c r="F116">
        <f>'收入支出明细表（基础数据表）'!F116</f>
        <v>0</v>
      </c>
      <c r="G116">
        <f>'收入支出明细表（基础数据表）'!G116</f>
        <v>0</v>
      </c>
      <c r="H116" t="e">
        <f>'收入支出明细表（基础数据表）'!H116</f>
        <v>#DIV/0!</v>
      </c>
      <c r="I116" t="e">
        <f>'收入支出明细表（基础数据表）'!I116</f>
        <v>#DIV/0!</v>
      </c>
      <c r="J116" t="e">
        <f>'收入支出明细表（基础数据表）'!J116</f>
        <v>#DIV/0!</v>
      </c>
      <c r="K116" t="e">
        <f>'收入支出明细表（基础数据表）'!K116</f>
        <v>#DIV/0!</v>
      </c>
      <c r="L116" t="e">
        <f>'收入支出明细表（基础数据表）'!L116</f>
        <v>#DIV/0!</v>
      </c>
      <c r="M116" t="e">
        <f>'收入支出明细表（基础数据表）'!M116</f>
        <v>#DIV/0!</v>
      </c>
      <c r="N116" t="e">
        <f>'收入支出明细表（基础数据表）'!N116</f>
        <v>#DIV/0!</v>
      </c>
      <c r="O116" t="e">
        <f>'收入支出明细表（基础数据表）'!O116</f>
        <v>#DIV/0!</v>
      </c>
      <c r="P116" t="e">
        <f>'收入支出明细表（基础数据表）'!P116</f>
        <v>#DIV/0!</v>
      </c>
      <c r="Q116" t="e">
        <f>'收入支出明细表（基础数据表）'!Q116</f>
        <v>#DIV/0!</v>
      </c>
      <c r="R116" t="e">
        <f>'收入支出明细表（基础数据表）'!R116</f>
        <v>#DIV/0!</v>
      </c>
      <c r="S116" t="e">
        <f>'收入支出明细表（基础数据表）'!S116</f>
        <v>#DIV/0!</v>
      </c>
    </row>
    <row r="117">
      <c r="C117" t="str">
        <v>6、建安费用</v>
      </c>
      <c r="D117" t="str">
        <v>支出</v>
      </c>
      <c r="E117">
        <f>'收入支出明细表（基础数据表）'!E117</f>
        <v>0</v>
      </c>
      <c r="F117">
        <f>'收入支出明细表（基础数据表）'!F117</f>
        <v>0.09</v>
      </c>
      <c r="G117">
        <f>'收入支出明细表（基础数据表）'!G117</f>
        <v>0</v>
      </c>
      <c r="H117">
        <f>'收入支出明细表（基础数据表）'!H117</f>
        <v>0</v>
      </c>
      <c r="I117">
        <f>'收入支出明细表（基础数据表）'!I117</f>
        <v>0</v>
      </c>
      <c r="J117">
        <f>'收入支出明细表（基础数据表）'!J117</f>
        <v>0</v>
      </c>
      <c r="K117">
        <f>'收入支出明细表（基础数据表）'!K117</f>
        <v>0</v>
      </c>
      <c r="L117">
        <f>'收入支出明细表（基础数据表）'!L117</f>
        <v>0</v>
      </c>
      <c r="M117">
        <f>'收入支出明细表（基础数据表）'!M117</f>
        <v>0</v>
      </c>
      <c r="N117">
        <f>'收入支出明细表（基础数据表）'!N117</f>
        <v>0</v>
      </c>
      <c r="O117">
        <f>'收入支出明细表（基础数据表）'!O117</f>
        <v>0</v>
      </c>
      <c r="P117">
        <f>'收入支出明细表（基础数据表）'!P117</f>
        <v>0</v>
      </c>
      <c r="Q117">
        <f>'收入支出明细表（基础数据表）'!Q117</f>
        <v>0</v>
      </c>
      <c r="R117">
        <f>'收入支出明细表（基础数据表）'!R117</f>
        <v>0</v>
      </c>
      <c r="S117">
        <f>'收入支出明细表（基础数据表）'!S117</f>
        <v>0</v>
      </c>
    </row>
    <row r="118">
      <c r="D118" t="str">
        <v>付款进度-金额</v>
      </c>
      <c r="E118">
        <f>'收入支出明细表（基础数据表）'!E118</f>
        <v>0</v>
      </c>
      <c r="F118">
        <f>'收入支出明细表（基础数据表）'!F118</f>
        <v>0</v>
      </c>
      <c r="G118">
        <f>'收入支出明细表（基础数据表）'!G118</f>
        <v>0</v>
      </c>
      <c r="H118">
        <f>'收入支出明细表（基础数据表）'!H118</f>
        <v>0</v>
      </c>
      <c r="I118">
        <f>'收入支出明细表（基础数据表）'!I118</f>
        <v>0</v>
      </c>
      <c r="J118">
        <f>'收入支出明细表（基础数据表）'!J118</f>
        <v>0</v>
      </c>
      <c r="K118">
        <f>'收入支出明细表（基础数据表）'!K118</f>
        <v>0</v>
      </c>
      <c r="L118">
        <f>'收入支出明细表（基础数据表）'!L118</f>
        <v>0</v>
      </c>
      <c r="M118">
        <f>'收入支出明细表（基础数据表）'!M118</f>
        <v>0</v>
      </c>
      <c r="N118">
        <f>'收入支出明细表（基础数据表）'!N118</f>
        <v>0</v>
      </c>
      <c r="O118">
        <f>'收入支出明细表（基础数据表）'!O118</f>
        <v>0</v>
      </c>
      <c r="P118">
        <f>'收入支出明细表（基础数据表）'!P118</f>
        <v>0</v>
      </c>
      <c r="Q118">
        <f>'收入支出明细表（基础数据表）'!Q118</f>
        <v>0</v>
      </c>
      <c r="R118">
        <f>'收入支出明细表（基础数据表）'!R118</f>
        <v>0</v>
      </c>
      <c r="S118">
        <f>'收入支出明细表（基础数据表）'!S118</f>
        <v>0</v>
      </c>
    </row>
    <row r="119">
      <c r="D119" t="str">
        <v>付款进度-比例</v>
      </c>
      <c r="E119">
        <f>'收入支出明细表（基础数据表）'!E119</f>
        <v>0</v>
      </c>
      <c r="F119">
        <f>'收入支出明细表（基础数据表）'!F119</f>
        <v>0</v>
      </c>
      <c r="G119">
        <f>'收入支出明细表（基础数据表）'!G119</f>
        <v>0</v>
      </c>
      <c r="H119" t="e">
        <f>'收入支出明细表（基础数据表）'!H119</f>
        <v>#DIV/0!</v>
      </c>
      <c r="I119" t="e">
        <f>'收入支出明细表（基础数据表）'!I119</f>
        <v>#DIV/0!</v>
      </c>
      <c r="J119" t="e">
        <f>'收入支出明细表（基础数据表）'!J119</f>
        <v>#DIV/0!</v>
      </c>
      <c r="K119" t="e">
        <f>'收入支出明细表（基础数据表）'!K119</f>
        <v>#DIV/0!</v>
      </c>
      <c r="L119" t="e">
        <f>'收入支出明细表（基础数据表）'!L119</f>
        <v>#DIV/0!</v>
      </c>
      <c r="M119" t="e">
        <f>'收入支出明细表（基础数据表）'!M119</f>
        <v>#DIV/0!</v>
      </c>
      <c r="N119" t="e">
        <f>'收入支出明细表（基础数据表）'!N119</f>
        <v>#DIV/0!</v>
      </c>
      <c r="O119" t="e">
        <f>'收入支出明细表（基础数据表）'!O119</f>
        <v>#DIV/0!</v>
      </c>
      <c r="P119" t="e">
        <f>'收入支出明细表（基础数据表）'!P119</f>
        <v>#DIV/0!</v>
      </c>
      <c r="Q119" t="e">
        <f>'收入支出明细表（基础数据表）'!Q119</f>
        <v>#DIV/0!</v>
      </c>
      <c r="R119" t="e">
        <f>'收入支出明细表（基础数据表）'!R119</f>
        <v>#DIV/0!</v>
      </c>
      <c r="S119" t="e">
        <f>'收入支出明细表（基础数据表）'!S119</f>
        <v>#DIV/0!</v>
      </c>
    </row>
    <row r="120">
      <c r="C120" t="str">
        <v xml:space="preserve">        ……</v>
      </c>
      <c r="E120">
        <f>'收入支出明细表（基础数据表）'!E120</f>
        <v>0</v>
      </c>
      <c r="F120">
        <f>'收入支出明细表（基础数据表）'!F120</f>
        <v>0</v>
      </c>
      <c r="G120">
        <f>'收入支出明细表（基础数据表）'!G120</f>
        <v>0</v>
      </c>
      <c r="H120">
        <f>'收入支出明细表（基础数据表）'!H120</f>
        <v>0</v>
      </c>
      <c r="I120">
        <f>'收入支出明细表（基础数据表）'!I120</f>
        <v>0</v>
      </c>
      <c r="J120">
        <f>'收入支出明细表（基础数据表）'!J120</f>
        <v>0</v>
      </c>
      <c r="K120">
        <f>'收入支出明细表（基础数据表）'!K120</f>
        <v>0</v>
      </c>
      <c r="L120">
        <f>'收入支出明细表（基础数据表）'!L120</f>
        <v>0</v>
      </c>
      <c r="M120">
        <f>'收入支出明细表（基础数据表）'!M120</f>
        <v>0</v>
      </c>
      <c r="N120">
        <f>'收入支出明细表（基础数据表）'!N120</f>
        <v>0</v>
      </c>
      <c r="O120">
        <f>'收入支出明细表（基础数据表）'!O120</f>
        <v>0</v>
      </c>
      <c r="P120">
        <f>'收入支出明细表（基础数据表）'!P120</f>
        <v>0</v>
      </c>
      <c r="Q120">
        <f>'收入支出明细表（基础数据表）'!Q120</f>
        <v>0</v>
      </c>
      <c r="R120">
        <f>'收入支出明细表（基础数据表）'!R120</f>
        <v>0</v>
      </c>
      <c r="S120">
        <f>'收入支出明细表（基础数据表）'!S120</f>
        <v>0</v>
      </c>
    </row>
    <row r="121">
      <c r="B121" t="str">
        <v>CT类投资</v>
      </c>
      <c r="C121" t="str">
        <v>CT类投资合计</v>
      </c>
      <c r="D121" t="str">
        <v>支出</v>
      </c>
      <c r="E121">
        <f>'收入支出明细表（基础数据表）'!E121</f>
        <v>0</v>
      </c>
      <c r="F121">
        <f>'收入支出明细表（基础数据表）'!F121</f>
        <v>0</v>
      </c>
      <c r="G121">
        <f>'收入支出明细表（基础数据表）'!G121</f>
        <v>0</v>
      </c>
      <c r="H121">
        <f>'收入支出明细表（基础数据表）'!H121</f>
        <v>0</v>
      </c>
      <c r="I121">
        <f>'收入支出明细表（基础数据表）'!I121</f>
        <v>0</v>
      </c>
      <c r="J121">
        <f>'收入支出明细表（基础数据表）'!J121</f>
        <v>0</v>
      </c>
      <c r="K121">
        <f>'收入支出明细表（基础数据表）'!K121</f>
        <v>0</v>
      </c>
      <c r="L121">
        <f>'收入支出明细表（基础数据表）'!L121</f>
        <v>0</v>
      </c>
      <c r="M121">
        <f>'收入支出明细表（基础数据表）'!M121</f>
        <v>0</v>
      </c>
      <c r="N121">
        <f>'收入支出明细表（基础数据表）'!N121</f>
        <v>0</v>
      </c>
      <c r="O121">
        <f>'收入支出明细表（基础数据表）'!O121</f>
        <v>0</v>
      </c>
      <c r="P121">
        <f>'收入支出明细表（基础数据表）'!P121</f>
        <v>0</v>
      </c>
      <c r="Q121">
        <f>'收入支出明细表（基础数据表）'!Q121</f>
        <v>0</v>
      </c>
      <c r="R121">
        <f>'收入支出明细表（基础数据表）'!R121</f>
        <v>0</v>
      </c>
      <c r="S121">
        <f>'收入支出明细表（基础数据表）'!S121</f>
        <v>0</v>
      </c>
    </row>
    <row r="122">
      <c r="D122" t="str">
        <v>付款进度-金额</v>
      </c>
      <c r="E122">
        <f>'收入支出明细表（基础数据表）'!E122</f>
        <v>0</v>
      </c>
      <c r="F122">
        <f>'收入支出明细表（基础数据表）'!F122</f>
        <v>0</v>
      </c>
      <c r="G122">
        <f>'收入支出明细表（基础数据表）'!G122</f>
        <v>0</v>
      </c>
      <c r="H122">
        <f>'收入支出明细表（基础数据表）'!H122</f>
        <v>0</v>
      </c>
      <c r="I122">
        <f>'收入支出明细表（基础数据表）'!I122</f>
        <v>0</v>
      </c>
      <c r="J122">
        <f>'收入支出明细表（基础数据表）'!J122</f>
        <v>0</v>
      </c>
      <c r="K122">
        <f>'收入支出明细表（基础数据表）'!K122</f>
        <v>0</v>
      </c>
      <c r="L122">
        <f>'收入支出明细表（基础数据表）'!L122</f>
        <v>0</v>
      </c>
      <c r="M122">
        <f>'收入支出明细表（基础数据表）'!M122</f>
        <v>0</v>
      </c>
      <c r="N122">
        <f>'收入支出明细表（基础数据表）'!N122</f>
        <v>0</v>
      </c>
      <c r="O122">
        <f>'收入支出明细表（基础数据表）'!O122</f>
        <v>0</v>
      </c>
      <c r="P122">
        <f>'收入支出明细表（基础数据表）'!P122</f>
        <v>0</v>
      </c>
      <c r="Q122">
        <f>'收入支出明细表（基础数据表）'!Q122</f>
        <v>0</v>
      </c>
      <c r="R122">
        <f>'收入支出明细表（基础数据表）'!R122</f>
        <v>0</v>
      </c>
      <c r="S122">
        <f>'收入支出明细表（基础数据表）'!S122</f>
        <v>0</v>
      </c>
    </row>
    <row r="123">
      <c r="D123" t="str">
        <v>付款进度-比例</v>
      </c>
      <c r="E123">
        <f>'收入支出明细表（基础数据表）'!E123</f>
        <v>0</v>
      </c>
      <c r="F123">
        <f>'收入支出明细表（基础数据表）'!F123</f>
        <v>0</v>
      </c>
      <c r="G123">
        <f>'收入支出明细表（基础数据表）'!G123</f>
        <v>0</v>
      </c>
      <c r="H123" t="e">
        <f>'收入支出明细表（基础数据表）'!H123</f>
        <v>#DIV/0!</v>
      </c>
      <c r="I123" t="e">
        <f>'收入支出明细表（基础数据表）'!I123</f>
        <v>#DIV/0!</v>
      </c>
      <c r="J123" t="e">
        <f>'收入支出明细表（基础数据表）'!J123</f>
        <v>#DIV/0!</v>
      </c>
      <c r="K123" t="e">
        <f>'收入支出明细表（基础数据表）'!K123</f>
        <v>#DIV/0!</v>
      </c>
      <c r="L123" t="e">
        <f>'收入支出明细表（基础数据表）'!L123</f>
        <v>#DIV/0!</v>
      </c>
      <c r="M123" t="e">
        <f>'收入支出明细表（基础数据表）'!M123</f>
        <v>#DIV/0!</v>
      </c>
      <c r="N123" t="e">
        <f>'收入支出明细表（基础数据表）'!N123</f>
        <v>#DIV/0!</v>
      </c>
      <c r="O123" t="e">
        <f>'收入支出明细表（基础数据表）'!O123</f>
        <v>#DIV/0!</v>
      </c>
      <c r="P123" t="e">
        <f>'收入支出明细表（基础数据表）'!P123</f>
        <v>#DIV/0!</v>
      </c>
      <c r="Q123" t="e">
        <f>'收入支出明细表（基础数据表）'!Q123</f>
        <v>#DIV/0!</v>
      </c>
      <c r="R123" t="e">
        <f>'收入支出明细表（基础数据表）'!R123</f>
        <v>#DIV/0!</v>
      </c>
      <c r="S123" t="e">
        <f>'收入支出明细表（基础数据表）'!S123</f>
        <v>#DIV/0!</v>
      </c>
    </row>
    <row r="124">
      <c r="C124" t="str">
        <v>1、硬件设备类投资</v>
      </c>
      <c r="D124" t="str">
        <v>支出</v>
      </c>
      <c r="E124">
        <f>'收入支出明细表（基础数据表）'!E124</f>
        <v>0</v>
      </c>
      <c r="F124">
        <f>'收入支出明细表（基础数据表）'!F124</f>
        <v>0.13</v>
      </c>
      <c r="G124">
        <f>'收入支出明细表（基础数据表）'!G124</f>
        <v>0</v>
      </c>
      <c r="H124">
        <f>'收入支出明细表（基础数据表）'!H124</f>
        <v>0</v>
      </c>
      <c r="I124">
        <f>'收入支出明细表（基础数据表）'!I124</f>
        <v>0</v>
      </c>
      <c r="J124">
        <f>'收入支出明细表（基础数据表）'!J124</f>
        <v>0</v>
      </c>
      <c r="K124">
        <f>'收入支出明细表（基础数据表）'!K124</f>
        <v>0</v>
      </c>
      <c r="L124">
        <f>'收入支出明细表（基础数据表）'!L124</f>
        <v>0</v>
      </c>
      <c r="M124">
        <f>'收入支出明细表（基础数据表）'!M124</f>
        <v>0</v>
      </c>
      <c r="N124">
        <f>'收入支出明细表（基础数据表）'!N124</f>
        <v>0</v>
      </c>
      <c r="O124">
        <f>'收入支出明细表（基础数据表）'!O124</f>
        <v>0</v>
      </c>
      <c r="P124">
        <f>'收入支出明细表（基础数据表）'!P124</f>
        <v>0</v>
      </c>
      <c r="Q124">
        <f>'收入支出明细表（基础数据表）'!Q124</f>
        <v>0</v>
      </c>
      <c r="R124">
        <f>'收入支出明细表（基础数据表）'!R124</f>
        <v>0</v>
      </c>
      <c r="S124">
        <f>'收入支出明细表（基础数据表）'!S124</f>
        <v>0</v>
      </c>
    </row>
    <row r="125">
      <c r="D125" t="str">
        <v>付款进度-金额</v>
      </c>
      <c r="E125">
        <f>'收入支出明细表（基础数据表）'!E125</f>
        <v>0</v>
      </c>
      <c r="F125">
        <f>'收入支出明细表（基础数据表）'!F125</f>
        <v>0</v>
      </c>
      <c r="G125">
        <f>'收入支出明细表（基础数据表）'!G125</f>
        <v>0</v>
      </c>
      <c r="H125">
        <f>'收入支出明细表（基础数据表）'!H125</f>
        <v>0</v>
      </c>
      <c r="I125">
        <f>'收入支出明细表（基础数据表）'!I125</f>
        <v>0</v>
      </c>
      <c r="J125">
        <f>'收入支出明细表（基础数据表）'!J125</f>
        <v>0</v>
      </c>
      <c r="K125">
        <f>'收入支出明细表（基础数据表）'!K125</f>
        <v>0</v>
      </c>
      <c r="L125">
        <f>'收入支出明细表（基础数据表）'!L125</f>
        <v>0</v>
      </c>
      <c r="M125">
        <f>'收入支出明细表（基础数据表）'!M125</f>
        <v>0</v>
      </c>
      <c r="N125">
        <f>'收入支出明细表（基础数据表）'!N125</f>
        <v>0</v>
      </c>
      <c r="O125">
        <f>'收入支出明细表（基础数据表）'!O125</f>
        <v>0</v>
      </c>
      <c r="P125">
        <f>'收入支出明细表（基础数据表）'!P125</f>
        <v>0</v>
      </c>
      <c r="Q125">
        <f>'收入支出明细表（基础数据表）'!Q125</f>
        <v>0</v>
      </c>
      <c r="R125">
        <f>'收入支出明细表（基础数据表）'!R125</f>
        <v>0</v>
      </c>
      <c r="S125">
        <f>'收入支出明细表（基础数据表）'!S125</f>
        <v>0</v>
      </c>
    </row>
    <row r="126">
      <c r="D126" t="str">
        <v>付款进度-比例</v>
      </c>
      <c r="E126">
        <f>'收入支出明细表（基础数据表）'!E126</f>
        <v>0</v>
      </c>
      <c r="F126">
        <f>'收入支出明细表（基础数据表）'!F126</f>
        <v>0</v>
      </c>
      <c r="G126">
        <f>'收入支出明细表（基础数据表）'!G126</f>
        <v>0</v>
      </c>
      <c r="H126" t="e">
        <f>'收入支出明细表（基础数据表）'!H126</f>
        <v>#DIV/0!</v>
      </c>
      <c r="I126" t="e">
        <f>'收入支出明细表（基础数据表）'!I126</f>
        <v>#DIV/0!</v>
      </c>
      <c r="J126" t="e">
        <f>'收入支出明细表（基础数据表）'!J126</f>
        <v>#DIV/0!</v>
      </c>
      <c r="K126" t="e">
        <f>'收入支出明细表（基础数据表）'!K126</f>
        <v>#DIV/0!</v>
      </c>
      <c r="L126" t="e">
        <f>'收入支出明细表（基础数据表）'!L126</f>
        <v>#DIV/0!</v>
      </c>
      <c r="M126" t="e">
        <f>'收入支出明细表（基础数据表）'!M126</f>
        <v>#DIV/0!</v>
      </c>
      <c r="N126" t="e">
        <f>'收入支出明细表（基础数据表）'!N126</f>
        <v>#DIV/0!</v>
      </c>
      <c r="O126" t="e">
        <f>'收入支出明细表（基础数据表）'!O126</f>
        <v>#DIV/0!</v>
      </c>
      <c r="P126" t="e">
        <f>'收入支出明细表（基础数据表）'!P126</f>
        <v>#DIV/0!</v>
      </c>
      <c r="Q126" t="e">
        <f>'收入支出明细表（基础数据表）'!Q126</f>
        <v>#DIV/0!</v>
      </c>
      <c r="R126" t="e">
        <f>'收入支出明细表（基础数据表）'!R126</f>
        <v>#DIV/0!</v>
      </c>
      <c r="S126" t="e">
        <f>'收入支出明细表（基础数据表）'!S126</f>
        <v>#DIV/0!</v>
      </c>
    </row>
    <row r="127">
      <c r="C127" t="str">
        <v>2、定制软件类投资</v>
      </c>
      <c r="D127" t="str">
        <v>支出</v>
      </c>
      <c r="E127">
        <f>'收入支出明细表（基础数据表）'!E127</f>
        <v>0</v>
      </c>
      <c r="F127">
        <f>'收入支出明细表（基础数据表）'!F127</f>
        <v>0.06</v>
      </c>
      <c r="G127">
        <f>'收入支出明细表（基础数据表）'!G127</f>
        <v>0</v>
      </c>
      <c r="H127">
        <f>'收入支出明细表（基础数据表）'!H127</f>
        <v>0</v>
      </c>
      <c r="I127">
        <f>'收入支出明细表（基础数据表）'!I127</f>
        <v>0</v>
      </c>
      <c r="J127">
        <f>'收入支出明细表（基础数据表）'!J127</f>
        <v>0</v>
      </c>
      <c r="K127">
        <f>'收入支出明细表（基础数据表）'!K127</f>
        <v>0</v>
      </c>
      <c r="L127">
        <f>'收入支出明细表（基础数据表）'!L127</f>
        <v>0</v>
      </c>
      <c r="M127">
        <f>'收入支出明细表（基础数据表）'!M127</f>
        <v>0</v>
      </c>
      <c r="N127">
        <f>'收入支出明细表（基础数据表）'!N127</f>
        <v>0</v>
      </c>
      <c r="O127">
        <f>'收入支出明细表（基础数据表）'!O127</f>
        <v>0</v>
      </c>
      <c r="P127">
        <f>'收入支出明细表（基础数据表）'!P127</f>
        <v>0</v>
      </c>
      <c r="Q127">
        <f>'收入支出明细表（基础数据表）'!Q127</f>
        <v>0</v>
      </c>
      <c r="R127">
        <f>'收入支出明细表（基础数据表）'!R127</f>
        <v>0</v>
      </c>
      <c r="S127">
        <f>'收入支出明细表（基础数据表）'!S127</f>
        <v>0</v>
      </c>
    </row>
    <row r="128">
      <c r="D128" t="str">
        <v>付款进度-金额</v>
      </c>
      <c r="E128">
        <f>'收入支出明细表（基础数据表）'!E128</f>
        <v>0</v>
      </c>
      <c r="F128">
        <f>'收入支出明细表（基础数据表）'!F128</f>
        <v>0</v>
      </c>
      <c r="G128">
        <f>'收入支出明细表（基础数据表）'!G128</f>
        <v>0</v>
      </c>
      <c r="H128">
        <f>'收入支出明细表（基础数据表）'!H128</f>
        <v>0</v>
      </c>
      <c r="I128">
        <f>'收入支出明细表（基础数据表）'!I128</f>
        <v>0</v>
      </c>
      <c r="J128">
        <f>'收入支出明细表（基础数据表）'!J128</f>
        <v>0</v>
      </c>
      <c r="K128">
        <f>'收入支出明细表（基础数据表）'!K128</f>
        <v>0</v>
      </c>
      <c r="L128">
        <f>'收入支出明细表（基础数据表）'!L128</f>
        <v>0</v>
      </c>
      <c r="M128">
        <f>'收入支出明细表（基础数据表）'!M128</f>
        <v>0</v>
      </c>
      <c r="N128">
        <f>'收入支出明细表（基础数据表）'!N128</f>
        <v>0</v>
      </c>
      <c r="O128">
        <f>'收入支出明细表（基础数据表）'!O128</f>
        <v>0</v>
      </c>
      <c r="P128">
        <f>'收入支出明细表（基础数据表）'!P128</f>
        <v>0</v>
      </c>
      <c r="Q128">
        <f>'收入支出明细表（基础数据表）'!Q128</f>
        <v>0</v>
      </c>
      <c r="R128">
        <f>'收入支出明细表（基础数据表）'!R128</f>
        <v>0</v>
      </c>
      <c r="S128">
        <f>'收入支出明细表（基础数据表）'!S128</f>
        <v>0</v>
      </c>
    </row>
    <row r="129">
      <c r="D129" t="str">
        <v>付款进度-比例</v>
      </c>
      <c r="E129">
        <f>'收入支出明细表（基础数据表）'!E129</f>
        <v>0</v>
      </c>
      <c r="F129">
        <f>'收入支出明细表（基础数据表）'!F129</f>
        <v>0</v>
      </c>
      <c r="G129">
        <f>'收入支出明细表（基础数据表）'!G129</f>
        <v>0</v>
      </c>
      <c r="H129" t="e">
        <f>'收入支出明细表（基础数据表）'!H129</f>
        <v>#DIV/0!</v>
      </c>
      <c r="I129" t="e">
        <f>'收入支出明细表（基础数据表）'!I129</f>
        <v>#DIV/0!</v>
      </c>
      <c r="J129" t="e">
        <f>'收入支出明细表（基础数据表）'!J129</f>
        <v>#DIV/0!</v>
      </c>
      <c r="K129" t="e">
        <f>'收入支出明细表（基础数据表）'!K129</f>
        <v>#DIV/0!</v>
      </c>
      <c r="L129" t="e">
        <f>'收入支出明细表（基础数据表）'!L129</f>
        <v>#DIV/0!</v>
      </c>
      <c r="M129" t="e">
        <f>'收入支出明细表（基础数据表）'!M129</f>
        <v>#DIV/0!</v>
      </c>
      <c r="N129" t="e">
        <f>'收入支出明细表（基础数据表）'!N129</f>
        <v>#DIV/0!</v>
      </c>
      <c r="O129" t="e">
        <f>'收入支出明细表（基础数据表）'!O129</f>
        <v>#DIV/0!</v>
      </c>
      <c r="P129" t="e">
        <f>'收入支出明细表（基础数据表）'!P129</f>
        <v>#DIV/0!</v>
      </c>
      <c r="Q129" t="e">
        <f>'收入支出明细表（基础数据表）'!Q129</f>
        <v>#DIV/0!</v>
      </c>
      <c r="R129" t="e">
        <f>'收入支出明细表（基础数据表）'!R129</f>
        <v>#DIV/0!</v>
      </c>
      <c r="S129" t="e">
        <f>'收入支出明细表（基础数据表）'!S129</f>
        <v>#DIV/0!</v>
      </c>
    </row>
    <row r="130">
      <c r="C130" t="str">
        <v>3、施工费用</v>
      </c>
      <c r="D130" t="str">
        <v>支出</v>
      </c>
      <c r="E130">
        <f>'收入支出明细表（基础数据表）'!E130</f>
        <v>0</v>
      </c>
      <c r="F130">
        <f>'收入支出明细表（基础数据表）'!F130</f>
        <v>0.09</v>
      </c>
      <c r="G130">
        <f>'收入支出明细表（基础数据表）'!G130</f>
        <v>0</v>
      </c>
      <c r="H130">
        <f>'收入支出明细表（基础数据表）'!H130</f>
        <v>0</v>
      </c>
      <c r="I130">
        <f>'收入支出明细表（基础数据表）'!I130</f>
        <v>0</v>
      </c>
      <c r="J130">
        <f>'收入支出明细表（基础数据表）'!J130</f>
        <v>0</v>
      </c>
      <c r="K130">
        <f>'收入支出明细表（基础数据表）'!K130</f>
        <v>0</v>
      </c>
      <c r="L130">
        <f>'收入支出明细表（基础数据表）'!L130</f>
        <v>0</v>
      </c>
      <c r="M130">
        <f>'收入支出明细表（基础数据表）'!M130</f>
        <v>0</v>
      </c>
      <c r="N130">
        <f>'收入支出明细表（基础数据表）'!N130</f>
        <v>0</v>
      </c>
      <c r="O130">
        <f>'收入支出明细表（基础数据表）'!O130</f>
        <v>0</v>
      </c>
      <c r="P130">
        <f>'收入支出明细表（基础数据表）'!P130</f>
        <v>0</v>
      </c>
      <c r="Q130">
        <f>'收入支出明细表（基础数据表）'!Q130</f>
        <v>0</v>
      </c>
      <c r="R130">
        <f>'收入支出明细表（基础数据表）'!R130</f>
        <v>0</v>
      </c>
      <c r="S130">
        <f>'收入支出明细表（基础数据表）'!S130</f>
        <v>0</v>
      </c>
    </row>
    <row r="131">
      <c r="D131" t="str">
        <v>付款进度-金额</v>
      </c>
      <c r="E131">
        <f>'收入支出明细表（基础数据表）'!E131</f>
        <v>0</v>
      </c>
      <c r="F131">
        <f>'收入支出明细表（基础数据表）'!F131</f>
        <v>0</v>
      </c>
      <c r="G131">
        <f>'收入支出明细表（基础数据表）'!G131</f>
        <v>0</v>
      </c>
      <c r="H131">
        <f>'收入支出明细表（基础数据表）'!H131</f>
        <v>0</v>
      </c>
      <c r="I131">
        <f>'收入支出明细表（基础数据表）'!I131</f>
        <v>0</v>
      </c>
      <c r="J131">
        <f>'收入支出明细表（基础数据表）'!J131</f>
        <v>0</v>
      </c>
      <c r="K131">
        <f>'收入支出明细表（基础数据表）'!K131</f>
        <v>0</v>
      </c>
      <c r="L131">
        <f>'收入支出明细表（基础数据表）'!L131</f>
        <v>0</v>
      </c>
      <c r="M131">
        <f>'收入支出明细表（基础数据表）'!M131</f>
        <v>0</v>
      </c>
      <c r="N131">
        <f>'收入支出明细表（基础数据表）'!N131</f>
        <v>0</v>
      </c>
      <c r="O131">
        <f>'收入支出明细表（基础数据表）'!O131</f>
        <v>0</v>
      </c>
      <c r="P131">
        <f>'收入支出明细表（基础数据表）'!P131</f>
        <v>0</v>
      </c>
      <c r="Q131">
        <f>'收入支出明细表（基础数据表）'!Q131</f>
        <v>0</v>
      </c>
      <c r="R131">
        <f>'收入支出明细表（基础数据表）'!R131</f>
        <v>0</v>
      </c>
      <c r="S131">
        <f>'收入支出明细表（基础数据表）'!S131</f>
        <v>0</v>
      </c>
    </row>
    <row r="132">
      <c r="D132" t="str">
        <v>付款进度-比例</v>
      </c>
      <c r="E132">
        <f>'收入支出明细表（基础数据表）'!E132</f>
        <v>0</v>
      </c>
      <c r="F132">
        <f>'收入支出明细表（基础数据表）'!F132</f>
        <v>0</v>
      </c>
      <c r="G132">
        <f>'收入支出明细表（基础数据表）'!G132</f>
        <v>0</v>
      </c>
      <c r="H132" t="e">
        <f>'收入支出明细表（基础数据表）'!H132</f>
        <v>#DIV/0!</v>
      </c>
      <c r="I132" t="e">
        <f>'收入支出明细表（基础数据表）'!I132</f>
        <v>#DIV/0!</v>
      </c>
      <c r="J132" t="e">
        <f>'收入支出明细表（基础数据表）'!J132</f>
        <v>#DIV/0!</v>
      </c>
      <c r="K132" t="e">
        <f>'收入支出明细表（基础数据表）'!K132</f>
        <v>#DIV/0!</v>
      </c>
      <c r="L132" t="e">
        <f>'收入支出明细表（基础数据表）'!L132</f>
        <v>#DIV/0!</v>
      </c>
      <c r="M132" t="e">
        <f>'收入支出明细表（基础数据表）'!M132</f>
        <v>#DIV/0!</v>
      </c>
      <c r="N132" t="e">
        <f>'收入支出明细表（基础数据表）'!N132</f>
        <v>#DIV/0!</v>
      </c>
      <c r="O132" t="e">
        <f>'收入支出明细表（基础数据表）'!O132</f>
        <v>#DIV/0!</v>
      </c>
      <c r="P132" t="e">
        <f>'收入支出明细表（基础数据表）'!P132</f>
        <v>#DIV/0!</v>
      </c>
      <c r="Q132" t="e">
        <f>'收入支出明细表（基础数据表）'!Q132</f>
        <v>#DIV/0!</v>
      </c>
      <c r="R132" t="e">
        <f>'收入支出明细表（基础数据表）'!R132</f>
        <v>#DIV/0!</v>
      </c>
      <c r="S132" t="e">
        <f>'收入支出明细表（基础数据表）'!S132</f>
        <v>#DIV/0!</v>
      </c>
    </row>
    <row r="133">
      <c r="C133" t="str">
        <v>4、设计监理</v>
      </c>
      <c r="D133" t="str">
        <v>支出</v>
      </c>
      <c r="E133">
        <f>'收入支出明细表（基础数据表）'!E133</f>
        <v>0</v>
      </c>
      <c r="F133">
        <f>'收入支出明细表（基础数据表）'!F133</f>
        <v>0.06</v>
      </c>
      <c r="G133">
        <f>'收入支出明细表（基础数据表）'!G133</f>
        <v>0</v>
      </c>
      <c r="H133">
        <f>'收入支出明细表（基础数据表）'!H133</f>
        <v>0</v>
      </c>
      <c r="I133">
        <f>'收入支出明细表（基础数据表）'!I133</f>
        <v>0</v>
      </c>
      <c r="J133">
        <f>'收入支出明细表（基础数据表）'!J133</f>
        <v>0</v>
      </c>
      <c r="K133">
        <f>'收入支出明细表（基础数据表）'!K133</f>
        <v>0</v>
      </c>
      <c r="L133">
        <f>'收入支出明细表（基础数据表）'!L133</f>
        <v>0</v>
      </c>
      <c r="M133">
        <f>'收入支出明细表（基础数据表）'!M133</f>
        <v>0</v>
      </c>
      <c r="N133">
        <f>'收入支出明细表（基础数据表）'!N133</f>
        <v>0</v>
      </c>
      <c r="O133">
        <f>'收入支出明细表（基础数据表）'!O133</f>
        <v>0</v>
      </c>
      <c r="P133">
        <f>'收入支出明细表（基础数据表）'!P133</f>
        <v>0</v>
      </c>
      <c r="Q133">
        <f>'收入支出明细表（基础数据表）'!Q133</f>
        <v>0</v>
      </c>
      <c r="R133">
        <f>'收入支出明细表（基础数据表）'!R133</f>
        <v>0</v>
      </c>
      <c r="S133">
        <f>'收入支出明细表（基础数据表）'!S133</f>
        <v>0</v>
      </c>
    </row>
    <row r="134">
      <c r="D134" t="str">
        <v>付款进度-金额</v>
      </c>
      <c r="E134">
        <f>'收入支出明细表（基础数据表）'!E134</f>
        <v>0</v>
      </c>
      <c r="F134">
        <f>'收入支出明细表（基础数据表）'!F134</f>
        <v>0</v>
      </c>
      <c r="G134">
        <f>'收入支出明细表（基础数据表）'!G134</f>
        <v>0</v>
      </c>
      <c r="H134">
        <f>'收入支出明细表（基础数据表）'!H134</f>
        <v>0</v>
      </c>
      <c r="I134">
        <f>'收入支出明细表（基础数据表）'!I134</f>
        <v>0</v>
      </c>
      <c r="J134">
        <f>'收入支出明细表（基础数据表）'!J134</f>
        <v>0</v>
      </c>
      <c r="K134">
        <f>'收入支出明细表（基础数据表）'!K134</f>
        <v>0</v>
      </c>
      <c r="L134">
        <f>'收入支出明细表（基础数据表）'!L134</f>
        <v>0</v>
      </c>
      <c r="M134">
        <f>'收入支出明细表（基础数据表）'!M134</f>
        <v>0</v>
      </c>
      <c r="N134">
        <f>'收入支出明细表（基础数据表）'!N134</f>
        <v>0</v>
      </c>
      <c r="O134">
        <f>'收入支出明细表（基础数据表）'!O134</f>
        <v>0</v>
      </c>
      <c r="P134">
        <f>'收入支出明细表（基础数据表）'!P134</f>
        <v>0</v>
      </c>
      <c r="Q134">
        <f>'收入支出明细表（基础数据表）'!Q134</f>
        <v>0</v>
      </c>
      <c r="R134">
        <f>'收入支出明细表（基础数据表）'!R134</f>
        <v>0</v>
      </c>
      <c r="S134">
        <f>'收入支出明细表（基础数据表）'!S134</f>
        <v>0</v>
      </c>
    </row>
    <row r="135">
      <c r="D135" t="str">
        <v>付款进度-比例</v>
      </c>
      <c r="E135">
        <f>'收入支出明细表（基础数据表）'!E135</f>
        <v>0</v>
      </c>
      <c r="F135">
        <f>'收入支出明细表（基础数据表）'!F135</f>
        <v>0</v>
      </c>
      <c r="G135">
        <f>'收入支出明细表（基础数据表）'!G135</f>
        <v>0</v>
      </c>
      <c r="H135" t="e">
        <f>'收入支出明细表（基础数据表）'!H135</f>
        <v>#DIV/0!</v>
      </c>
      <c r="I135" t="e">
        <f>'收入支出明细表（基础数据表）'!I135</f>
        <v>#DIV/0!</v>
      </c>
      <c r="J135" t="e">
        <f>'收入支出明细表（基础数据表）'!J135</f>
        <v>#DIV/0!</v>
      </c>
      <c r="K135" t="e">
        <f>'收入支出明细表（基础数据表）'!K135</f>
        <v>#DIV/0!</v>
      </c>
      <c r="L135" t="e">
        <f>'收入支出明细表（基础数据表）'!L135</f>
        <v>#DIV/0!</v>
      </c>
      <c r="M135" t="e">
        <f>'收入支出明细表（基础数据表）'!M135</f>
        <v>#DIV/0!</v>
      </c>
      <c r="N135" t="e">
        <f>'收入支出明细表（基础数据表）'!N135</f>
        <v>#DIV/0!</v>
      </c>
      <c r="O135" t="e">
        <f>'收入支出明细表（基础数据表）'!O135</f>
        <v>#DIV/0!</v>
      </c>
      <c r="P135" t="e">
        <f>'收入支出明细表（基础数据表）'!P135</f>
        <v>#DIV/0!</v>
      </c>
      <c r="Q135" t="e">
        <f>'收入支出明细表（基础数据表）'!Q135</f>
        <v>#DIV/0!</v>
      </c>
      <c r="R135" t="e">
        <f>'收入支出明细表（基础数据表）'!R135</f>
        <v>#DIV/0!</v>
      </c>
      <c r="S135" t="e">
        <f>'收入支出明细表（基础数据表）'!S135</f>
        <v>#DIV/0!</v>
      </c>
    </row>
    <row r="136">
      <c r="C136" t="str">
        <v>5、配套费用</v>
      </c>
      <c r="D136" t="str">
        <v>支出</v>
      </c>
      <c r="E136">
        <f>'收入支出明细表（基础数据表）'!E136</f>
        <v>0</v>
      </c>
      <c r="F136">
        <f>'收入支出明细表（基础数据表）'!F136</f>
        <v>0.09</v>
      </c>
      <c r="G136">
        <f>'收入支出明细表（基础数据表）'!G136</f>
        <v>0</v>
      </c>
      <c r="H136">
        <f>'收入支出明细表（基础数据表）'!H136</f>
        <v>0</v>
      </c>
      <c r="I136">
        <f>'收入支出明细表（基础数据表）'!I136</f>
        <v>0</v>
      </c>
      <c r="J136">
        <f>'收入支出明细表（基础数据表）'!J136</f>
        <v>0</v>
      </c>
      <c r="K136">
        <f>'收入支出明细表（基础数据表）'!K136</f>
        <v>0</v>
      </c>
      <c r="L136">
        <f>'收入支出明细表（基础数据表）'!L136</f>
        <v>0</v>
      </c>
      <c r="M136">
        <f>'收入支出明细表（基础数据表）'!M136</f>
        <v>0</v>
      </c>
      <c r="N136">
        <f>'收入支出明细表（基础数据表）'!N136</f>
        <v>0</v>
      </c>
      <c r="O136">
        <f>'收入支出明细表（基础数据表）'!O136</f>
        <v>0</v>
      </c>
      <c r="P136">
        <f>'收入支出明细表（基础数据表）'!P136</f>
        <v>0</v>
      </c>
      <c r="Q136">
        <f>'收入支出明细表（基础数据表）'!Q136</f>
        <v>0</v>
      </c>
      <c r="R136">
        <f>'收入支出明细表（基础数据表）'!R136</f>
        <v>0</v>
      </c>
      <c r="S136">
        <f>'收入支出明细表（基础数据表）'!S136</f>
        <v>0</v>
      </c>
    </row>
    <row r="137">
      <c r="D137" t="str">
        <v>付款进度-金额</v>
      </c>
      <c r="E137">
        <f>'收入支出明细表（基础数据表）'!E137</f>
        <v>0</v>
      </c>
      <c r="F137">
        <f>'收入支出明细表（基础数据表）'!F137</f>
        <v>0</v>
      </c>
      <c r="G137">
        <f>'收入支出明细表（基础数据表）'!G137</f>
        <v>0</v>
      </c>
      <c r="H137">
        <f>'收入支出明细表（基础数据表）'!H137</f>
        <v>0</v>
      </c>
      <c r="I137">
        <f>'收入支出明细表（基础数据表）'!I137</f>
        <v>0</v>
      </c>
      <c r="J137">
        <f>'收入支出明细表（基础数据表）'!J137</f>
        <v>0</v>
      </c>
      <c r="K137">
        <f>'收入支出明细表（基础数据表）'!K137</f>
        <v>0</v>
      </c>
      <c r="L137">
        <f>'收入支出明细表（基础数据表）'!L137</f>
        <v>0</v>
      </c>
      <c r="M137">
        <f>'收入支出明细表（基础数据表）'!M137</f>
        <v>0</v>
      </c>
      <c r="N137">
        <f>'收入支出明细表（基础数据表）'!N137</f>
        <v>0</v>
      </c>
      <c r="O137">
        <f>'收入支出明细表（基础数据表）'!O137</f>
        <v>0</v>
      </c>
      <c r="P137">
        <f>'收入支出明细表（基础数据表）'!P137</f>
        <v>0</v>
      </c>
      <c r="Q137">
        <f>'收入支出明细表（基础数据表）'!Q137</f>
        <v>0</v>
      </c>
      <c r="R137">
        <f>'收入支出明细表（基础数据表）'!R137</f>
        <v>0</v>
      </c>
      <c r="S137">
        <f>'收入支出明细表（基础数据表）'!S137</f>
        <v>0</v>
      </c>
    </row>
    <row r="138">
      <c r="D138" t="str">
        <v>付款进度-比例</v>
      </c>
      <c r="E138">
        <f>'收入支出明细表（基础数据表）'!E138</f>
        <v>0</v>
      </c>
      <c r="F138">
        <f>'收入支出明细表（基础数据表）'!F138</f>
        <v>0</v>
      </c>
      <c r="G138">
        <f>'收入支出明细表（基础数据表）'!G138</f>
        <v>0</v>
      </c>
      <c r="H138" t="e">
        <f>'收入支出明细表（基础数据表）'!H138</f>
        <v>#DIV/0!</v>
      </c>
      <c r="I138" t="e">
        <f>'收入支出明细表（基础数据表）'!I138</f>
        <v>#DIV/0!</v>
      </c>
      <c r="J138" t="e">
        <f>'收入支出明细表（基础数据表）'!J138</f>
        <v>#DIV/0!</v>
      </c>
      <c r="K138" t="e">
        <f>'收入支出明细表（基础数据表）'!K138</f>
        <v>#DIV/0!</v>
      </c>
      <c r="L138" t="e">
        <f>'收入支出明细表（基础数据表）'!L138</f>
        <v>#DIV/0!</v>
      </c>
      <c r="M138" t="e">
        <f>'收入支出明细表（基础数据表）'!M138</f>
        <v>#DIV/0!</v>
      </c>
      <c r="N138" t="e">
        <f>'收入支出明细表（基础数据表）'!N138</f>
        <v>#DIV/0!</v>
      </c>
      <c r="O138" t="e">
        <f>'收入支出明细表（基础数据表）'!O138</f>
        <v>#DIV/0!</v>
      </c>
      <c r="P138" t="e">
        <f>'收入支出明细表（基础数据表）'!P138</f>
        <v>#DIV/0!</v>
      </c>
      <c r="Q138" t="e">
        <f>'收入支出明细表（基础数据表）'!Q138</f>
        <v>#DIV/0!</v>
      </c>
      <c r="R138" t="e">
        <f>'收入支出明细表（基础数据表）'!R138</f>
        <v>#DIV/0!</v>
      </c>
      <c r="S138" t="e">
        <f>'收入支出明细表（基础数据表）'!S138</f>
        <v>#DIV/0!</v>
      </c>
    </row>
    <row r="139">
      <c r="C139" t="str">
        <v xml:space="preserve">        ……</v>
      </c>
      <c r="E139">
        <f>'收入支出明细表（基础数据表）'!E139</f>
        <v>0</v>
      </c>
      <c r="F139">
        <f>'收入支出明细表（基础数据表）'!F139</f>
        <v>0</v>
      </c>
      <c r="G139">
        <f>'收入支出明细表（基础数据表）'!G139</f>
        <v>0</v>
      </c>
      <c r="H139">
        <f>'收入支出明细表（基础数据表）'!H139</f>
        <v>0</v>
      </c>
      <c r="I139">
        <f>'收入支出明细表（基础数据表）'!I139</f>
        <v>0</v>
      </c>
      <c r="J139">
        <f>'收入支出明细表（基础数据表）'!J139</f>
        <v>0</v>
      </c>
      <c r="K139">
        <f>'收入支出明细表（基础数据表）'!K139</f>
        <v>0</v>
      </c>
      <c r="L139">
        <f>'收入支出明细表（基础数据表）'!L139</f>
        <v>0</v>
      </c>
      <c r="M139">
        <f>'收入支出明细表（基础数据表）'!M139</f>
        <v>0</v>
      </c>
      <c r="N139">
        <f>'收入支出明细表（基础数据表）'!N139</f>
        <v>0</v>
      </c>
      <c r="O139">
        <f>'收入支出明细表（基础数据表）'!O139</f>
        <v>0</v>
      </c>
      <c r="P139">
        <f>'收入支出明细表（基础数据表）'!P139</f>
        <v>0</v>
      </c>
      <c r="Q139">
        <f>'收入支出明细表（基础数据表）'!Q139</f>
        <v>0</v>
      </c>
      <c r="R139">
        <f>'收入支出明细表（基础数据表）'!R139</f>
        <v>0</v>
      </c>
      <c r="S139">
        <f>'收入支出明细表（基础数据表）'!S139</f>
        <v>0</v>
      </c>
    </row>
    <row r="140" xml:space="preserve">
      <c r="A140" t="str" xml:space="preserve">
        <v xml:space="preserve">成本支出_x000d_
（Opex）</v>
      </c>
      <c r="B140" t="str">
        <v>IT类成本</v>
      </c>
      <c r="C140" t="str">
        <v>IT类成本合计</v>
      </c>
      <c r="D140" t="str">
        <v>支出</v>
      </c>
      <c r="E140">
        <f>'收入支出明细表（基础数据表）'!E140</f>
        <v>0</v>
      </c>
      <c r="F140">
        <f>'收入支出明细表（基础数据表）'!F140</f>
        <v>0</v>
      </c>
      <c r="G140">
        <f>'收入支出明细表（基础数据表）'!G140</f>
        <v>0</v>
      </c>
      <c r="H140">
        <f>'收入支出明细表（基础数据表）'!H140</f>
        <v>0</v>
      </c>
      <c r="I140">
        <f>'收入支出明细表（基础数据表）'!I140</f>
        <v>0</v>
      </c>
      <c r="J140">
        <f>'收入支出明细表（基础数据表）'!J140</f>
        <v>0</v>
      </c>
      <c r="K140">
        <f>'收入支出明细表（基础数据表）'!K140</f>
        <v>0</v>
      </c>
      <c r="L140">
        <f>'收入支出明细表（基础数据表）'!L140</f>
        <v>0</v>
      </c>
      <c r="M140">
        <f>'收入支出明细表（基础数据表）'!M140</f>
        <v>0</v>
      </c>
      <c r="N140">
        <f>'收入支出明细表（基础数据表）'!N140</f>
        <v>0</v>
      </c>
      <c r="O140">
        <f>'收入支出明细表（基础数据表）'!O140</f>
        <v>0</v>
      </c>
      <c r="P140">
        <f>'收入支出明细表（基础数据表）'!P140</f>
        <v>0</v>
      </c>
      <c r="Q140">
        <f>'收入支出明细表（基础数据表）'!Q140</f>
        <v>0</v>
      </c>
      <c r="R140">
        <f>'收入支出明细表（基础数据表）'!R140</f>
        <v>0</v>
      </c>
      <c r="S140">
        <f>'收入支出明细表（基础数据表）'!S140</f>
        <v>0</v>
      </c>
    </row>
    <row r="141">
      <c r="D141" t="str">
        <v>付款进度-金额</v>
      </c>
      <c r="E141">
        <f>'收入支出明细表（基础数据表）'!E141</f>
        <v>0</v>
      </c>
      <c r="F141">
        <f>'收入支出明细表（基础数据表）'!F141</f>
        <v>0</v>
      </c>
      <c r="G141">
        <f>'收入支出明细表（基础数据表）'!G141</f>
        <v>0</v>
      </c>
      <c r="H141">
        <f>'收入支出明细表（基础数据表）'!H141</f>
        <v>0</v>
      </c>
      <c r="I141">
        <f>'收入支出明细表（基础数据表）'!I141</f>
        <v>0</v>
      </c>
      <c r="J141">
        <f>'收入支出明细表（基础数据表）'!J141</f>
        <v>0</v>
      </c>
      <c r="K141">
        <f>'收入支出明细表（基础数据表）'!K141</f>
        <v>0</v>
      </c>
      <c r="L141">
        <f>'收入支出明细表（基础数据表）'!L141</f>
        <v>0</v>
      </c>
      <c r="M141">
        <f>'收入支出明细表（基础数据表）'!M141</f>
        <v>0</v>
      </c>
      <c r="N141">
        <f>'收入支出明细表（基础数据表）'!N141</f>
        <v>0</v>
      </c>
      <c r="O141">
        <f>'收入支出明细表（基础数据表）'!O141</f>
        <v>0</v>
      </c>
      <c r="P141">
        <f>'收入支出明细表（基础数据表）'!P141</f>
        <v>0</v>
      </c>
      <c r="Q141">
        <f>'收入支出明细表（基础数据表）'!Q141</f>
        <v>0</v>
      </c>
      <c r="R141">
        <f>'收入支出明细表（基础数据表）'!R141</f>
        <v>0</v>
      </c>
      <c r="S141">
        <f>'收入支出明细表（基础数据表）'!S141</f>
        <v>0</v>
      </c>
    </row>
    <row r="142">
      <c r="D142" t="str">
        <v>付款进度-比例</v>
      </c>
      <c r="E142">
        <f>'收入支出明细表（基础数据表）'!E142</f>
        <v>0</v>
      </c>
      <c r="F142">
        <f>'收入支出明细表（基础数据表）'!F142</f>
        <v>0</v>
      </c>
      <c r="G142">
        <f>'收入支出明细表（基础数据表）'!G142</f>
        <v>0</v>
      </c>
      <c r="H142" t="e">
        <f>'收入支出明细表（基础数据表）'!H142</f>
        <v>#DIV/0!</v>
      </c>
      <c r="I142" t="e">
        <f>'收入支出明细表（基础数据表）'!I142</f>
        <v>#DIV/0!</v>
      </c>
      <c r="J142" t="e">
        <f>'收入支出明细表（基础数据表）'!J142</f>
        <v>#DIV/0!</v>
      </c>
      <c r="K142" t="e">
        <f>'收入支出明细表（基础数据表）'!K142</f>
        <v>#DIV/0!</v>
      </c>
      <c r="L142" t="e">
        <f>'收入支出明细表（基础数据表）'!L142</f>
        <v>#DIV/0!</v>
      </c>
      <c r="M142" t="e">
        <f>'收入支出明细表（基础数据表）'!M142</f>
        <v>#DIV/0!</v>
      </c>
      <c r="N142" t="e">
        <f>'收入支出明细表（基础数据表）'!N142</f>
        <v>#DIV/0!</v>
      </c>
      <c r="O142" t="e">
        <f>'收入支出明细表（基础数据表）'!O142</f>
        <v>#DIV/0!</v>
      </c>
      <c r="P142" t="e">
        <f>'收入支出明细表（基础数据表）'!P142</f>
        <v>#DIV/0!</v>
      </c>
      <c r="Q142" t="e">
        <f>'收入支出明细表（基础数据表）'!Q142</f>
        <v>#DIV/0!</v>
      </c>
      <c r="R142" t="e">
        <f>'收入支出明细表（基础数据表）'!R142</f>
        <v>#DIV/0!</v>
      </c>
      <c r="S142" t="e">
        <f>'收入支出明细表（基础数据表）'!S142</f>
        <v>#DIV/0!</v>
      </c>
    </row>
    <row r="143">
      <c r="C143" t="str">
        <v>1、通信及信息服务成本合计</v>
      </c>
      <c r="D143" t="str">
        <v>支出</v>
      </c>
      <c r="E143">
        <f>'收入支出明细表（基础数据表）'!E143</f>
        <v>0</v>
      </c>
      <c r="F143">
        <f>'收入支出明细表（基础数据表）'!F143</f>
        <v>0</v>
      </c>
      <c r="G143">
        <f>'收入支出明细表（基础数据表）'!G143</f>
        <v>0</v>
      </c>
      <c r="H143">
        <f>'收入支出明细表（基础数据表）'!H143</f>
        <v>0</v>
      </c>
      <c r="I143">
        <f>'收入支出明细表（基础数据表）'!I143</f>
        <v>0</v>
      </c>
      <c r="J143">
        <f>'收入支出明细表（基础数据表）'!J143</f>
        <v>0</v>
      </c>
      <c r="K143">
        <f>'收入支出明细表（基础数据表）'!K143</f>
        <v>0</v>
      </c>
      <c r="L143">
        <f>'收入支出明细表（基础数据表）'!L143</f>
        <v>0</v>
      </c>
      <c r="M143">
        <f>'收入支出明细表（基础数据表）'!M143</f>
        <v>0</v>
      </c>
      <c r="N143">
        <f>'收入支出明细表（基础数据表）'!N143</f>
        <v>0</v>
      </c>
      <c r="O143">
        <f>'收入支出明细表（基础数据表）'!O143</f>
        <v>0</v>
      </c>
      <c r="P143">
        <f>'收入支出明细表（基础数据表）'!P143</f>
        <v>0</v>
      </c>
      <c r="Q143">
        <f>'收入支出明细表（基础数据表）'!Q143</f>
        <v>0</v>
      </c>
      <c r="R143">
        <f>'收入支出明细表（基础数据表）'!R143</f>
        <v>0</v>
      </c>
      <c r="S143">
        <f>'收入支出明细表（基础数据表）'!S143</f>
        <v>0</v>
      </c>
    </row>
    <row r="144">
      <c r="D144" t="str">
        <v>付款进度-金额</v>
      </c>
      <c r="E144">
        <f>'收入支出明细表（基础数据表）'!E144</f>
        <v>0</v>
      </c>
      <c r="F144">
        <f>'收入支出明细表（基础数据表）'!F144</f>
        <v>0</v>
      </c>
      <c r="G144">
        <f>'收入支出明细表（基础数据表）'!G144</f>
        <v>0</v>
      </c>
      <c r="H144">
        <f>'收入支出明细表（基础数据表）'!H144</f>
        <v>0</v>
      </c>
      <c r="I144">
        <f>'收入支出明细表（基础数据表）'!I144</f>
        <v>0</v>
      </c>
      <c r="J144">
        <f>'收入支出明细表（基础数据表）'!J144</f>
        <v>0</v>
      </c>
      <c r="K144">
        <f>'收入支出明细表（基础数据表）'!K144</f>
        <v>0</v>
      </c>
      <c r="L144">
        <f>'收入支出明细表（基础数据表）'!L144</f>
        <v>0</v>
      </c>
      <c r="M144">
        <f>'收入支出明细表（基础数据表）'!M144</f>
        <v>0</v>
      </c>
      <c r="N144">
        <f>'收入支出明细表（基础数据表）'!N144</f>
        <v>0</v>
      </c>
      <c r="O144">
        <f>'收入支出明细表（基础数据表）'!O144</f>
        <v>0</v>
      </c>
      <c r="P144">
        <f>'收入支出明细表（基础数据表）'!P144</f>
        <v>0</v>
      </c>
      <c r="Q144">
        <f>'收入支出明细表（基础数据表）'!Q144</f>
        <v>0</v>
      </c>
      <c r="R144">
        <f>'收入支出明细表（基础数据表）'!R144</f>
        <v>0</v>
      </c>
      <c r="S144">
        <f>'收入支出明细表（基础数据表）'!S144</f>
        <v>0</v>
      </c>
    </row>
    <row r="145">
      <c r="D145" t="str">
        <v>付款进度-比例</v>
      </c>
      <c r="E145">
        <f>'收入支出明细表（基础数据表）'!E145</f>
        <v>0</v>
      </c>
      <c r="F145">
        <f>'收入支出明细表（基础数据表）'!F145</f>
        <v>0</v>
      </c>
      <c r="G145">
        <f>'收入支出明细表（基础数据表）'!G145</f>
        <v>0</v>
      </c>
      <c r="H145" t="e">
        <f>'收入支出明细表（基础数据表）'!H145</f>
        <v>#DIV/0!</v>
      </c>
      <c r="I145" t="e">
        <f>'收入支出明细表（基础数据表）'!I145</f>
        <v>#DIV/0!</v>
      </c>
      <c r="J145" t="e">
        <f>'收入支出明细表（基础数据表）'!J145</f>
        <v>#DIV/0!</v>
      </c>
      <c r="K145" t="e">
        <f>'收入支出明细表（基础数据表）'!K145</f>
        <v>#DIV/0!</v>
      </c>
      <c r="L145" t="e">
        <f>'收入支出明细表（基础数据表）'!L145</f>
        <v>#DIV/0!</v>
      </c>
      <c r="M145" t="e">
        <f>'收入支出明细表（基础数据表）'!M145</f>
        <v>#DIV/0!</v>
      </c>
      <c r="N145" t="e">
        <f>'收入支出明细表（基础数据表）'!N145</f>
        <v>#DIV/0!</v>
      </c>
      <c r="O145" t="e">
        <f>'收入支出明细表（基础数据表）'!O145</f>
        <v>#DIV/0!</v>
      </c>
      <c r="P145" t="e">
        <f>'收入支出明细表（基础数据表）'!P145</f>
        <v>#DIV/0!</v>
      </c>
      <c r="Q145" t="e">
        <f>'收入支出明细表（基础数据表）'!Q145</f>
        <v>#DIV/0!</v>
      </c>
      <c r="R145" t="e">
        <f>'收入支出明细表（基础数据表）'!R145</f>
        <v>#DIV/0!</v>
      </c>
      <c r="S145" t="e">
        <f>'收入支出明细表（基础数据表）'!S145</f>
        <v>#DIV/0!</v>
      </c>
    </row>
    <row r="146">
      <c r="C146" t="str">
        <v>1-1集成费-信息服务</v>
      </c>
      <c r="D146" t="str">
        <v>支出</v>
      </c>
      <c r="E146">
        <f>'收入支出明细表（基础数据表）'!E146</f>
        <v>0</v>
      </c>
      <c r="F146">
        <f>'收入支出明细表（基础数据表）'!F146</f>
        <v>0.06</v>
      </c>
      <c r="G146">
        <f>'收入支出明细表（基础数据表）'!G146</f>
        <v>0</v>
      </c>
      <c r="H146">
        <f>'收入支出明细表（基础数据表）'!H146</f>
        <v>0</v>
      </c>
      <c r="I146">
        <f>'收入支出明细表（基础数据表）'!I146</f>
        <v>0</v>
      </c>
      <c r="J146">
        <f>'收入支出明细表（基础数据表）'!J146</f>
        <v>0</v>
      </c>
      <c r="K146">
        <f>'收入支出明细表（基础数据表）'!K146</f>
        <v>0</v>
      </c>
      <c r="L146">
        <f>'收入支出明细表（基础数据表）'!L146</f>
        <v>0</v>
      </c>
      <c r="M146">
        <f>'收入支出明细表（基础数据表）'!M146</f>
        <v>0</v>
      </c>
      <c r="N146">
        <f>'收入支出明细表（基础数据表）'!N146</f>
        <v>0</v>
      </c>
      <c r="O146">
        <f>'收入支出明细表（基础数据表）'!O146</f>
        <v>0</v>
      </c>
      <c r="P146">
        <f>'收入支出明细表（基础数据表）'!P146</f>
        <v>0</v>
      </c>
      <c r="Q146">
        <f>'收入支出明细表（基础数据表）'!Q146</f>
        <v>0</v>
      </c>
      <c r="R146">
        <f>'收入支出明细表（基础数据表）'!R146</f>
        <v>0</v>
      </c>
      <c r="S146">
        <f>'收入支出明细表（基础数据表）'!S146</f>
        <v>0</v>
      </c>
    </row>
    <row r="147">
      <c r="D147" t="str">
        <v>付款进度-金额</v>
      </c>
      <c r="E147">
        <f>'收入支出明细表（基础数据表）'!E147</f>
        <v>0</v>
      </c>
      <c r="F147">
        <f>'收入支出明细表（基础数据表）'!F147</f>
        <v>0</v>
      </c>
      <c r="G147">
        <f>'收入支出明细表（基础数据表）'!G147</f>
        <v>0</v>
      </c>
      <c r="H147">
        <f>'收入支出明细表（基础数据表）'!H147</f>
        <v>0</v>
      </c>
      <c r="I147">
        <f>'收入支出明细表（基础数据表）'!I147</f>
        <v>0</v>
      </c>
      <c r="J147">
        <f>'收入支出明细表（基础数据表）'!J147</f>
        <v>0</v>
      </c>
      <c r="K147">
        <f>'收入支出明细表（基础数据表）'!K147</f>
        <v>0</v>
      </c>
      <c r="L147">
        <f>'收入支出明细表（基础数据表）'!L147</f>
        <v>0</v>
      </c>
      <c r="M147">
        <f>'收入支出明细表（基础数据表）'!M147</f>
        <v>0</v>
      </c>
      <c r="N147">
        <f>'收入支出明细表（基础数据表）'!N147</f>
        <v>0</v>
      </c>
      <c r="O147">
        <f>'收入支出明细表（基础数据表）'!O147</f>
        <v>0</v>
      </c>
      <c r="P147">
        <f>'收入支出明细表（基础数据表）'!P147</f>
        <v>0</v>
      </c>
      <c r="Q147">
        <f>'收入支出明细表（基础数据表）'!Q147</f>
        <v>0</v>
      </c>
      <c r="R147">
        <f>'收入支出明细表（基础数据表）'!R147</f>
        <v>0</v>
      </c>
      <c r="S147">
        <f>'收入支出明细表（基础数据表）'!S147</f>
        <v>0</v>
      </c>
    </row>
    <row r="148">
      <c r="D148" t="str">
        <v>付款进度-比例</v>
      </c>
      <c r="E148">
        <f>'收入支出明细表（基础数据表）'!E148</f>
        <v>0</v>
      </c>
      <c r="F148">
        <f>'收入支出明细表（基础数据表）'!F148</f>
        <v>0</v>
      </c>
      <c r="G148">
        <f>'收入支出明细表（基础数据表）'!G148</f>
        <v>0</v>
      </c>
      <c r="H148" t="e">
        <f>'收入支出明细表（基础数据表）'!H148</f>
        <v>#DIV/0!</v>
      </c>
      <c r="I148" t="e">
        <f>'收入支出明细表（基础数据表）'!I148</f>
        <v>#DIV/0!</v>
      </c>
      <c r="J148" t="e">
        <f>'收入支出明细表（基础数据表）'!J148</f>
        <v>#DIV/0!</v>
      </c>
      <c r="K148" t="e">
        <f>'收入支出明细表（基础数据表）'!K148</f>
        <v>#DIV/0!</v>
      </c>
      <c r="L148" t="e">
        <f>'收入支出明细表（基础数据表）'!L148</f>
        <v>#DIV/0!</v>
      </c>
      <c r="M148" t="e">
        <f>'收入支出明细表（基础数据表）'!M148</f>
        <v>#DIV/0!</v>
      </c>
      <c r="N148" t="e">
        <f>'收入支出明细表（基础数据表）'!N148</f>
        <v>#DIV/0!</v>
      </c>
      <c r="O148" t="e">
        <f>'收入支出明细表（基础数据表）'!O148</f>
        <v>#DIV/0!</v>
      </c>
      <c r="P148" t="e">
        <f>'收入支出明细表（基础数据表）'!P148</f>
        <v>#DIV/0!</v>
      </c>
      <c r="Q148" t="e">
        <f>'收入支出明细表（基础数据表）'!Q148</f>
        <v>#DIV/0!</v>
      </c>
      <c r="R148" t="e">
        <f>'收入支出明细表（基础数据表）'!R148</f>
        <v>#DIV/0!</v>
      </c>
      <c r="S148" t="e">
        <f>'收入支出明细表（基础数据表）'!S148</f>
        <v>#DIV/0!</v>
      </c>
    </row>
    <row r="149">
      <c r="C149" t="str">
        <v>1-2集成费-安装服务</v>
      </c>
      <c r="D149" t="str">
        <v>支出</v>
      </c>
      <c r="E149">
        <f>'收入支出明细表（基础数据表）'!E149</f>
        <v>0</v>
      </c>
      <c r="F149">
        <f>'收入支出明细表（基础数据表）'!F149</f>
        <v>0.09</v>
      </c>
      <c r="G149">
        <f>'收入支出明细表（基础数据表）'!G149</f>
        <v>0</v>
      </c>
      <c r="H149">
        <f>'收入支出明细表（基础数据表）'!H149</f>
        <v>0</v>
      </c>
      <c r="I149">
        <f>'收入支出明细表（基础数据表）'!I149</f>
        <v>0</v>
      </c>
      <c r="J149">
        <f>'收入支出明细表（基础数据表）'!J149</f>
        <v>0</v>
      </c>
      <c r="K149">
        <f>'收入支出明细表（基础数据表）'!K149</f>
        <v>0</v>
      </c>
      <c r="L149">
        <f>'收入支出明细表（基础数据表）'!L149</f>
        <v>0</v>
      </c>
      <c r="M149">
        <f>'收入支出明细表（基础数据表）'!M149</f>
        <v>0</v>
      </c>
      <c r="N149">
        <f>'收入支出明细表（基础数据表）'!N149</f>
        <v>0</v>
      </c>
      <c r="O149">
        <f>'收入支出明细表（基础数据表）'!O149</f>
        <v>0</v>
      </c>
      <c r="P149">
        <f>'收入支出明细表（基础数据表）'!P149</f>
        <v>0</v>
      </c>
      <c r="Q149">
        <f>'收入支出明细表（基础数据表）'!Q149</f>
        <v>0</v>
      </c>
      <c r="R149">
        <f>'收入支出明细表（基础数据表）'!R149</f>
        <v>0</v>
      </c>
      <c r="S149">
        <f>'收入支出明细表（基础数据表）'!S149</f>
        <v>0</v>
      </c>
    </row>
    <row r="150">
      <c r="D150" t="str">
        <v>付款进度-金额</v>
      </c>
      <c r="E150">
        <f>'收入支出明细表（基础数据表）'!E150</f>
        <v>0</v>
      </c>
      <c r="F150">
        <f>'收入支出明细表（基础数据表）'!F150</f>
        <v>0</v>
      </c>
      <c r="G150">
        <f>'收入支出明细表（基础数据表）'!G150</f>
        <v>0</v>
      </c>
      <c r="H150">
        <f>'收入支出明细表（基础数据表）'!H150</f>
        <v>0</v>
      </c>
      <c r="I150">
        <f>'收入支出明细表（基础数据表）'!I150</f>
        <v>0</v>
      </c>
      <c r="J150">
        <f>'收入支出明细表（基础数据表）'!J150</f>
        <v>0</v>
      </c>
      <c r="K150">
        <f>'收入支出明细表（基础数据表）'!K150</f>
        <v>0</v>
      </c>
      <c r="L150">
        <f>'收入支出明细表（基础数据表）'!L150</f>
        <v>0</v>
      </c>
      <c r="M150">
        <f>'收入支出明细表（基础数据表）'!M150</f>
        <v>0</v>
      </c>
      <c r="N150">
        <f>'收入支出明细表（基础数据表）'!N150</f>
        <v>0</v>
      </c>
      <c r="O150">
        <f>'收入支出明细表（基础数据表）'!O150</f>
        <v>0</v>
      </c>
      <c r="P150">
        <f>'收入支出明细表（基础数据表）'!P150</f>
        <v>0</v>
      </c>
      <c r="Q150">
        <f>'收入支出明细表（基础数据表）'!Q150</f>
        <v>0</v>
      </c>
      <c r="R150">
        <f>'收入支出明细表（基础数据表）'!R150</f>
        <v>0</v>
      </c>
      <c r="S150">
        <f>'收入支出明细表（基础数据表）'!S150</f>
        <v>0</v>
      </c>
    </row>
    <row r="151">
      <c r="D151" t="str">
        <v>付款进度-比例</v>
      </c>
      <c r="E151">
        <f>'收入支出明细表（基础数据表）'!E151</f>
        <v>0</v>
      </c>
      <c r="F151">
        <f>'收入支出明细表（基础数据表）'!F151</f>
        <v>0</v>
      </c>
      <c r="G151">
        <f>'收入支出明细表（基础数据表）'!G151</f>
        <v>0</v>
      </c>
      <c r="H151" t="e">
        <f>'收入支出明细表（基础数据表）'!H151</f>
        <v>#DIV/0!</v>
      </c>
      <c r="I151" t="e">
        <f>'收入支出明细表（基础数据表）'!I151</f>
        <v>#DIV/0!</v>
      </c>
      <c r="J151" t="e">
        <f>'收入支出明细表（基础数据表）'!J151</f>
        <v>#DIV/0!</v>
      </c>
      <c r="K151" t="e">
        <f>'收入支出明细表（基础数据表）'!K151</f>
        <v>#DIV/0!</v>
      </c>
      <c r="L151" t="e">
        <f>'收入支出明细表（基础数据表）'!L151</f>
        <v>#DIV/0!</v>
      </c>
      <c r="M151" t="e">
        <f>'收入支出明细表（基础数据表）'!M151</f>
        <v>#DIV/0!</v>
      </c>
      <c r="N151" t="e">
        <f>'收入支出明细表（基础数据表）'!N151</f>
        <v>#DIV/0!</v>
      </c>
      <c r="O151" t="e">
        <f>'收入支出明细表（基础数据表）'!O151</f>
        <v>#DIV/0!</v>
      </c>
      <c r="P151" t="e">
        <f>'收入支出明细表（基础数据表）'!P151</f>
        <v>#DIV/0!</v>
      </c>
      <c r="Q151" t="e">
        <f>'收入支出明细表（基础数据表）'!Q151</f>
        <v>#DIV/0!</v>
      </c>
      <c r="R151" t="e">
        <f>'收入支出明细表（基础数据表）'!R151</f>
        <v>#DIV/0!</v>
      </c>
      <c r="S151" t="e">
        <f>'收入支出明细表（基础数据表）'!S151</f>
        <v>#DIV/0!</v>
      </c>
    </row>
    <row r="152">
      <c r="C152" t="str">
        <v>1-3维保费-信息服务</v>
      </c>
      <c r="D152" t="str">
        <v>支出</v>
      </c>
      <c r="E152">
        <f>'收入支出明细表（基础数据表）'!E152</f>
        <v>0</v>
      </c>
      <c r="F152">
        <f>'收入支出明细表（基础数据表）'!F152</f>
        <v>0.06</v>
      </c>
      <c r="G152">
        <f>'收入支出明细表（基础数据表）'!G152</f>
        <v>0</v>
      </c>
      <c r="H152">
        <f>'收入支出明细表（基础数据表）'!H152</f>
        <v>0</v>
      </c>
      <c r="I152">
        <f>'收入支出明细表（基础数据表）'!I152</f>
        <v>0</v>
      </c>
      <c r="J152">
        <f>'收入支出明细表（基础数据表）'!J152</f>
        <v>0</v>
      </c>
      <c r="K152">
        <f>'收入支出明细表（基础数据表）'!K152</f>
        <v>0</v>
      </c>
      <c r="L152">
        <f>'收入支出明细表（基础数据表）'!L152</f>
        <v>0</v>
      </c>
      <c r="M152">
        <f>'收入支出明细表（基础数据表）'!M152</f>
        <v>0</v>
      </c>
      <c r="N152">
        <f>'收入支出明细表（基础数据表）'!N152</f>
        <v>0</v>
      </c>
      <c r="O152">
        <f>'收入支出明细表（基础数据表）'!O152</f>
        <v>0</v>
      </c>
      <c r="P152">
        <f>'收入支出明细表（基础数据表）'!P152</f>
        <v>0</v>
      </c>
      <c r="Q152">
        <f>'收入支出明细表（基础数据表）'!Q152</f>
        <v>0</v>
      </c>
      <c r="R152">
        <f>'收入支出明细表（基础数据表）'!R152</f>
        <v>0</v>
      </c>
      <c r="S152">
        <f>'收入支出明细表（基础数据表）'!S152</f>
        <v>0</v>
      </c>
    </row>
    <row r="153">
      <c r="D153" t="str">
        <v>付款进度-金额</v>
      </c>
      <c r="E153">
        <f>'收入支出明细表（基础数据表）'!E153</f>
        <v>0</v>
      </c>
      <c r="F153">
        <f>'收入支出明细表（基础数据表）'!F153</f>
        <v>0</v>
      </c>
      <c r="G153">
        <f>'收入支出明细表（基础数据表）'!G153</f>
        <v>0</v>
      </c>
      <c r="H153">
        <f>'收入支出明细表（基础数据表）'!H153</f>
        <v>0</v>
      </c>
      <c r="I153">
        <f>'收入支出明细表（基础数据表）'!I153</f>
        <v>0</v>
      </c>
      <c r="J153">
        <f>'收入支出明细表（基础数据表）'!J153</f>
        <v>0</v>
      </c>
      <c r="K153">
        <f>'收入支出明细表（基础数据表）'!K153</f>
        <v>0</v>
      </c>
      <c r="L153">
        <f>'收入支出明细表（基础数据表）'!L153</f>
        <v>0</v>
      </c>
      <c r="M153">
        <f>'收入支出明细表（基础数据表）'!M153</f>
        <v>0</v>
      </c>
      <c r="N153">
        <f>'收入支出明细表（基础数据表）'!N153</f>
        <v>0</v>
      </c>
      <c r="O153">
        <f>'收入支出明细表（基础数据表）'!O153</f>
        <v>0</v>
      </c>
      <c r="P153">
        <f>'收入支出明细表（基础数据表）'!P153</f>
        <v>0</v>
      </c>
      <c r="Q153">
        <f>'收入支出明细表（基础数据表）'!Q153</f>
        <v>0</v>
      </c>
      <c r="R153">
        <f>'收入支出明细表（基础数据表）'!R153</f>
        <v>0</v>
      </c>
      <c r="S153">
        <f>'收入支出明细表（基础数据表）'!S153</f>
        <v>0</v>
      </c>
    </row>
    <row r="154">
      <c r="D154" t="str">
        <v>付款进度-比例</v>
      </c>
      <c r="E154">
        <f>'收入支出明细表（基础数据表）'!E154</f>
        <v>0</v>
      </c>
      <c r="F154">
        <f>'收入支出明细表（基础数据表）'!F154</f>
        <v>0</v>
      </c>
      <c r="G154">
        <f>'收入支出明细表（基础数据表）'!G154</f>
        <v>0</v>
      </c>
      <c r="H154" t="e">
        <f>'收入支出明细表（基础数据表）'!H154</f>
        <v>#DIV/0!</v>
      </c>
      <c r="I154" t="e">
        <f>'收入支出明细表（基础数据表）'!I154</f>
        <v>#DIV/0!</v>
      </c>
      <c r="J154" t="e">
        <f>'收入支出明细表（基础数据表）'!J154</f>
        <v>#DIV/0!</v>
      </c>
      <c r="K154" t="e">
        <f>'收入支出明细表（基础数据表）'!K154</f>
        <v>#DIV/0!</v>
      </c>
      <c r="L154" t="e">
        <f>'收入支出明细表（基础数据表）'!L154</f>
        <v>#DIV/0!</v>
      </c>
      <c r="M154" t="e">
        <f>'收入支出明细表（基础数据表）'!M154</f>
        <v>#DIV/0!</v>
      </c>
      <c r="N154" t="e">
        <f>'收入支出明细表（基础数据表）'!N154</f>
        <v>#DIV/0!</v>
      </c>
      <c r="O154" t="e">
        <f>'收入支出明细表（基础数据表）'!O154</f>
        <v>#DIV/0!</v>
      </c>
      <c r="P154" t="e">
        <f>'收入支出明细表（基础数据表）'!P154</f>
        <v>#DIV/0!</v>
      </c>
      <c r="Q154" t="e">
        <f>'收入支出明细表（基础数据表）'!Q154</f>
        <v>#DIV/0!</v>
      </c>
      <c r="R154" t="e">
        <f>'收入支出明细表（基础数据表）'!R154</f>
        <v>#DIV/0!</v>
      </c>
      <c r="S154" t="e">
        <f>'收入支出明细表（基础数据表）'!S154</f>
        <v>#DIV/0!</v>
      </c>
    </row>
    <row r="155">
      <c r="C155" t="str">
        <v>1-4维保费-安装服务</v>
      </c>
      <c r="D155" t="str">
        <v>支出</v>
      </c>
      <c r="E155">
        <f>'收入支出明细表（基础数据表）'!E155</f>
        <v>0</v>
      </c>
      <c r="F155">
        <f>'收入支出明细表（基础数据表）'!F155</f>
        <v>0.09</v>
      </c>
      <c r="G155">
        <f>'收入支出明细表（基础数据表）'!G155</f>
        <v>0</v>
      </c>
      <c r="H155">
        <f>'收入支出明细表（基础数据表）'!H155</f>
        <v>0</v>
      </c>
      <c r="I155">
        <f>'收入支出明细表（基础数据表）'!I155</f>
        <v>0</v>
      </c>
      <c r="J155">
        <f>'收入支出明细表（基础数据表）'!J155</f>
        <v>0</v>
      </c>
      <c r="K155">
        <f>'收入支出明细表（基础数据表）'!K155</f>
        <v>0</v>
      </c>
      <c r="L155">
        <f>'收入支出明细表（基础数据表）'!L155</f>
        <v>0</v>
      </c>
      <c r="M155">
        <f>'收入支出明细表（基础数据表）'!M155</f>
        <v>0</v>
      </c>
      <c r="N155">
        <f>'收入支出明细表（基础数据表）'!N155</f>
        <v>0</v>
      </c>
      <c r="O155">
        <f>'收入支出明细表（基础数据表）'!O155</f>
        <v>0</v>
      </c>
      <c r="P155">
        <f>'收入支出明细表（基础数据表）'!P155</f>
        <v>0</v>
      </c>
      <c r="Q155">
        <f>'收入支出明细表（基础数据表）'!Q155</f>
        <v>0</v>
      </c>
      <c r="R155">
        <f>'收入支出明细表（基础数据表）'!R155</f>
        <v>0</v>
      </c>
      <c r="S155">
        <f>'收入支出明细表（基础数据表）'!S155</f>
        <v>0</v>
      </c>
    </row>
    <row r="156">
      <c r="D156" t="str">
        <v>付款进度-金额</v>
      </c>
      <c r="E156">
        <f>'收入支出明细表（基础数据表）'!E156</f>
        <v>0</v>
      </c>
      <c r="F156">
        <f>'收入支出明细表（基础数据表）'!F156</f>
        <v>0</v>
      </c>
      <c r="G156">
        <f>'收入支出明细表（基础数据表）'!G156</f>
        <v>0</v>
      </c>
      <c r="H156">
        <f>'收入支出明细表（基础数据表）'!H156</f>
        <v>0</v>
      </c>
      <c r="I156">
        <f>'收入支出明细表（基础数据表）'!I156</f>
        <v>0</v>
      </c>
      <c r="J156">
        <f>'收入支出明细表（基础数据表）'!J156</f>
        <v>0</v>
      </c>
      <c r="K156">
        <f>'收入支出明细表（基础数据表）'!K156</f>
        <v>0</v>
      </c>
      <c r="L156">
        <f>'收入支出明细表（基础数据表）'!L156</f>
        <v>0</v>
      </c>
      <c r="M156">
        <f>'收入支出明细表（基础数据表）'!M156</f>
        <v>0</v>
      </c>
      <c r="N156">
        <f>'收入支出明细表（基础数据表）'!N156</f>
        <v>0</v>
      </c>
      <c r="O156">
        <f>'收入支出明细表（基础数据表）'!O156</f>
        <v>0</v>
      </c>
      <c r="P156">
        <f>'收入支出明细表（基础数据表）'!P156</f>
        <v>0</v>
      </c>
      <c r="Q156">
        <f>'收入支出明细表（基础数据表）'!Q156</f>
        <v>0</v>
      </c>
      <c r="R156">
        <f>'收入支出明细表（基础数据表）'!R156</f>
        <v>0</v>
      </c>
      <c r="S156">
        <f>'收入支出明细表（基础数据表）'!S156</f>
        <v>0</v>
      </c>
    </row>
    <row r="157">
      <c r="D157" t="str">
        <v>付款进度-比例</v>
      </c>
      <c r="E157">
        <f>'收入支出明细表（基础数据表）'!E157</f>
        <v>0</v>
      </c>
      <c r="F157">
        <f>'收入支出明细表（基础数据表）'!F157</f>
        <v>0</v>
      </c>
      <c r="G157">
        <f>'收入支出明细表（基础数据表）'!G157</f>
        <v>0</v>
      </c>
      <c r="H157" t="e">
        <f>'收入支出明细表（基础数据表）'!H157</f>
        <v>#DIV/0!</v>
      </c>
      <c r="I157" t="e">
        <f>'收入支出明细表（基础数据表）'!I157</f>
        <v>#DIV/0!</v>
      </c>
      <c r="J157" t="e">
        <f>'收入支出明细表（基础数据表）'!J157</f>
        <v>#DIV/0!</v>
      </c>
      <c r="K157" t="e">
        <f>'收入支出明细表（基础数据表）'!K157</f>
        <v>#DIV/0!</v>
      </c>
      <c r="L157" t="e">
        <f>'收入支出明细表（基础数据表）'!L157</f>
        <v>#DIV/0!</v>
      </c>
      <c r="M157" t="e">
        <f>'收入支出明细表（基础数据表）'!M157</f>
        <v>#DIV/0!</v>
      </c>
      <c r="N157" t="e">
        <f>'收入支出明细表（基础数据表）'!N157</f>
        <v>#DIV/0!</v>
      </c>
      <c r="O157" t="e">
        <f>'收入支出明细表（基础数据表）'!O157</f>
        <v>#DIV/0!</v>
      </c>
      <c r="P157" t="e">
        <f>'收入支出明细表（基础数据表）'!P157</f>
        <v>#DIV/0!</v>
      </c>
      <c r="Q157" t="e">
        <f>'收入支出明细表（基础数据表）'!Q157</f>
        <v>#DIV/0!</v>
      </c>
      <c r="R157" t="e">
        <f>'收入支出明细表（基础数据表）'!R157</f>
        <v>#DIV/0!</v>
      </c>
      <c r="S157" t="e">
        <f>'收入支出明细表（基础数据表）'!S157</f>
        <v>#DIV/0!</v>
      </c>
    </row>
    <row r="158">
      <c r="C158" t="str">
        <v>1-5维保费-设备及其他硬件维修服务</v>
      </c>
      <c r="D158" t="str">
        <v>支出</v>
      </c>
      <c r="E158">
        <f>'收入支出明细表（基础数据表）'!E158</f>
        <v>0</v>
      </c>
      <c r="F158">
        <f>'收入支出明细表（基础数据表）'!F158</f>
        <v>0.13</v>
      </c>
      <c r="H158">
        <f>'收入支出明细表（基础数据表）'!H158</f>
        <v>0</v>
      </c>
      <c r="I158">
        <f>'收入支出明细表（基础数据表）'!I158</f>
        <v>0</v>
      </c>
      <c r="J158">
        <f>'收入支出明细表（基础数据表）'!J158</f>
        <v>0</v>
      </c>
      <c r="K158">
        <f>'收入支出明细表（基础数据表）'!K158</f>
        <v>0</v>
      </c>
      <c r="L158">
        <f>'收入支出明细表（基础数据表）'!L158</f>
        <v>0</v>
      </c>
      <c r="M158">
        <f>'收入支出明细表（基础数据表）'!M158</f>
        <v>0</v>
      </c>
      <c r="N158">
        <f>'收入支出明细表（基础数据表）'!N158</f>
        <v>0</v>
      </c>
      <c r="O158">
        <f>'收入支出明细表（基础数据表）'!O158</f>
        <v>0</v>
      </c>
      <c r="P158">
        <f>'收入支出明细表（基础数据表）'!P158</f>
        <v>0</v>
      </c>
      <c r="Q158">
        <f>'收入支出明细表（基础数据表）'!Q158</f>
        <v>0</v>
      </c>
      <c r="R158">
        <f>'收入支出明细表（基础数据表）'!R158</f>
        <v>0</v>
      </c>
      <c r="S158">
        <f>'收入支出明细表（基础数据表）'!S158</f>
        <v>0</v>
      </c>
    </row>
    <row r="159">
      <c r="D159" t="str">
        <v>付款进度-金额</v>
      </c>
      <c r="E159">
        <f>'收入支出明细表（基础数据表）'!E159</f>
        <v>0</v>
      </c>
      <c r="F159">
        <f>'收入支出明细表（基础数据表）'!F159</f>
        <v>0</v>
      </c>
      <c r="H159">
        <f>'收入支出明细表（基础数据表）'!H159</f>
        <v>0</v>
      </c>
      <c r="I159">
        <f>'收入支出明细表（基础数据表）'!I159</f>
        <v>0</v>
      </c>
      <c r="J159">
        <f>'收入支出明细表（基础数据表）'!J159</f>
        <v>0</v>
      </c>
      <c r="K159">
        <f>'收入支出明细表（基础数据表）'!K159</f>
        <v>0</v>
      </c>
      <c r="L159">
        <f>'收入支出明细表（基础数据表）'!L159</f>
        <v>0</v>
      </c>
      <c r="M159">
        <f>'收入支出明细表（基础数据表）'!M159</f>
        <v>0</v>
      </c>
      <c r="N159">
        <f>'收入支出明细表（基础数据表）'!N159</f>
        <v>0</v>
      </c>
      <c r="O159">
        <f>'收入支出明细表（基础数据表）'!O159</f>
        <v>0</v>
      </c>
      <c r="P159">
        <f>'收入支出明细表（基础数据表）'!P159</f>
        <v>0</v>
      </c>
      <c r="Q159">
        <f>'收入支出明细表（基础数据表）'!Q159</f>
        <v>0</v>
      </c>
      <c r="R159">
        <f>'收入支出明细表（基础数据表）'!R159</f>
        <v>0</v>
      </c>
      <c r="S159">
        <f>'收入支出明细表（基础数据表）'!S159</f>
        <v>0</v>
      </c>
    </row>
    <row r="160">
      <c r="D160" t="str">
        <v>付款进度-比例</v>
      </c>
      <c r="E160">
        <f>'收入支出明细表（基础数据表）'!E160</f>
        <v>0</v>
      </c>
      <c r="F160">
        <f>'收入支出明细表（基础数据表）'!F160</f>
        <v>0</v>
      </c>
      <c r="H160" t="e">
        <f>'收入支出明细表（基础数据表）'!H160</f>
        <v>#DIV/0!</v>
      </c>
      <c r="I160" t="e">
        <f>'收入支出明细表（基础数据表）'!I160</f>
        <v>#DIV/0!</v>
      </c>
      <c r="J160" t="e">
        <f>'收入支出明细表（基础数据表）'!J160</f>
        <v>#DIV/0!</v>
      </c>
      <c r="K160" t="e">
        <f>'收入支出明细表（基础数据表）'!K160</f>
        <v>#DIV/0!</v>
      </c>
      <c r="L160" t="e">
        <f>'收入支出明细表（基础数据表）'!L160</f>
        <v>#DIV/0!</v>
      </c>
      <c r="M160" t="e">
        <f>'收入支出明细表（基础数据表）'!M160</f>
        <v>#DIV/0!</v>
      </c>
      <c r="N160" t="e">
        <f>'收入支出明细表（基础数据表）'!N160</f>
        <v>#DIV/0!</v>
      </c>
      <c r="O160" t="e">
        <f>'收入支出明细表（基础数据表）'!O160</f>
        <v>#DIV/0!</v>
      </c>
      <c r="P160" t="e">
        <f>'收入支出明细表（基础数据表）'!P160</f>
        <v>#DIV/0!</v>
      </c>
      <c r="Q160" t="e">
        <f>'收入支出明细表（基础数据表）'!Q160</f>
        <v>#DIV/0!</v>
      </c>
      <c r="R160" t="e">
        <f>'收入支出明细表（基础数据表）'!R160</f>
        <v>#DIV/0!</v>
      </c>
      <c r="S160" t="e">
        <f>'收入支出明细表（基础数据表）'!S160</f>
        <v>#DIV/0!</v>
      </c>
    </row>
    <row r="161">
      <c r="C161" t="str">
        <v>2、商品销售成本</v>
      </c>
      <c r="D161" t="str">
        <v>支出</v>
      </c>
      <c r="E161">
        <f>'收入支出明细表（基础数据表）'!E161</f>
        <v>0</v>
      </c>
      <c r="F161">
        <f>'收入支出明细表（基础数据表）'!F161</f>
        <v>0.13</v>
      </c>
      <c r="G161">
        <f>'收入支出明细表（基础数据表）'!G161</f>
        <v>0</v>
      </c>
      <c r="H161">
        <f>'收入支出明细表（基础数据表）'!H161</f>
        <v>0</v>
      </c>
      <c r="I161">
        <f>'收入支出明细表（基础数据表）'!I161</f>
        <v>0</v>
      </c>
      <c r="J161">
        <f>'收入支出明细表（基础数据表）'!J161</f>
        <v>0</v>
      </c>
      <c r="K161">
        <f>'收入支出明细表（基础数据表）'!K161</f>
        <v>0</v>
      </c>
      <c r="L161">
        <f>'收入支出明细表（基础数据表）'!L161</f>
        <v>0</v>
      </c>
      <c r="M161">
        <f>'收入支出明细表（基础数据表）'!M161</f>
        <v>0</v>
      </c>
      <c r="N161">
        <f>'收入支出明细表（基础数据表）'!N161</f>
        <v>0</v>
      </c>
      <c r="O161">
        <f>'收入支出明细表（基础数据表）'!O161</f>
        <v>0</v>
      </c>
      <c r="P161">
        <f>'收入支出明细表（基础数据表）'!P161</f>
        <v>0</v>
      </c>
      <c r="Q161">
        <f>'收入支出明细表（基础数据表）'!Q161</f>
        <v>0</v>
      </c>
      <c r="R161">
        <f>'收入支出明细表（基础数据表）'!R161</f>
        <v>0</v>
      </c>
      <c r="S161">
        <f>'收入支出明细表（基础数据表）'!S161</f>
        <v>0</v>
      </c>
    </row>
    <row r="162">
      <c r="D162" t="str">
        <v>付款进度-金额</v>
      </c>
      <c r="E162">
        <f>'收入支出明细表（基础数据表）'!E162</f>
        <v>0</v>
      </c>
      <c r="F162">
        <f>'收入支出明细表（基础数据表）'!F162</f>
        <v>0</v>
      </c>
      <c r="G162">
        <f>'收入支出明细表（基础数据表）'!G162</f>
        <v>0</v>
      </c>
      <c r="H162">
        <f>'收入支出明细表（基础数据表）'!H162</f>
        <v>0</v>
      </c>
      <c r="I162">
        <f>'收入支出明细表（基础数据表）'!I162</f>
        <v>0</v>
      </c>
      <c r="J162">
        <f>'收入支出明细表（基础数据表）'!J162</f>
        <v>0</v>
      </c>
      <c r="K162">
        <f>'收入支出明细表（基础数据表）'!K162</f>
        <v>0</v>
      </c>
      <c r="L162">
        <f>'收入支出明细表（基础数据表）'!L162</f>
        <v>0</v>
      </c>
      <c r="M162">
        <f>'收入支出明细表（基础数据表）'!M162</f>
        <v>0</v>
      </c>
      <c r="N162">
        <f>'收入支出明细表（基础数据表）'!N162</f>
        <v>0</v>
      </c>
      <c r="O162">
        <f>'收入支出明细表（基础数据表）'!O162</f>
        <v>0</v>
      </c>
      <c r="P162">
        <f>'收入支出明细表（基础数据表）'!P162</f>
        <v>0</v>
      </c>
      <c r="Q162">
        <f>'收入支出明细表（基础数据表）'!Q162</f>
        <v>0</v>
      </c>
      <c r="R162">
        <f>'收入支出明细表（基础数据表）'!R162</f>
        <v>0</v>
      </c>
      <c r="S162">
        <f>'收入支出明细表（基础数据表）'!S162</f>
        <v>0</v>
      </c>
    </row>
    <row r="163">
      <c r="D163" t="str">
        <v>付款进度-比例</v>
      </c>
      <c r="E163">
        <f>'收入支出明细表（基础数据表）'!E163</f>
        <v>0</v>
      </c>
      <c r="F163">
        <f>'收入支出明细表（基础数据表）'!F163</f>
        <v>0</v>
      </c>
      <c r="G163">
        <f>'收入支出明细表（基础数据表）'!G163</f>
        <v>0</v>
      </c>
      <c r="H163" t="e">
        <f>'收入支出明细表（基础数据表）'!H163</f>
        <v>#DIV/0!</v>
      </c>
      <c r="I163" t="e">
        <f>'收入支出明细表（基础数据表）'!I163</f>
        <v>#DIV/0!</v>
      </c>
      <c r="J163" t="e">
        <f>'收入支出明细表（基础数据表）'!J163</f>
        <v>#DIV/0!</v>
      </c>
      <c r="K163" t="e">
        <f>'收入支出明细表（基础数据表）'!K163</f>
        <v>#DIV/0!</v>
      </c>
      <c r="L163" t="e">
        <f>'收入支出明细表（基础数据表）'!L163</f>
        <v>#DIV/0!</v>
      </c>
      <c r="M163" t="e">
        <f>'收入支出明细表（基础数据表）'!M163</f>
        <v>#DIV/0!</v>
      </c>
      <c r="N163" t="e">
        <f>'收入支出明细表（基础数据表）'!N163</f>
        <v>#DIV/0!</v>
      </c>
      <c r="O163" t="e">
        <f>'收入支出明细表（基础数据表）'!O163</f>
        <v>#DIV/0!</v>
      </c>
      <c r="P163" t="e">
        <f>'收入支出明细表（基础数据表）'!P163</f>
        <v>#DIV/0!</v>
      </c>
      <c r="Q163" t="e">
        <f>'收入支出明细表（基础数据表）'!Q163</f>
        <v>#DIV/0!</v>
      </c>
      <c r="R163" t="e">
        <f>'收入支出明细表（基础数据表）'!R163</f>
        <v>#DIV/0!</v>
      </c>
      <c r="S163" t="e">
        <f>'收入支出明细表（基础数据表）'!S163</f>
        <v>#DIV/0!</v>
      </c>
    </row>
    <row r="164">
      <c r="C164" t="str">
        <v>3、ICT设备/终端租赁成本</v>
      </c>
      <c r="D164" t="str">
        <v>支出</v>
      </c>
      <c r="E164">
        <f>'收入支出明细表（基础数据表）'!E164</f>
        <v>0</v>
      </c>
      <c r="F164">
        <f>'收入支出明细表（基础数据表）'!F164</f>
        <v>0.13</v>
      </c>
      <c r="G164">
        <f>'收入支出明细表（基础数据表）'!G164</f>
        <v>0</v>
      </c>
      <c r="H164">
        <f>'收入支出明细表（基础数据表）'!H164</f>
        <v>0</v>
      </c>
      <c r="I164">
        <f>'收入支出明细表（基础数据表）'!I164</f>
        <v>0</v>
      </c>
      <c r="J164">
        <f>'收入支出明细表（基础数据表）'!J164</f>
        <v>0</v>
      </c>
      <c r="K164">
        <f>'收入支出明细表（基础数据表）'!K164</f>
        <v>0</v>
      </c>
      <c r="L164">
        <f>'收入支出明细表（基础数据表）'!L164</f>
        <v>0</v>
      </c>
      <c r="M164">
        <f>'收入支出明细表（基础数据表）'!M164</f>
        <v>0</v>
      </c>
      <c r="N164">
        <f>'收入支出明细表（基础数据表）'!N164</f>
        <v>0</v>
      </c>
      <c r="O164">
        <f>'收入支出明细表（基础数据表）'!O164</f>
        <v>0</v>
      </c>
      <c r="P164">
        <f>'收入支出明细表（基础数据表）'!P164</f>
        <v>0</v>
      </c>
      <c r="Q164">
        <f>'收入支出明细表（基础数据表）'!Q164</f>
        <v>0</v>
      </c>
      <c r="R164">
        <f>'收入支出明细表（基础数据表）'!R164</f>
        <v>0</v>
      </c>
      <c r="S164">
        <f>'收入支出明细表（基础数据表）'!S164</f>
        <v>0</v>
      </c>
    </row>
    <row r="165">
      <c r="D165" t="str">
        <v>付款进度-金额</v>
      </c>
      <c r="E165">
        <f>'收入支出明细表（基础数据表）'!E165</f>
        <v>0</v>
      </c>
      <c r="F165">
        <f>'收入支出明细表（基础数据表）'!F165</f>
        <v>0</v>
      </c>
      <c r="G165">
        <f>'收入支出明细表（基础数据表）'!G165</f>
        <v>0</v>
      </c>
      <c r="H165">
        <f>'收入支出明细表（基础数据表）'!H165</f>
        <v>0</v>
      </c>
      <c r="I165">
        <f>'收入支出明细表（基础数据表）'!I165</f>
        <v>0</v>
      </c>
      <c r="J165">
        <f>'收入支出明细表（基础数据表）'!J165</f>
        <v>0</v>
      </c>
      <c r="K165">
        <f>'收入支出明细表（基础数据表）'!K165</f>
        <v>0</v>
      </c>
      <c r="L165">
        <f>'收入支出明细表（基础数据表）'!L165</f>
        <v>0</v>
      </c>
      <c r="M165">
        <f>'收入支出明细表（基础数据表）'!M165</f>
        <v>0</v>
      </c>
      <c r="N165">
        <f>'收入支出明细表（基础数据表）'!N165</f>
        <v>0</v>
      </c>
      <c r="O165">
        <f>'收入支出明细表（基础数据表）'!O165</f>
        <v>0</v>
      </c>
      <c r="P165">
        <f>'收入支出明细表（基础数据表）'!P165</f>
        <v>0</v>
      </c>
      <c r="Q165">
        <f>'收入支出明细表（基础数据表）'!Q165</f>
        <v>0</v>
      </c>
      <c r="R165">
        <f>'收入支出明细表（基础数据表）'!R165</f>
        <v>0</v>
      </c>
      <c r="S165">
        <f>'收入支出明细表（基础数据表）'!S165</f>
        <v>0</v>
      </c>
    </row>
    <row r="166">
      <c r="D166" t="str">
        <v>付款进度-比例</v>
      </c>
      <c r="E166">
        <f>'收入支出明细表（基础数据表）'!E166</f>
        <v>0</v>
      </c>
      <c r="F166">
        <f>'收入支出明细表（基础数据表）'!F166</f>
        <v>0</v>
      </c>
      <c r="G166">
        <f>'收入支出明细表（基础数据表）'!G166</f>
        <v>0</v>
      </c>
      <c r="H166" t="e">
        <f>'收入支出明细表（基础数据表）'!H166</f>
        <v>#DIV/0!</v>
      </c>
      <c r="I166" t="e">
        <f>'收入支出明细表（基础数据表）'!I166</f>
        <v>#DIV/0!</v>
      </c>
      <c r="J166" t="e">
        <f>'收入支出明细表（基础数据表）'!J166</f>
        <v>#DIV/0!</v>
      </c>
      <c r="K166" t="e">
        <f>'收入支出明细表（基础数据表）'!K166</f>
        <v>#DIV/0!</v>
      </c>
      <c r="L166" t="e">
        <f>'收入支出明细表（基础数据表）'!L166</f>
        <v>#DIV/0!</v>
      </c>
      <c r="M166" t="e">
        <f>'收入支出明细表（基础数据表）'!M166</f>
        <v>#DIV/0!</v>
      </c>
      <c r="N166" t="e">
        <f>'收入支出明细表（基础数据表）'!N166</f>
        <v>#DIV/0!</v>
      </c>
      <c r="O166" t="e">
        <f>'收入支出明细表（基础数据表）'!O166</f>
        <v>#DIV/0!</v>
      </c>
      <c r="P166" t="e">
        <f>'收入支出明细表（基础数据表）'!P166</f>
        <v>#DIV/0!</v>
      </c>
      <c r="Q166" t="e">
        <f>'收入支出明细表（基础数据表）'!Q166</f>
        <v>#DIV/0!</v>
      </c>
      <c r="R166" t="e">
        <f>'收入支出明细表（基础数据表）'!R166</f>
        <v>#DIV/0!</v>
      </c>
      <c r="S166" t="e">
        <f>'收入支出明细表（基础数据表）'!S166</f>
        <v>#DIV/0!</v>
      </c>
    </row>
    <row r="167">
      <c r="C167" t="str">
        <v>4、ICT设备/终端转租成本</v>
      </c>
      <c r="D167" t="str">
        <v>支出</v>
      </c>
      <c r="E167">
        <f>'收入支出明细表（基础数据表）'!E167</f>
        <v>0</v>
      </c>
      <c r="F167">
        <f>'收入支出明细表（基础数据表）'!F167</f>
        <v>0.13</v>
      </c>
      <c r="G167">
        <f>'收入支出明细表（基础数据表）'!G167</f>
        <v>0</v>
      </c>
      <c r="H167">
        <f>'收入支出明细表（基础数据表）'!H167</f>
        <v>0</v>
      </c>
      <c r="I167">
        <f>'收入支出明细表（基础数据表）'!I167</f>
        <v>0</v>
      </c>
      <c r="J167">
        <f>'收入支出明细表（基础数据表）'!J167</f>
        <v>0</v>
      </c>
      <c r="K167">
        <f>'收入支出明细表（基础数据表）'!K167</f>
        <v>0</v>
      </c>
      <c r="L167">
        <f>'收入支出明细表（基础数据表）'!L167</f>
        <v>0</v>
      </c>
      <c r="M167">
        <f>'收入支出明细表（基础数据表）'!M167</f>
        <v>0</v>
      </c>
      <c r="N167">
        <f>'收入支出明细表（基础数据表）'!N167</f>
        <v>0</v>
      </c>
      <c r="O167">
        <f>'收入支出明细表（基础数据表）'!O167</f>
        <v>0</v>
      </c>
      <c r="P167">
        <f>'收入支出明细表（基础数据表）'!P167</f>
        <v>0</v>
      </c>
      <c r="Q167">
        <f>'收入支出明细表（基础数据表）'!Q167</f>
        <v>0</v>
      </c>
      <c r="R167">
        <f>'收入支出明细表（基础数据表）'!R167</f>
        <v>0</v>
      </c>
      <c r="S167">
        <f>'收入支出明细表（基础数据表）'!S167</f>
        <v>0</v>
      </c>
    </row>
    <row r="168">
      <c r="D168" t="str">
        <v>付款进度-金额</v>
      </c>
      <c r="E168">
        <f>'收入支出明细表（基础数据表）'!E168</f>
        <v>0</v>
      </c>
      <c r="F168">
        <f>'收入支出明细表（基础数据表）'!F168</f>
        <v>0</v>
      </c>
      <c r="G168">
        <f>'收入支出明细表（基础数据表）'!G168</f>
        <v>0</v>
      </c>
      <c r="H168">
        <f>'收入支出明细表（基础数据表）'!H168</f>
        <v>0</v>
      </c>
      <c r="I168">
        <f>'收入支出明细表（基础数据表）'!I168</f>
        <v>0</v>
      </c>
      <c r="J168">
        <f>'收入支出明细表（基础数据表）'!J168</f>
        <v>0</v>
      </c>
      <c r="K168">
        <f>'收入支出明细表（基础数据表）'!K168</f>
        <v>0</v>
      </c>
      <c r="L168">
        <f>'收入支出明细表（基础数据表）'!L168</f>
        <v>0</v>
      </c>
      <c r="M168">
        <f>'收入支出明细表（基础数据表）'!M168</f>
        <v>0</v>
      </c>
      <c r="N168">
        <f>'收入支出明细表（基础数据表）'!N168</f>
        <v>0</v>
      </c>
      <c r="O168">
        <f>'收入支出明细表（基础数据表）'!O168</f>
        <v>0</v>
      </c>
      <c r="P168">
        <f>'收入支出明细表（基础数据表）'!P168</f>
        <v>0</v>
      </c>
      <c r="Q168">
        <f>'收入支出明细表（基础数据表）'!Q168</f>
        <v>0</v>
      </c>
      <c r="R168">
        <f>'收入支出明细表（基础数据表）'!R168</f>
        <v>0</v>
      </c>
      <c r="S168">
        <f>'收入支出明细表（基础数据表）'!S168</f>
        <v>0</v>
      </c>
    </row>
    <row r="169">
      <c r="D169" t="str">
        <v>付款进度-比例</v>
      </c>
      <c r="E169">
        <f>'收入支出明细表（基础数据表）'!E169</f>
        <v>0</v>
      </c>
      <c r="F169">
        <f>'收入支出明细表（基础数据表）'!F169</f>
        <v>0</v>
      </c>
      <c r="G169">
        <f>'收入支出明细表（基础数据表）'!G169</f>
        <v>0</v>
      </c>
      <c r="H169" t="e">
        <f>'收入支出明细表（基础数据表）'!H169</f>
        <v>#DIV/0!</v>
      </c>
      <c r="I169" t="e">
        <f>'收入支出明细表（基础数据表）'!I169</f>
        <v>#DIV/0!</v>
      </c>
      <c r="J169" t="e">
        <f>'收入支出明细表（基础数据表）'!J169</f>
        <v>#DIV/0!</v>
      </c>
      <c r="K169" t="e">
        <f>'收入支出明细表（基础数据表）'!K169</f>
        <v>#DIV/0!</v>
      </c>
      <c r="L169" t="e">
        <f>'收入支出明细表（基础数据表）'!L169</f>
        <v>#DIV/0!</v>
      </c>
      <c r="M169" t="e">
        <f>'收入支出明细表（基础数据表）'!M169</f>
        <v>#DIV/0!</v>
      </c>
      <c r="N169" t="e">
        <f>'收入支出明细表（基础数据表）'!N169</f>
        <v>#DIV/0!</v>
      </c>
      <c r="O169" t="e">
        <f>'收入支出明细表（基础数据表）'!O169</f>
        <v>#DIV/0!</v>
      </c>
      <c r="P169" t="e">
        <f>'收入支出明细表（基础数据表）'!P169</f>
        <v>#DIV/0!</v>
      </c>
      <c r="Q169" t="e">
        <f>'收入支出明细表（基础数据表）'!Q169</f>
        <v>#DIV/0!</v>
      </c>
      <c r="R169" t="e">
        <f>'收入支出明细表（基础数据表）'!R169</f>
        <v>#DIV/0!</v>
      </c>
      <c r="S169" t="e">
        <f>'收入支出明细表（基础数据表）'!S169</f>
        <v>#DIV/0!</v>
      </c>
    </row>
    <row r="170">
      <c r="C170" t="str">
        <v xml:space="preserve">        ……</v>
      </c>
      <c r="E170">
        <f>'收入支出明细表（基础数据表）'!E170</f>
        <v>0</v>
      </c>
      <c r="F170">
        <f>'收入支出明细表（基础数据表）'!F170</f>
        <v>0</v>
      </c>
      <c r="G170">
        <f>'收入支出明细表（基础数据表）'!G170</f>
        <v>0</v>
      </c>
      <c r="H170">
        <f>'收入支出明细表（基础数据表）'!H170</f>
        <v>0</v>
      </c>
      <c r="I170">
        <f>'收入支出明细表（基础数据表）'!I170</f>
        <v>0</v>
      </c>
      <c r="J170">
        <f>'收入支出明细表（基础数据表）'!J170</f>
        <v>0</v>
      </c>
      <c r="K170">
        <f>'收入支出明细表（基础数据表）'!K170</f>
        <v>0</v>
      </c>
      <c r="L170">
        <f>'收入支出明细表（基础数据表）'!L170</f>
        <v>0</v>
      </c>
      <c r="M170">
        <f>'收入支出明细表（基础数据表）'!M170</f>
        <v>0</v>
      </c>
      <c r="N170">
        <f>'收入支出明细表（基础数据表）'!N170</f>
        <v>0</v>
      </c>
      <c r="O170">
        <f>'收入支出明细表（基础数据表）'!O170</f>
        <v>0</v>
      </c>
      <c r="P170">
        <f>'收入支出明细表（基础数据表）'!P170</f>
        <v>0</v>
      </c>
      <c r="Q170">
        <f>'收入支出明细表（基础数据表）'!Q170</f>
        <v>0</v>
      </c>
      <c r="R170">
        <f>'收入支出明细表（基础数据表）'!R170</f>
        <v>0</v>
      </c>
      <c r="S170">
        <f>'收入支出明细表（基础数据表）'!S170</f>
        <v>0</v>
      </c>
    </row>
    <row r="171">
      <c r="B171" t="str">
        <v>CT类成本</v>
      </c>
      <c r="C171" t="str">
        <v>CT类成本合计</v>
      </c>
      <c r="D171" t="str">
        <v>支出</v>
      </c>
      <c r="E171">
        <f>'收入支出明细表（基础数据表）'!E171</f>
        <v>0</v>
      </c>
      <c r="F171">
        <f>'收入支出明细表（基础数据表）'!F171</f>
        <v>0</v>
      </c>
      <c r="G171">
        <f>'收入支出明细表（基础数据表）'!G171</f>
        <v>0</v>
      </c>
      <c r="H171">
        <f>'收入支出明细表（基础数据表）'!H171</f>
        <v>0</v>
      </c>
      <c r="I171">
        <f>'收入支出明细表（基础数据表）'!I171</f>
        <v>0</v>
      </c>
      <c r="J171">
        <f>'收入支出明细表（基础数据表）'!J171</f>
        <v>0</v>
      </c>
      <c r="K171">
        <f>'收入支出明细表（基础数据表）'!K171</f>
        <v>0</v>
      </c>
      <c r="L171">
        <f>'收入支出明细表（基础数据表）'!L171</f>
        <v>0</v>
      </c>
      <c r="M171">
        <f>'收入支出明细表（基础数据表）'!M171</f>
        <v>0</v>
      </c>
      <c r="N171">
        <f>'收入支出明细表（基础数据表）'!N171</f>
        <v>0</v>
      </c>
      <c r="O171">
        <f>'收入支出明细表（基础数据表）'!O171</f>
        <v>0</v>
      </c>
      <c r="P171">
        <f>'收入支出明细表（基础数据表）'!P171</f>
        <v>0</v>
      </c>
      <c r="Q171">
        <f>'收入支出明细表（基础数据表）'!Q171</f>
        <v>0</v>
      </c>
      <c r="R171">
        <f>'收入支出明细表（基础数据表）'!R171</f>
        <v>0</v>
      </c>
      <c r="S171">
        <f>'收入支出明细表（基础数据表）'!S171</f>
        <v>0</v>
      </c>
    </row>
    <row r="172">
      <c r="D172" t="str">
        <v>付款进度-金额</v>
      </c>
      <c r="E172">
        <f>'收入支出明细表（基础数据表）'!E172</f>
        <v>0</v>
      </c>
      <c r="F172">
        <f>'收入支出明细表（基础数据表）'!F172</f>
        <v>0</v>
      </c>
      <c r="G172">
        <f>'收入支出明细表（基础数据表）'!G172</f>
        <v>0</v>
      </c>
      <c r="H172">
        <f>'收入支出明细表（基础数据表）'!H172</f>
        <v>0</v>
      </c>
      <c r="I172">
        <f>'收入支出明细表（基础数据表）'!I172</f>
        <v>0</v>
      </c>
      <c r="J172">
        <f>'收入支出明细表（基础数据表）'!J172</f>
        <v>0</v>
      </c>
      <c r="K172">
        <f>'收入支出明细表（基础数据表）'!K172</f>
        <v>0</v>
      </c>
      <c r="L172">
        <f>'收入支出明细表（基础数据表）'!L172</f>
        <v>0</v>
      </c>
      <c r="M172">
        <f>'收入支出明细表（基础数据表）'!M172</f>
        <v>0</v>
      </c>
      <c r="N172">
        <f>'收入支出明细表（基础数据表）'!N172</f>
        <v>0</v>
      </c>
      <c r="O172">
        <f>'收入支出明细表（基础数据表）'!O172</f>
        <v>0</v>
      </c>
      <c r="P172">
        <f>'收入支出明细表（基础数据表）'!P172</f>
        <v>0</v>
      </c>
      <c r="Q172">
        <f>'收入支出明细表（基础数据表）'!Q172</f>
        <v>0</v>
      </c>
      <c r="R172">
        <f>'收入支出明细表（基础数据表）'!R172</f>
        <v>0</v>
      </c>
      <c r="S172">
        <f>'收入支出明细表（基础数据表）'!S172</f>
        <v>0</v>
      </c>
    </row>
    <row r="173">
      <c r="D173" t="str">
        <v>付款进度-比例</v>
      </c>
      <c r="E173">
        <f>'收入支出明细表（基础数据表）'!E173</f>
        <v>0</v>
      </c>
      <c r="F173">
        <f>'收入支出明细表（基础数据表）'!F173</f>
        <v>0</v>
      </c>
      <c r="G173">
        <f>'收入支出明细表（基础数据表）'!G173</f>
        <v>0</v>
      </c>
      <c r="H173" t="e">
        <f>'收入支出明细表（基础数据表）'!H173</f>
        <v>#DIV/0!</v>
      </c>
      <c r="I173" t="e">
        <f>'收入支出明细表（基础数据表）'!I173</f>
        <v>#DIV/0!</v>
      </c>
      <c r="J173" t="e">
        <f>'收入支出明细表（基础数据表）'!J173</f>
        <v>#DIV/0!</v>
      </c>
      <c r="K173" t="e">
        <f>'收入支出明细表（基础数据表）'!K173</f>
        <v>#DIV/0!</v>
      </c>
      <c r="L173" t="e">
        <f>'收入支出明细表（基础数据表）'!L173</f>
        <v>#DIV/0!</v>
      </c>
      <c r="M173" t="e">
        <f>'收入支出明细表（基础数据表）'!M173</f>
        <v>#DIV/0!</v>
      </c>
      <c r="N173" t="e">
        <f>'收入支出明细表（基础数据表）'!N173</f>
        <v>#DIV/0!</v>
      </c>
      <c r="O173" t="e">
        <f>'收入支出明细表（基础数据表）'!O173</f>
        <v>#DIV/0!</v>
      </c>
      <c r="P173" t="e">
        <f>'收入支出明细表（基础数据表）'!P173</f>
        <v>#DIV/0!</v>
      </c>
      <c r="Q173" t="e">
        <f>'收入支出明细表（基础数据表）'!Q173</f>
        <v>#DIV/0!</v>
      </c>
      <c r="R173" t="e">
        <f>'收入支出明细表（基础数据表）'!R173</f>
        <v>#DIV/0!</v>
      </c>
      <c r="S173" t="e">
        <f>'收入支出明细表（基础数据表）'!S173</f>
        <v>#DIV/0!</v>
      </c>
    </row>
    <row r="174">
      <c r="C174" t="str">
        <v>1、业务技术支撑成本</v>
      </c>
      <c r="D174" t="str">
        <v>支出</v>
      </c>
      <c r="E174">
        <f>'收入支出明细表（基础数据表）'!E174</f>
        <v>0</v>
      </c>
      <c r="F174">
        <f>'收入支出明细表（基础数据表）'!F174</f>
        <v>0.06</v>
      </c>
      <c r="G174">
        <f>'收入支出明细表（基础数据表）'!G174</f>
        <v>0</v>
      </c>
      <c r="H174">
        <f>'收入支出明细表（基础数据表）'!H174</f>
        <v>0</v>
      </c>
      <c r="I174">
        <f>'收入支出明细表（基础数据表）'!I174</f>
        <v>0</v>
      </c>
      <c r="J174">
        <f>'收入支出明细表（基础数据表）'!J174</f>
        <v>0</v>
      </c>
      <c r="K174">
        <f>'收入支出明细表（基础数据表）'!K174</f>
        <v>0</v>
      </c>
      <c r="L174">
        <f>'收入支出明细表（基础数据表）'!L174</f>
        <v>0</v>
      </c>
      <c r="M174">
        <f>'收入支出明细表（基础数据表）'!M174</f>
        <v>0</v>
      </c>
      <c r="N174">
        <f>'收入支出明细表（基础数据表）'!N174</f>
        <v>0</v>
      </c>
      <c r="O174">
        <f>'收入支出明细表（基础数据表）'!O174</f>
        <v>0</v>
      </c>
      <c r="P174">
        <f>'收入支出明细表（基础数据表）'!P174</f>
        <v>0</v>
      </c>
      <c r="Q174">
        <f>'收入支出明细表（基础数据表）'!Q174</f>
        <v>0</v>
      </c>
      <c r="R174">
        <f>'收入支出明细表（基础数据表）'!R174</f>
        <v>0</v>
      </c>
      <c r="S174">
        <f>'收入支出明细表（基础数据表）'!S174</f>
        <v>0</v>
      </c>
    </row>
    <row r="175">
      <c r="D175" t="str">
        <v>付款进度-金额</v>
      </c>
      <c r="E175">
        <f>'收入支出明细表（基础数据表）'!E175</f>
        <v>0</v>
      </c>
      <c r="F175">
        <f>'收入支出明细表（基础数据表）'!F175</f>
        <v>0</v>
      </c>
      <c r="G175">
        <f>'收入支出明细表（基础数据表）'!G175</f>
        <v>0</v>
      </c>
      <c r="H175">
        <f>'收入支出明细表（基础数据表）'!H175</f>
        <v>0</v>
      </c>
      <c r="I175">
        <f>'收入支出明细表（基础数据表）'!I175</f>
        <v>0</v>
      </c>
      <c r="J175">
        <f>'收入支出明细表（基础数据表）'!J175</f>
        <v>0</v>
      </c>
      <c r="K175">
        <f>'收入支出明细表（基础数据表）'!K175</f>
        <v>0</v>
      </c>
      <c r="L175">
        <f>'收入支出明细表（基础数据表）'!L175</f>
        <v>0</v>
      </c>
      <c r="M175">
        <f>'收入支出明细表（基础数据表）'!M175</f>
        <v>0</v>
      </c>
      <c r="N175">
        <f>'收入支出明细表（基础数据表）'!N175</f>
        <v>0</v>
      </c>
      <c r="O175">
        <f>'收入支出明细表（基础数据表）'!O175</f>
        <v>0</v>
      </c>
      <c r="P175">
        <f>'收入支出明细表（基础数据表）'!P175</f>
        <v>0</v>
      </c>
      <c r="Q175">
        <f>'收入支出明细表（基础数据表）'!Q175</f>
        <v>0</v>
      </c>
      <c r="R175">
        <f>'收入支出明细表（基础数据表）'!R175</f>
        <v>0</v>
      </c>
      <c r="S175">
        <f>'收入支出明细表（基础数据表）'!S175</f>
        <v>0</v>
      </c>
    </row>
    <row r="176">
      <c r="D176" t="str">
        <v>付款进度-比例</v>
      </c>
      <c r="E176">
        <f>'收入支出明细表（基础数据表）'!E176</f>
        <v>0</v>
      </c>
      <c r="F176">
        <f>'收入支出明细表（基础数据表）'!F176</f>
        <v>0</v>
      </c>
      <c r="G176">
        <f>'收入支出明细表（基础数据表）'!G176</f>
        <v>0</v>
      </c>
      <c r="H176" t="e">
        <f>'收入支出明细表（基础数据表）'!H176</f>
        <v>#DIV/0!</v>
      </c>
      <c r="I176" t="e">
        <f>'收入支出明细表（基础数据表）'!I176</f>
        <v>#DIV/0!</v>
      </c>
      <c r="J176" t="e">
        <f>'收入支出明细表（基础数据表）'!J176</f>
        <v>#DIV/0!</v>
      </c>
      <c r="K176" t="e">
        <f>'收入支出明细表（基础数据表）'!K176</f>
        <v>#DIV/0!</v>
      </c>
      <c r="L176" t="e">
        <f>'收入支出明细表（基础数据表）'!L176</f>
        <v>#DIV/0!</v>
      </c>
      <c r="M176" t="e">
        <f>'收入支出明细表（基础数据表）'!M176</f>
        <v>#DIV/0!</v>
      </c>
      <c r="N176" t="e">
        <f>'收入支出明细表（基础数据表）'!N176</f>
        <v>#DIV/0!</v>
      </c>
      <c r="O176" t="e">
        <f>'收入支出明细表（基础数据表）'!O176</f>
        <v>#DIV/0!</v>
      </c>
      <c r="P176" t="e">
        <f>'收入支出明细表（基础数据表）'!P176</f>
        <v>#DIV/0!</v>
      </c>
      <c r="Q176" t="e">
        <f>'收入支出明细表（基础数据表）'!Q176</f>
        <v>#DIV/0!</v>
      </c>
      <c r="R176" t="e">
        <f>'收入支出明细表（基础数据表）'!R176</f>
        <v>#DIV/0!</v>
      </c>
      <c r="S176" t="e">
        <f>'收入支出明细表（基础数据表）'!S176</f>
        <v>#DIV/0!</v>
      </c>
    </row>
    <row r="177">
      <c r="C177" t="str">
        <v>2、网络设备成本</v>
      </c>
      <c r="D177" t="str">
        <v>支出</v>
      </c>
      <c r="E177">
        <f>'收入支出明细表（基础数据表）'!E177</f>
        <v>0</v>
      </c>
      <c r="F177">
        <f>'收入支出明细表（基础数据表）'!F177</f>
        <v>0.13</v>
      </c>
      <c r="G177">
        <f>'收入支出明细表（基础数据表）'!G177</f>
        <v>0</v>
      </c>
      <c r="H177">
        <f>'收入支出明细表（基础数据表）'!H177</f>
        <v>0</v>
      </c>
      <c r="I177">
        <f>'收入支出明细表（基础数据表）'!I177</f>
        <v>0</v>
      </c>
      <c r="J177">
        <f>'收入支出明细表（基础数据表）'!J177</f>
        <v>0</v>
      </c>
      <c r="K177">
        <f>'收入支出明细表（基础数据表）'!K177</f>
        <v>0</v>
      </c>
      <c r="L177">
        <f>'收入支出明细表（基础数据表）'!L177</f>
        <v>0</v>
      </c>
      <c r="M177">
        <f>'收入支出明细表（基础数据表）'!M177</f>
        <v>0</v>
      </c>
      <c r="N177">
        <f>'收入支出明细表（基础数据表）'!N177</f>
        <v>0</v>
      </c>
      <c r="O177">
        <f>'收入支出明细表（基础数据表）'!O177</f>
        <v>0</v>
      </c>
      <c r="P177">
        <f>'收入支出明细表（基础数据表）'!P177</f>
        <v>0</v>
      </c>
      <c r="Q177">
        <f>'收入支出明细表（基础数据表）'!Q177</f>
        <v>0</v>
      </c>
      <c r="R177">
        <f>'收入支出明细表（基础数据表）'!R177</f>
        <v>0</v>
      </c>
      <c r="S177">
        <f>'收入支出明细表（基础数据表）'!S177</f>
        <v>0</v>
      </c>
    </row>
    <row r="178">
      <c r="D178" t="str">
        <v>付款进度-金额</v>
      </c>
      <c r="E178">
        <f>'收入支出明细表（基础数据表）'!E178</f>
        <v>0</v>
      </c>
      <c r="F178">
        <f>'收入支出明细表（基础数据表）'!F178</f>
        <v>0</v>
      </c>
      <c r="G178">
        <f>'收入支出明细表（基础数据表）'!G178</f>
        <v>0</v>
      </c>
      <c r="H178">
        <f>'收入支出明细表（基础数据表）'!H178</f>
        <v>0</v>
      </c>
      <c r="I178">
        <f>'收入支出明细表（基础数据表）'!I178</f>
        <v>0</v>
      </c>
      <c r="J178">
        <f>'收入支出明细表（基础数据表）'!J178</f>
        <v>0</v>
      </c>
      <c r="K178">
        <f>'收入支出明细表（基础数据表）'!K178</f>
        <v>0</v>
      </c>
      <c r="L178">
        <f>'收入支出明细表（基础数据表）'!L178</f>
        <v>0</v>
      </c>
      <c r="M178">
        <f>'收入支出明细表（基础数据表）'!M178</f>
        <v>0</v>
      </c>
      <c r="N178">
        <f>'收入支出明细表（基础数据表）'!N178</f>
        <v>0</v>
      </c>
      <c r="O178">
        <f>'收入支出明细表（基础数据表）'!O178</f>
        <v>0</v>
      </c>
      <c r="P178">
        <f>'收入支出明细表（基础数据表）'!P178</f>
        <v>0</v>
      </c>
      <c r="Q178">
        <f>'收入支出明细表（基础数据表）'!Q178</f>
        <v>0</v>
      </c>
      <c r="R178">
        <f>'收入支出明细表（基础数据表）'!R178</f>
        <v>0</v>
      </c>
      <c r="S178">
        <f>'收入支出明细表（基础数据表）'!S178</f>
        <v>0</v>
      </c>
    </row>
    <row r="179">
      <c r="D179" t="str">
        <v>付款进度-比例</v>
      </c>
      <c r="E179">
        <f>'收入支出明细表（基础数据表）'!E179</f>
        <v>0</v>
      </c>
      <c r="F179">
        <f>'收入支出明细表（基础数据表）'!F179</f>
        <v>0</v>
      </c>
      <c r="G179">
        <f>'收入支出明细表（基础数据表）'!G179</f>
        <v>0</v>
      </c>
      <c r="H179" t="e">
        <f>'收入支出明细表（基础数据表）'!H179</f>
        <v>#DIV/0!</v>
      </c>
      <c r="I179" t="e">
        <f>'收入支出明细表（基础数据表）'!I179</f>
        <v>#DIV/0!</v>
      </c>
      <c r="J179" t="e">
        <f>'收入支出明细表（基础数据表）'!J179</f>
        <v>#DIV/0!</v>
      </c>
      <c r="K179" t="e">
        <f>'收入支出明细表（基础数据表）'!K179</f>
        <v>#DIV/0!</v>
      </c>
      <c r="L179" t="e">
        <f>'收入支出明细表（基础数据表）'!L179</f>
        <v>#DIV/0!</v>
      </c>
      <c r="M179" t="e">
        <f>'收入支出明细表（基础数据表）'!M179</f>
        <v>#DIV/0!</v>
      </c>
      <c r="N179" t="e">
        <f>'收入支出明细表（基础数据表）'!N179</f>
        <v>#DIV/0!</v>
      </c>
      <c r="O179" t="e">
        <f>'收入支出明细表（基础数据表）'!O179</f>
        <v>#DIV/0!</v>
      </c>
      <c r="P179" t="e">
        <f>'收入支出明细表（基础数据表）'!P179</f>
        <v>#DIV/0!</v>
      </c>
      <c r="Q179" t="e">
        <f>'收入支出明细表（基础数据表）'!Q179</f>
        <v>#DIV/0!</v>
      </c>
      <c r="R179" t="e">
        <f>'收入支出明细表（基础数据表）'!R179</f>
        <v>#DIV/0!</v>
      </c>
      <c r="S179" t="e">
        <f>'收入支出明细表（基础数据表）'!S179</f>
        <v>#DIV/0!</v>
      </c>
    </row>
    <row r="180">
      <c r="C180" t="str">
        <v>3、网络终端成本</v>
      </c>
      <c r="D180" t="str">
        <v>支出</v>
      </c>
      <c r="E180">
        <f>'收入支出明细表（基础数据表）'!E180</f>
        <v>0</v>
      </c>
      <c r="F180">
        <f>'收入支出明细表（基础数据表）'!F180</f>
        <v>0.13</v>
      </c>
      <c r="G180">
        <f>'收入支出明细表（基础数据表）'!G180</f>
        <v>0</v>
      </c>
      <c r="H180">
        <f>'收入支出明细表（基础数据表）'!H180</f>
        <v>0</v>
      </c>
      <c r="I180">
        <f>'收入支出明细表（基础数据表）'!I180</f>
        <v>0</v>
      </c>
      <c r="J180">
        <f>'收入支出明细表（基础数据表）'!J180</f>
        <v>0</v>
      </c>
      <c r="K180">
        <f>'收入支出明细表（基础数据表）'!K180</f>
        <v>0</v>
      </c>
      <c r="L180">
        <f>'收入支出明细表（基础数据表）'!L180</f>
        <v>0</v>
      </c>
      <c r="M180">
        <f>'收入支出明细表（基础数据表）'!M180</f>
        <v>0</v>
      </c>
      <c r="N180">
        <f>'收入支出明细表（基础数据表）'!N180</f>
        <v>0</v>
      </c>
      <c r="O180">
        <f>'收入支出明细表（基础数据表）'!O180</f>
        <v>0</v>
      </c>
      <c r="P180">
        <f>'收入支出明细表（基础数据表）'!P180</f>
        <v>0</v>
      </c>
      <c r="Q180">
        <f>'收入支出明细表（基础数据表）'!Q180</f>
        <v>0</v>
      </c>
      <c r="R180">
        <f>'收入支出明细表（基础数据表）'!R180</f>
        <v>0</v>
      </c>
      <c r="S180">
        <f>'收入支出明细表（基础数据表）'!S180</f>
        <v>0</v>
      </c>
    </row>
    <row r="181">
      <c r="D181" t="str">
        <v>付款进度-金额</v>
      </c>
      <c r="E181">
        <f>'收入支出明细表（基础数据表）'!E181</f>
        <v>0</v>
      </c>
      <c r="F181">
        <f>'收入支出明细表（基础数据表）'!F181</f>
        <v>0</v>
      </c>
      <c r="G181">
        <f>'收入支出明细表（基础数据表）'!G181</f>
        <v>0</v>
      </c>
      <c r="H181">
        <f>'收入支出明细表（基础数据表）'!H181</f>
        <v>0</v>
      </c>
      <c r="I181">
        <f>'收入支出明细表（基础数据表）'!I181</f>
        <v>0</v>
      </c>
      <c r="J181">
        <f>'收入支出明细表（基础数据表）'!J181</f>
        <v>0</v>
      </c>
      <c r="K181">
        <f>'收入支出明细表（基础数据表）'!K181</f>
        <v>0</v>
      </c>
      <c r="L181">
        <f>'收入支出明细表（基础数据表）'!L181</f>
        <v>0</v>
      </c>
      <c r="M181">
        <f>'收入支出明细表（基础数据表）'!M181</f>
        <v>0</v>
      </c>
      <c r="N181">
        <f>'收入支出明细表（基础数据表）'!N181</f>
        <v>0</v>
      </c>
      <c r="O181">
        <f>'收入支出明细表（基础数据表）'!O181</f>
        <v>0</v>
      </c>
      <c r="P181">
        <f>'收入支出明细表（基础数据表）'!P181</f>
        <v>0</v>
      </c>
      <c r="Q181">
        <f>'收入支出明细表（基础数据表）'!Q181</f>
        <v>0</v>
      </c>
      <c r="R181">
        <f>'收入支出明细表（基础数据表）'!R181</f>
        <v>0</v>
      </c>
      <c r="S181">
        <f>'收入支出明细表（基础数据表）'!S181</f>
        <v>0</v>
      </c>
    </row>
    <row r="182">
      <c r="D182" t="str">
        <v>付款进度-比例</v>
      </c>
      <c r="E182">
        <f>'收入支出明细表（基础数据表）'!E182</f>
        <v>0</v>
      </c>
      <c r="F182">
        <f>'收入支出明细表（基础数据表）'!F182</f>
        <v>0</v>
      </c>
      <c r="G182">
        <f>'收入支出明细表（基础数据表）'!G182</f>
        <v>0</v>
      </c>
      <c r="H182" t="e">
        <f>'收入支出明细表（基础数据表）'!H182</f>
        <v>#DIV/0!</v>
      </c>
      <c r="I182" t="e">
        <f>'收入支出明细表（基础数据表）'!I182</f>
        <v>#DIV/0!</v>
      </c>
      <c r="J182" t="e">
        <f>'收入支出明细表（基础数据表）'!J182</f>
        <v>#DIV/0!</v>
      </c>
      <c r="K182" t="e">
        <f>'收入支出明细表（基础数据表）'!K182</f>
        <v>#DIV/0!</v>
      </c>
      <c r="L182" t="e">
        <f>'收入支出明细表（基础数据表）'!L182</f>
        <v>#DIV/0!</v>
      </c>
      <c r="M182" t="e">
        <f>'收入支出明细表（基础数据表）'!M182</f>
        <v>#DIV/0!</v>
      </c>
      <c r="N182" t="e">
        <f>'收入支出明细表（基础数据表）'!N182</f>
        <v>#DIV/0!</v>
      </c>
      <c r="O182" t="e">
        <f>'收入支出明细表（基础数据表）'!O182</f>
        <v>#DIV/0!</v>
      </c>
      <c r="P182" t="e">
        <f>'收入支出明细表（基础数据表）'!P182</f>
        <v>#DIV/0!</v>
      </c>
      <c r="Q182" t="e">
        <f>'收入支出明细表（基础数据表）'!Q182</f>
        <v>#DIV/0!</v>
      </c>
      <c r="R182" t="e">
        <f>'收入支出明细表（基础数据表）'!R182</f>
        <v>#DIV/0!</v>
      </c>
      <c r="S182" t="e">
        <f>'收入支出明细表（基础数据表）'!S182</f>
        <v>#DIV/0!</v>
      </c>
    </row>
    <row r="183">
      <c r="C183" t="str">
        <v>4、网络施工成本</v>
      </c>
      <c r="D183" t="str">
        <v>支出</v>
      </c>
      <c r="E183">
        <f>'收入支出明细表（基础数据表）'!E183</f>
        <v>0</v>
      </c>
      <c r="F183">
        <f>'收入支出明细表（基础数据表）'!F183</f>
        <v>0.09</v>
      </c>
      <c r="G183">
        <f>'收入支出明细表（基础数据表）'!G183</f>
        <v>0</v>
      </c>
      <c r="H183">
        <f>'收入支出明细表（基础数据表）'!H183</f>
        <v>0</v>
      </c>
      <c r="I183">
        <f>'收入支出明细表（基础数据表）'!I183</f>
        <v>0</v>
      </c>
      <c r="J183">
        <f>'收入支出明细表（基础数据表）'!J183</f>
        <v>0</v>
      </c>
      <c r="K183">
        <f>'收入支出明细表（基础数据表）'!K183</f>
        <v>0</v>
      </c>
      <c r="L183">
        <f>'收入支出明细表（基础数据表）'!L183</f>
        <v>0</v>
      </c>
      <c r="M183">
        <f>'收入支出明细表（基础数据表）'!M183</f>
        <v>0</v>
      </c>
      <c r="N183">
        <f>'收入支出明细表（基础数据表）'!N183</f>
        <v>0</v>
      </c>
      <c r="O183">
        <f>'收入支出明细表（基础数据表）'!O183</f>
        <v>0</v>
      </c>
      <c r="P183">
        <f>'收入支出明细表（基础数据表）'!P183</f>
        <v>0</v>
      </c>
      <c r="Q183">
        <f>'收入支出明细表（基础数据表）'!Q183</f>
        <v>0</v>
      </c>
      <c r="R183">
        <f>'收入支出明细表（基础数据表）'!R183</f>
        <v>0</v>
      </c>
      <c r="S183">
        <f>'收入支出明细表（基础数据表）'!S183</f>
        <v>0</v>
      </c>
    </row>
    <row r="184">
      <c r="D184" t="str">
        <v>付款进度-金额</v>
      </c>
      <c r="E184">
        <f>'收入支出明细表（基础数据表）'!E184</f>
        <v>0</v>
      </c>
      <c r="F184">
        <f>'收入支出明细表（基础数据表）'!F184</f>
        <v>0</v>
      </c>
      <c r="G184">
        <f>'收入支出明细表（基础数据表）'!G184</f>
        <v>0</v>
      </c>
      <c r="H184">
        <f>'收入支出明细表（基础数据表）'!H184</f>
        <v>0</v>
      </c>
      <c r="I184">
        <f>'收入支出明细表（基础数据表）'!I184</f>
        <v>0</v>
      </c>
      <c r="J184">
        <f>'收入支出明细表（基础数据表）'!J184</f>
        <v>0</v>
      </c>
      <c r="K184">
        <f>'收入支出明细表（基础数据表）'!K184</f>
        <v>0</v>
      </c>
      <c r="L184">
        <f>'收入支出明细表（基础数据表）'!L184</f>
        <v>0</v>
      </c>
      <c r="M184">
        <f>'收入支出明细表（基础数据表）'!M184</f>
        <v>0</v>
      </c>
      <c r="N184">
        <f>'收入支出明细表（基础数据表）'!N184</f>
        <v>0</v>
      </c>
      <c r="O184">
        <f>'收入支出明细表（基础数据表）'!O184</f>
        <v>0</v>
      </c>
      <c r="P184">
        <f>'收入支出明细表（基础数据表）'!P184</f>
        <v>0</v>
      </c>
      <c r="Q184">
        <f>'收入支出明细表（基础数据表）'!Q184</f>
        <v>0</v>
      </c>
      <c r="R184">
        <f>'收入支出明细表（基础数据表）'!R184</f>
        <v>0</v>
      </c>
      <c r="S184">
        <f>'收入支出明细表（基础数据表）'!S184</f>
        <v>0</v>
      </c>
    </row>
    <row r="185">
      <c r="D185" t="str">
        <v>付款进度-比例</v>
      </c>
      <c r="E185">
        <f>'收入支出明细表（基础数据表）'!E185</f>
        <v>0</v>
      </c>
      <c r="F185">
        <f>'收入支出明细表（基础数据表）'!F185</f>
        <v>0</v>
      </c>
      <c r="G185">
        <f>'收入支出明细表（基础数据表）'!G185</f>
        <v>0</v>
      </c>
      <c r="H185" t="e">
        <f>'收入支出明细表（基础数据表）'!H185</f>
        <v>#DIV/0!</v>
      </c>
      <c r="I185" t="e">
        <f>'收入支出明细表（基础数据表）'!I185</f>
        <v>#DIV/0!</v>
      </c>
      <c r="J185" t="e">
        <f>'收入支出明细表（基础数据表）'!J185</f>
        <v>#DIV/0!</v>
      </c>
      <c r="K185" t="e">
        <f>'收入支出明细表（基础数据表）'!K185</f>
        <v>#DIV/0!</v>
      </c>
      <c r="L185" t="e">
        <f>'收入支出明细表（基础数据表）'!L185</f>
        <v>#DIV/0!</v>
      </c>
      <c r="M185" t="e">
        <f>'收入支出明细表（基础数据表）'!M185</f>
        <v>#DIV/0!</v>
      </c>
      <c r="N185" t="e">
        <f>'收入支出明细表（基础数据表）'!N185</f>
        <v>#DIV/0!</v>
      </c>
      <c r="O185" t="e">
        <f>'收入支出明细表（基础数据表）'!O185</f>
        <v>#DIV/0!</v>
      </c>
      <c r="P185" t="e">
        <f>'收入支出明细表（基础数据表）'!P185</f>
        <v>#DIV/0!</v>
      </c>
      <c r="Q185" t="e">
        <f>'收入支出明细表（基础数据表）'!Q185</f>
        <v>#DIV/0!</v>
      </c>
      <c r="R185" t="e">
        <f>'收入支出明细表（基础数据表）'!R185</f>
        <v>#DIV/0!</v>
      </c>
      <c r="S185" t="e">
        <f>'收入支出明细表（基础数据表）'!S185</f>
        <v>#DIV/0!</v>
      </c>
    </row>
    <row r="186">
      <c r="C186" t="str">
        <v>5、网络维护成本</v>
      </c>
      <c r="D186" t="str">
        <v>支出</v>
      </c>
      <c r="E186">
        <f>'收入支出明细表（基础数据表）'!E186</f>
        <v>0</v>
      </c>
      <c r="F186">
        <f>'收入支出明细表（基础数据表）'!F186</f>
        <v>0.06</v>
      </c>
      <c r="G186">
        <f>'收入支出明细表（基础数据表）'!G186</f>
        <v>0</v>
      </c>
      <c r="H186">
        <f>'收入支出明细表（基础数据表）'!H186</f>
        <v>0</v>
      </c>
      <c r="I186">
        <f>'收入支出明细表（基础数据表）'!I186</f>
        <v>0</v>
      </c>
      <c r="J186">
        <f>'收入支出明细表（基础数据表）'!J186</f>
        <v>0</v>
      </c>
      <c r="K186">
        <f>'收入支出明细表（基础数据表）'!K186</f>
        <v>0</v>
      </c>
      <c r="L186">
        <f>'收入支出明细表（基础数据表）'!L186</f>
        <v>0</v>
      </c>
      <c r="M186">
        <f>'收入支出明细表（基础数据表）'!M186</f>
        <v>0</v>
      </c>
      <c r="N186">
        <f>'收入支出明细表（基础数据表）'!N186</f>
        <v>0</v>
      </c>
      <c r="O186">
        <f>'收入支出明细表（基础数据表）'!O186</f>
        <v>0</v>
      </c>
      <c r="P186">
        <f>'收入支出明细表（基础数据表）'!P186</f>
        <v>0</v>
      </c>
      <c r="Q186">
        <f>'收入支出明细表（基础数据表）'!Q186</f>
        <v>0</v>
      </c>
      <c r="R186">
        <f>'收入支出明细表（基础数据表）'!R186</f>
        <v>0</v>
      </c>
      <c r="S186">
        <f>'收入支出明细表（基础数据表）'!S186</f>
        <v>0</v>
      </c>
    </row>
    <row r="187">
      <c r="D187" t="str">
        <v>付款进度-金额</v>
      </c>
      <c r="E187">
        <f>'收入支出明细表（基础数据表）'!E187</f>
        <v>0</v>
      </c>
      <c r="F187">
        <f>'收入支出明细表（基础数据表）'!F187</f>
        <v>0</v>
      </c>
      <c r="G187">
        <f>'收入支出明细表（基础数据表）'!G187</f>
        <v>0</v>
      </c>
      <c r="H187">
        <f>'收入支出明细表（基础数据表）'!H187</f>
        <v>0</v>
      </c>
      <c r="I187">
        <f>'收入支出明细表（基础数据表）'!I187</f>
        <v>0</v>
      </c>
      <c r="J187">
        <f>'收入支出明细表（基础数据表）'!J187</f>
        <v>0</v>
      </c>
      <c r="K187">
        <f>'收入支出明细表（基础数据表）'!K187</f>
        <v>0</v>
      </c>
      <c r="L187">
        <f>'收入支出明细表（基础数据表）'!L187</f>
        <v>0</v>
      </c>
      <c r="M187">
        <f>'收入支出明细表（基础数据表）'!M187</f>
        <v>0</v>
      </c>
      <c r="N187">
        <f>'收入支出明细表（基础数据表）'!N187</f>
        <v>0</v>
      </c>
      <c r="O187">
        <f>'收入支出明细表（基础数据表）'!O187</f>
        <v>0</v>
      </c>
      <c r="P187">
        <f>'收入支出明细表（基础数据表）'!P187</f>
        <v>0</v>
      </c>
      <c r="Q187">
        <f>'收入支出明细表（基础数据表）'!Q187</f>
        <v>0</v>
      </c>
      <c r="R187">
        <f>'收入支出明细表（基础数据表）'!R187</f>
        <v>0</v>
      </c>
      <c r="S187">
        <f>'收入支出明细表（基础数据表）'!S187</f>
        <v>0</v>
      </c>
    </row>
    <row r="188">
      <c r="D188" t="str">
        <v>付款进度-比例</v>
      </c>
      <c r="E188">
        <f>'收入支出明细表（基础数据表）'!E188</f>
        <v>0</v>
      </c>
      <c r="F188">
        <f>'收入支出明细表（基础数据表）'!F188</f>
        <v>0</v>
      </c>
      <c r="G188">
        <f>'收入支出明细表（基础数据表）'!G188</f>
        <v>0</v>
      </c>
      <c r="H188" t="e">
        <f>'收入支出明细表（基础数据表）'!H188</f>
        <v>#DIV/0!</v>
      </c>
      <c r="I188" t="e">
        <f>'收入支出明细表（基础数据表）'!I188</f>
        <v>#DIV/0!</v>
      </c>
      <c r="J188" t="e">
        <f>'收入支出明细表（基础数据表）'!J188</f>
        <v>#DIV/0!</v>
      </c>
      <c r="K188" t="e">
        <f>'收入支出明细表（基础数据表）'!K188</f>
        <v>#DIV/0!</v>
      </c>
      <c r="L188" t="e">
        <f>'收入支出明细表（基础数据表）'!L188</f>
        <v>#DIV/0!</v>
      </c>
      <c r="M188" t="e">
        <f>'收入支出明细表（基础数据表）'!M188</f>
        <v>#DIV/0!</v>
      </c>
      <c r="N188" t="e">
        <f>'收入支出明细表（基础数据表）'!N188</f>
        <v>#DIV/0!</v>
      </c>
      <c r="O188" t="e">
        <f>'收入支出明细表（基础数据表）'!O188</f>
        <v>#DIV/0!</v>
      </c>
      <c r="P188" t="e">
        <f>'收入支出明细表（基础数据表）'!P188</f>
        <v>#DIV/0!</v>
      </c>
      <c r="Q188" t="e">
        <f>'收入支出明细表（基础数据表）'!Q188</f>
        <v>#DIV/0!</v>
      </c>
      <c r="R188" t="e">
        <f>'收入支出明细表（基础数据表）'!R188</f>
        <v>#DIV/0!</v>
      </c>
      <c r="S188" t="e">
        <f>'收入支出明细表（基础数据表）'!S188</f>
        <v>#DIV/0!</v>
      </c>
    </row>
    <row r="189">
      <c r="C189" t="str">
        <v xml:space="preserve">        ……</v>
      </c>
      <c r="E189">
        <f>'收入支出明细表（基础数据表）'!E189</f>
        <v>0</v>
      </c>
      <c r="F189">
        <f>'收入支出明细表（基础数据表）'!F189</f>
        <v>0</v>
      </c>
      <c r="G189">
        <f>'收入支出明细表（基础数据表）'!G189</f>
        <v>0</v>
      </c>
      <c r="H189">
        <f>'收入支出明细表（基础数据表）'!H189</f>
        <v>0</v>
      </c>
      <c r="I189">
        <f>'收入支出明细表（基础数据表）'!I189</f>
        <v>0</v>
      </c>
      <c r="J189">
        <f>'收入支出明细表（基础数据表）'!J189</f>
        <v>0</v>
      </c>
      <c r="K189">
        <f>'收入支出明细表（基础数据表）'!K189</f>
        <v>0</v>
      </c>
      <c r="L189">
        <f>'收入支出明细表（基础数据表）'!L189</f>
        <v>0</v>
      </c>
      <c r="M189">
        <f>'收入支出明细表（基础数据表）'!M189</f>
        <v>0</v>
      </c>
      <c r="N189">
        <f>'收入支出明细表（基础数据表）'!N189</f>
        <v>0</v>
      </c>
      <c r="O189">
        <f>'收入支出明细表（基础数据表）'!O189</f>
        <v>0</v>
      </c>
      <c r="P189">
        <f>'收入支出明细表（基础数据表）'!P189</f>
        <v>0</v>
      </c>
      <c r="Q189">
        <f>'收入支出明细表（基础数据表）'!Q189</f>
        <v>0</v>
      </c>
      <c r="R189">
        <f>'收入支出明细表（基础数据表）'!R189</f>
        <v>0</v>
      </c>
      <c r="S189">
        <f>'收入支出明细表（基础数据表）'!S189</f>
        <v>0</v>
      </c>
    </row>
    <row r="190">
      <c r="B190" t="str">
        <v>综合类成本</v>
      </c>
      <c r="C190" t="str">
        <v>综合类成本合计</v>
      </c>
      <c r="D190" t="str">
        <v>支出</v>
      </c>
      <c r="E190">
        <f>'收入支出明细表（基础数据表）'!E190</f>
        <v>0</v>
      </c>
      <c r="F190">
        <f>'收入支出明细表（基础数据表）'!F190</f>
        <v>0</v>
      </c>
      <c r="G190">
        <f>'收入支出明细表（基础数据表）'!G190</f>
        <v>0</v>
      </c>
      <c r="H190">
        <f>'收入支出明细表（基础数据表）'!H190</f>
        <v>0</v>
      </c>
      <c r="I190">
        <f>'收入支出明细表（基础数据表）'!I190</f>
        <v>0</v>
      </c>
      <c r="J190">
        <f>'收入支出明细表（基础数据表）'!J190</f>
        <v>0</v>
      </c>
      <c r="K190">
        <f>'收入支出明细表（基础数据表）'!K190</f>
        <v>0</v>
      </c>
      <c r="L190">
        <f>'收入支出明细表（基础数据表）'!L190</f>
        <v>0</v>
      </c>
      <c r="M190">
        <f>'收入支出明细表（基础数据表）'!M190</f>
        <v>0</v>
      </c>
      <c r="N190">
        <f>'收入支出明细表（基础数据表）'!N190</f>
        <v>0</v>
      </c>
      <c r="O190">
        <f>'收入支出明细表（基础数据表）'!O190</f>
        <v>0</v>
      </c>
      <c r="P190">
        <f>'收入支出明细表（基础数据表）'!P190</f>
        <v>0</v>
      </c>
      <c r="Q190">
        <f>'收入支出明细表（基础数据表）'!Q190</f>
        <v>0</v>
      </c>
      <c r="R190">
        <f>'收入支出明细表（基础数据表）'!R190</f>
        <v>0</v>
      </c>
      <c r="S190">
        <f>'收入支出明细表（基础数据表）'!S190</f>
        <v>0</v>
      </c>
    </row>
    <row r="191">
      <c r="D191" t="str">
        <v>付款进度-金额</v>
      </c>
      <c r="E191">
        <f>'收入支出明细表（基础数据表）'!E191</f>
        <v>0</v>
      </c>
      <c r="F191">
        <f>'收入支出明细表（基础数据表）'!F191</f>
        <v>0</v>
      </c>
      <c r="G191">
        <f>'收入支出明细表（基础数据表）'!G191</f>
        <v>0</v>
      </c>
      <c r="H191">
        <f>'收入支出明细表（基础数据表）'!H191</f>
        <v>0</v>
      </c>
      <c r="I191">
        <f>'收入支出明细表（基础数据表）'!I191</f>
        <v>0</v>
      </c>
      <c r="J191">
        <f>'收入支出明细表（基础数据表）'!J191</f>
        <v>0</v>
      </c>
      <c r="K191">
        <f>'收入支出明细表（基础数据表）'!K191</f>
        <v>0</v>
      </c>
      <c r="L191">
        <f>'收入支出明细表（基础数据表）'!L191</f>
        <v>0</v>
      </c>
      <c r="M191">
        <f>'收入支出明细表（基础数据表）'!M191</f>
        <v>0</v>
      </c>
      <c r="N191">
        <f>'收入支出明细表（基础数据表）'!N191</f>
        <v>0</v>
      </c>
      <c r="O191">
        <f>'收入支出明细表（基础数据表）'!O191</f>
        <v>0</v>
      </c>
      <c r="P191">
        <f>'收入支出明细表（基础数据表）'!P191</f>
        <v>0</v>
      </c>
      <c r="Q191">
        <f>'收入支出明细表（基础数据表）'!Q191</f>
        <v>0</v>
      </c>
      <c r="R191">
        <f>'收入支出明细表（基础数据表）'!R191</f>
        <v>0</v>
      </c>
      <c r="S191">
        <f>'收入支出明细表（基础数据表）'!S191</f>
        <v>0</v>
      </c>
    </row>
    <row r="192">
      <c r="D192" t="str">
        <v>付款进度-比例</v>
      </c>
      <c r="E192">
        <f>'收入支出明细表（基础数据表）'!E192</f>
        <v>0</v>
      </c>
      <c r="F192">
        <f>'收入支出明细表（基础数据表）'!F192</f>
        <v>0</v>
      </c>
      <c r="G192">
        <f>'收入支出明细表（基础数据表）'!G192</f>
        <v>0</v>
      </c>
      <c r="H192" t="e">
        <f>'收入支出明细表（基础数据表）'!H192</f>
        <v>#DIV/0!</v>
      </c>
      <c r="I192" t="e">
        <f>'收入支出明细表（基础数据表）'!I192</f>
        <v>#DIV/0!</v>
      </c>
      <c r="J192" t="e">
        <f>'收入支出明细表（基础数据表）'!J192</f>
        <v>#DIV/0!</v>
      </c>
      <c r="K192" t="e">
        <f>'收入支出明细表（基础数据表）'!K192</f>
        <v>#DIV/0!</v>
      </c>
      <c r="L192" t="e">
        <f>'收入支出明细表（基础数据表）'!L192</f>
        <v>#DIV/0!</v>
      </c>
      <c r="M192" t="e">
        <f>'收入支出明细表（基础数据表）'!M192</f>
        <v>#DIV/0!</v>
      </c>
      <c r="N192" t="e">
        <f>'收入支出明细表（基础数据表）'!N192</f>
        <v>#DIV/0!</v>
      </c>
      <c r="O192" t="e">
        <f>'收入支出明细表（基础数据表）'!O192</f>
        <v>#DIV/0!</v>
      </c>
      <c r="P192" t="e">
        <f>'收入支出明细表（基础数据表）'!P192</f>
        <v>#DIV/0!</v>
      </c>
      <c r="Q192" t="e">
        <f>'收入支出明细表（基础数据表）'!Q192</f>
        <v>#DIV/0!</v>
      </c>
      <c r="R192" t="e">
        <f>'收入支出明细表（基础数据表）'!R192</f>
        <v>#DIV/0!</v>
      </c>
      <c r="S192" t="e">
        <f>'收入支出明细表（基础数据表）'!S192</f>
        <v>#DIV/0!</v>
      </c>
    </row>
    <row r="193">
      <c r="C193" t="str">
        <v>1、销售费用</v>
      </c>
      <c r="D193" t="str">
        <v>支出</v>
      </c>
      <c r="E193">
        <f>'收入支出明细表（基础数据表）'!E193</f>
        <v>0</v>
      </c>
      <c r="F193">
        <f>'收入支出明细表（基础数据表）'!F193</f>
        <v>0</v>
      </c>
      <c r="G193">
        <f>'收入支出明细表（基础数据表）'!G193</f>
        <v>0</v>
      </c>
      <c r="H193">
        <f>'收入支出明细表（基础数据表）'!H193</f>
        <v>0</v>
      </c>
      <c r="I193">
        <f>'收入支出明细表（基础数据表）'!I193</f>
        <v>0</v>
      </c>
      <c r="J193">
        <f>'收入支出明细表（基础数据表）'!J193</f>
        <v>0</v>
      </c>
      <c r="K193">
        <f>'收入支出明细表（基础数据表）'!K193</f>
        <v>0</v>
      </c>
      <c r="L193">
        <f>'收入支出明细表（基础数据表）'!L193</f>
        <v>0</v>
      </c>
      <c r="M193">
        <f>'收入支出明细表（基础数据表）'!M193</f>
        <v>0</v>
      </c>
      <c r="N193">
        <f>'收入支出明细表（基础数据表）'!N193</f>
        <v>0</v>
      </c>
      <c r="O193">
        <f>'收入支出明细表（基础数据表）'!O193</f>
        <v>0</v>
      </c>
      <c r="P193">
        <f>'收入支出明细表（基础数据表）'!P193</f>
        <v>0</v>
      </c>
      <c r="Q193">
        <f>'收入支出明细表（基础数据表）'!Q193</f>
        <v>0</v>
      </c>
      <c r="R193">
        <f>'收入支出明细表（基础数据表）'!R193</f>
        <v>0</v>
      </c>
      <c r="S193">
        <f>'收入支出明细表（基础数据表）'!S193</f>
        <v>0</v>
      </c>
    </row>
    <row r="194">
      <c r="D194" t="str">
        <v>付款进度-金额</v>
      </c>
      <c r="E194">
        <f>'收入支出明细表（基础数据表）'!E194</f>
        <v>0</v>
      </c>
      <c r="F194">
        <f>'收入支出明细表（基础数据表）'!F194</f>
        <v>0</v>
      </c>
      <c r="G194">
        <f>'收入支出明细表（基础数据表）'!G194</f>
        <v>0</v>
      </c>
      <c r="H194">
        <f>'收入支出明细表（基础数据表）'!H194</f>
        <v>0</v>
      </c>
      <c r="I194">
        <f>'收入支出明细表（基础数据表）'!I194</f>
        <v>0</v>
      </c>
      <c r="J194">
        <f>'收入支出明细表（基础数据表）'!J194</f>
        <v>0</v>
      </c>
      <c r="K194">
        <f>'收入支出明细表（基础数据表）'!K194</f>
        <v>0</v>
      </c>
      <c r="L194">
        <f>'收入支出明细表（基础数据表）'!L194</f>
        <v>0</v>
      </c>
      <c r="M194">
        <f>'收入支出明细表（基础数据表）'!M194</f>
        <v>0</v>
      </c>
      <c r="N194">
        <f>'收入支出明细表（基础数据表）'!N194</f>
        <v>0</v>
      </c>
      <c r="O194">
        <f>'收入支出明细表（基础数据表）'!O194</f>
        <v>0</v>
      </c>
      <c r="P194">
        <f>'收入支出明细表（基础数据表）'!P194</f>
        <v>0</v>
      </c>
      <c r="Q194">
        <f>'收入支出明细表（基础数据表）'!Q194</f>
        <v>0</v>
      </c>
      <c r="R194">
        <f>'收入支出明细表（基础数据表）'!R194</f>
        <v>0</v>
      </c>
      <c r="S194">
        <f>'收入支出明细表（基础数据表）'!S194</f>
        <v>0</v>
      </c>
    </row>
    <row r="195">
      <c r="D195" t="str">
        <v>付款进度-比例</v>
      </c>
      <c r="E195">
        <f>'收入支出明细表（基础数据表）'!E195</f>
        <v>0</v>
      </c>
      <c r="F195">
        <f>'收入支出明细表（基础数据表）'!F195</f>
        <v>0</v>
      </c>
      <c r="G195">
        <f>'收入支出明细表（基础数据表）'!G195</f>
        <v>0</v>
      </c>
      <c r="H195" t="e">
        <f>'收入支出明细表（基础数据表）'!H195</f>
        <v>#DIV/0!</v>
      </c>
      <c r="I195" t="e">
        <f>'收入支出明细表（基础数据表）'!I195</f>
        <v>#DIV/0!</v>
      </c>
      <c r="J195" t="e">
        <f>'收入支出明细表（基础数据表）'!J195</f>
        <v>#DIV/0!</v>
      </c>
      <c r="K195" t="e">
        <f>'收入支出明细表（基础数据表）'!K195</f>
        <v>#DIV/0!</v>
      </c>
      <c r="L195" t="e">
        <f>'收入支出明细表（基础数据表）'!L195</f>
        <v>#DIV/0!</v>
      </c>
      <c r="M195" t="e">
        <f>'收入支出明细表（基础数据表）'!M195</f>
        <v>#DIV/0!</v>
      </c>
      <c r="N195" t="e">
        <f>'收入支出明细表（基础数据表）'!N195</f>
        <v>#DIV/0!</v>
      </c>
      <c r="O195" t="e">
        <f>'收入支出明细表（基础数据表）'!O195</f>
        <v>#DIV/0!</v>
      </c>
      <c r="P195" t="e">
        <f>'收入支出明细表（基础数据表）'!P195</f>
        <v>#DIV/0!</v>
      </c>
      <c r="Q195" t="e">
        <f>'收入支出明细表（基础数据表）'!Q195</f>
        <v>#DIV/0!</v>
      </c>
      <c r="R195" t="e">
        <f>'收入支出明细表（基础数据表）'!R195</f>
        <v>#DIV/0!</v>
      </c>
      <c r="S195" t="e">
        <f>'收入支出明细表（基础数据表）'!S195</f>
        <v>#DIV/0!</v>
      </c>
    </row>
    <row r="196">
      <c r="C196" t="str">
        <v>1-1 社会渠道酬金</v>
      </c>
      <c r="D196" t="str">
        <v>支出</v>
      </c>
      <c r="E196">
        <f>'收入支出明细表（基础数据表）'!E196</f>
        <v>0</v>
      </c>
      <c r="F196">
        <f>'收入支出明细表（基础数据表）'!F196</f>
        <v>0.06</v>
      </c>
      <c r="G196">
        <f>'收入支出明细表（基础数据表）'!G196</f>
        <v>0</v>
      </c>
      <c r="H196">
        <f>'收入支出明细表（基础数据表）'!H196</f>
        <v>0</v>
      </c>
      <c r="I196">
        <f>'收入支出明细表（基础数据表）'!I196</f>
        <v>0</v>
      </c>
      <c r="J196">
        <f>'收入支出明细表（基础数据表）'!J196</f>
        <v>0</v>
      </c>
      <c r="K196">
        <f>'收入支出明细表（基础数据表）'!K196</f>
        <v>0</v>
      </c>
      <c r="L196">
        <f>'收入支出明细表（基础数据表）'!L196</f>
        <v>0</v>
      </c>
      <c r="M196">
        <f>'收入支出明细表（基础数据表）'!M196</f>
        <v>0</v>
      </c>
      <c r="N196">
        <f>'收入支出明细表（基础数据表）'!N196</f>
        <v>0</v>
      </c>
      <c r="O196">
        <f>'收入支出明细表（基础数据表）'!O196</f>
        <v>0</v>
      </c>
      <c r="P196">
        <f>'收入支出明细表（基础数据表）'!P196</f>
        <v>0</v>
      </c>
      <c r="Q196">
        <f>'收入支出明细表（基础数据表）'!Q196</f>
        <v>0</v>
      </c>
      <c r="R196">
        <f>'收入支出明细表（基础数据表）'!R196</f>
        <v>0</v>
      </c>
      <c r="S196">
        <f>'收入支出明细表（基础数据表）'!S196</f>
        <v>0</v>
      </c>
    </row>
    <row r="197">
      <c r="D197" t="str">
        <v>付款进度-金额</v>
      </c>
      <c r="E197">
        <f>'收入支出明细表（基础数据表）'!E197</f>
        <v>0</v>
      </c>
      <c r="F197">
        <f>'收入支出明细表（基础数据表）'!F197</f>
        <v>0</v>
      </c>
      <c r="G197">
        <f>'收入支出明细表（基础数据表）'!G197</f>
        <v>0</v>
      </c>
      <c r="H197">
        <f>'收入支出明细表（基础数据表）'!H197</f>
        <v>0</v>
      </c>
      <c r="I197">
        <f>'收入支出明细表（基础数据表）'!I197</f>
        <v>0</v>
      </c>
      <c r="J197">
        <f>'收入支出明细表（基础数据表）'!J197</f>
        <v>0</v>
      </c>
      <c r="K197">
        <f>'收入支出明细表（基础数据表）'!K197</f>
        <v>0</v>
      </c>
      <c r="L197">
        <f>'收入支出明细表（基础数据表）'!L197</f>
        <v>0</v>
      </c>
      <c r="M197">
        <f>'收入支出明细表（基础数据表）'!M197</f>
        <v>0</v>
      </c>
      <c r="N197">
        <f>'收入支出明细表（基础数据表）'!N197</f>
        <v>0</v>
      </c>
      <c r="O197">
        <f>'收入支出明细表（基础数据表）'!O197</f>
        <v>0</v>
      </c>
      <c r="P197">
        <f>'收入支出明细表（基础数据表）'!P197</f>
        <v>0</v>
      </c>
      <c r="Q197">
        <f>'收入支出明细表（基础数据表）'!Q197</f>
        <v>0</v>
      </c>
      <c r="R197">
        <f>'收入支出明细表（基础数据表）'!R197</f>
        <v>0</v>
      </c>
      <c r="S197">
        <f>'收入支出明细表（基础数据表）'!S197</f>
        <v>0</v>
      </c>
    </row>
    <row r="198">
      <c r="D198" t="str">
        <v>付款进度-比例</v>
      </c>
      <c r="E198">
        <f>'收入支出明细表（基础数据表）'!E198</f>
        <v>0</v>
      </c>
      <c r="F198">
        <f>'收入支出明细表（基础数据表）'!F198</f>
        <v>0</v>
      </c>
      <c r="G198">
        <f>'收入支出明细表（基础数据表）'!G198</f>
        <v>0</v>
      </c>
      <c r="H198" t="e">
        <f>'收入支出明细表（基础数据表）'!H198</f>
        <v>#DIV/0!</v>
      </c>
      <c r="I198" t="e">
        <f>'收入支出明细表（基础数据表）'!I198</f>
        <v>#DIV/0!</v>
      </c>
      <c r="J198" t="e">
        <f>'收入支出明细表（基础数据表）'!J198</f>
        <v>#DIV/0!</v>
      </c>
      <c r="K198" t="e">
        <f>'收入支出明细表（基础数据表）'!K198</f>
        <v>#DIV/0!</v>
      </c>
      <c r="L198" t="e">
        <f>'收入支出明细表（基础数据表）'!L198</f>
        <v>#DIV/0!</v>
      </c>
      <c r="M198" t="e">
        <f>'收入支出明细表（基础数据表）'!M198</f>
        <v>#DIV/0!</v>
      </c>
      <c r="N198" t="e">
        <f>'收入支出明细表（基础数据表）'!N198</f>
        <v>#DIV/0!</v>
      </c>
      <c r="O198" t="e">
        <f>'收入支出明细表（基础数据表）'!O198</f>
        <v>#DIV/0!</v>
      </c>
      <c r="P198" t="e">
        <f>'收入支出明细表（基础数据表）'!P198</f>
        <v>#DIV/0!</v>
      </c>
      <c r="Q198" t="e">
        <f>'收入支出明细表（基础数据表）'!Q198</f>
        <v>#DIV/0!</v>
      </c>
      <c r="R198" t="e">
        <f>'收入支出明细表（基础数据表）'!R198</f>
        <v>#DIV/0!</v>
      </c>
      <c r="S198" t="e">
        <f>'收入支出明细表（基础数据表）'!S198</f>
        <v>#DIV/0!</v>
      </c>
    </row>
    <row r="199">
      <c r="C199" t="str">
        <v>1-2 其他销售费用</v>
      </c>
      <c r="D199" t="str">
        <v>支出</v>
      </c>
      <c r="E199">
        <f>'收入支出明细表（基础数据表）'!E199</f>
        <v>0</v>
      </c>
      <c r="F199">
        <f>'收入支出明细表（基础数据表）'!F199</f>
        <v>0.06</v>
      </c>
      <c r="G199">
        <f>'收入支出明细表（基础数据表）'!G199</f>
        <v>0</v>
      </c>
      <c r="H199">
        <f>'收入支出明细表（基础数据表）'!H199</f>
        <v>0</v>
      </c>
      <c r="I199">
        <f>'收入支出明细表（基础数据表）'!I199</f>
        <v>0</v>
      </c>
      <c r="J199">
        <f>'收入支出明细表（基础数据表）'!J199</f>
        <v>0</v>
      </c>
      <c r="K199">
        <f>'收入支出明细表（基础数据表）'!K199</f>
        <v>0</v>
      </c>
      <c r="L199">
        <f>'收入支出明细表（基础数据表）'!L199</f>
        <v>0</v>
      </c>
      <c r="M199">
        <f>'收入支出明细表（基础数据表）'!M199</f>
        <v>0</v>
      </c>
      <c r="N199">
        <f>'收入支出明细表（基础数据表）'!N199</f>
        <v>0</v>
      </c>
      <c r="O199">
        <f>'收入支出明细表（基础数据表）'!O199</f>
        <v>0</v>
      </c>
      <c r="P199">
        <f>'收入支出明细表（基础数据表）'!P199</f>
        <v>0</v>
      </c>
      <c r="Q199">
        <f>'收入支出明细表（基础数据表）'!Q199</f>
        <v>0</v>
      </c>
      <c r="R199">
        <f>'收入支出明细表（基础数据表）'!R199</f>
        <v>0</v>
      </c>
      <c r="S199">
        <f>'收入支出明细表（基础数据表）'!S199</f>
        <v>0</v>
      </c>
    </row>
    <row r="200">
      <c r="D200" t="str">
        <v>付款进度-金额</v>
      </c>
      <c r="E200">
        <f>'收入支出明细表（基础数据表）'!E200</f>
        <v>0</v>
      </c>
      <c r="F200">
        <f>'收入支出明细表（基础数据表）'!F200</f>
        <v>0</v>
      </c>
      <c r="G200">
        <f>'收入支出明细表（基础数据表）'!G200</f>
        <v>0</v>
      </c>
      <c r="H200">
        <f>'收入支出明细表（基础数据表）'!H200</f>
        <v>0</v>
      </c>
      <c r="I200">
        <f>'收入支出明细表（基础数据表）'!I200</f>
        <v>0</v>
      </c>
      <c r="J200">
        <f>'收入支出明细表（基础数据表）'!J200</f>
        <v>0</v>
      </c>
      <c r="K200">
        <f>'收入支出明细表（基础数据表）'!K200</f>
        <v>0</v>
      </c>
      <c r="L200">
        <f>'收入支出明细表（基础数据表）'!L200</f>
        <v>0</v>
      </c>
      <c r="M200">
        <f>'收入支出明细表（基础数据表）'!M200</f>
        <v>0</v>
      </c>
      <c r="N200">
        <f>'收入支出明细表（基础数据表）'!N200</f>
        <v>0</v>
      </c>
      <c r="O200">
        <f>'收入支出明细表（基础数据表）'!O200</f>
        <v>0</v>
      </c>
      <c r="P200">
        <f>'收入支出明细表（基础数据表）'!P200</f>
        <v>0</v>
      </c>
      <c r="Q200">
        <f>'收入支出明细表（基础数据表）'!Q200</f>
        <v>0</v>
      </c>
      <c r="R200">
        <f>'收入支出明细表（基础数据表）'!R200</f>
        <v>0</v>
      </c>
      <c r="S200">
        <f>'收入支出明细表（基础数据表）'!S200</f>
        <v>0</v>
      </c>
    </row>
    <row r="201">
      <c r="D201" t="str">
        <v>付款进度-比例</v>
      </c>
      <c r="E201">
        <f>'收入支出明细表（基础数据表）'!E201</f>
        <v>0</v>
      </c>
      <c r="F201">
        <f>'收入支出明细表（基础数据表）'!F201</f>
        <v>0</v>
      </c>
      <c r="G201">
        <f>'收入支出明细表（基础数据表）'!G201</f>
        <v>0</v>
      </c>
      <c r="H201" t="e">
        <f>'收入支出明细表（基础数据表）'!H201</f>
        <v>#DIV/0!</v>
      </c>
      <c r="I201" t="e">
        <f>'收入支出明细表（基础数据表）'!I201</f>
        <v>#DIV/0!</v>
      </c>
      <c r="J201" t="e">
        <f>'收入支出明细表（基础数据表）'!J201</f>
        <v>#DIV/0!</v>
      </c>
      <c r="K201" t="e">
        <f>'收入支出明细表（基础数据表）'!K201</f>
        <v>#DIV/0!</v>
      </c>
      <c r="L201" t="e">
        <f>'收入支出明细表（基础数据表）'!L201</f>
        <v>#DIV/0!</v>
      </c>
      <c r="M201" t="e">
        <f>'收入支出明细表（基础数据表）'!M201</f>
        <v>#DIV/0!</v>
      </c>
      <c r="N201" t="e">
        <f>'收入支出明细表（基础数据表）'!N201</f>
        <v>#DIV/0!</v>
      </c>
      <c r="O201" t="e">
        <f>'收入支出明细表（基础数据表）'!O201</f>
        <v>#DIV/0!</v>
      </c>
      <c r="P201" t="e">
        <f>'收入支出明细表（基础数据表）'!P201</f>
        <v>#DIV/0!</v>
      </c>
      <c r="Q201" t="e">
        <f>'收入支出明细表（基础数据表）'!Q201</f>
        <v>#DIV/0!</v>
      </c>
      <c r="R201" t="e">
        <f>'收入支出明细表（基础数据表）'!R201</f>
        <v>#DIV/0!</v>
      </c>
      <c r="S201" t="e">
        <f>'收入支出明细表（基础数据表）'!S201</f>
        <v>#DIV/0!</v>
      </c>
    </row>
    <row r="202">
      <c r="C202" t="str">
        <v>2、管理费用</v>
      </c>
      <c r="D202" t="str">
        <v>支出</v>
      </c>
      <c r="E202">
        <f>'收入支出明细表（基础数据表）'!E202</f>
        <v>0</v>
      </c>
      <c r="F202">
        <f>'收入支出明细表（基础数据表）'!F202</f>
        <v>0</v>
      </c>
      <c r="G202">
        <f>'收入支出明细表（基础数据表）'!G202</f>
        <v>0</v>
      </c>
      <c r="H202">
        <f>'收入支出明细表（基础数据表）'!H202</f>
        <v>0</v>
      </c>
      <c r="I202">
        <f>'收入支出明细表（基础数据表）'!I202</f>
        <v>0</v>
      </c>
      <c r="J202">
        <f>'收入支出明细表（基础数据表）'!J202</f>
        <v>0</v>
      </c>
      <c r="K202">
        <f>'收入支出明细表（基础数据表）'!K202</f>
        <v>0</v>
      </c>
      <c r="L202">
        <f>'收入支出明细表（基础数据表）'!L202</f>
        <v>0</v>
      </c>
      <c r="M202">
        <f>'收入支出明细表（基础数据表）'!M202</f>
        <v>0</v>
      </c>
      <c r="N202">
        <f>'收入支出明细表（基础数据表）'!N202</f>
        <v>0</v>
      </c>
      <c r="O202">
        <f>'收入支出明细表（基础数据表）'!O202</f>
        <v>0</v>
      </c>
      <c r="P202">
        <f>'收入支出明细表（基础数据表）'!P202</f>
        <v>0</v>
      </c>
      <c r="Q202">
        <f>'收入支出明细表（基础数据表）'!Q202</f>
        <v>0</v>
      </c>
      <c r="R202">
        <f>'收入支出明细表（基础数据表）'!R202</f>
        <v>0</v>
      </c>
      <c r="S202">
        <f>'收入支出明细表（基础数据表）'!S202</f>
        <v>0</v>
      </c>
    </row>
    <row r="203">
      <c r="D203" t="str">
        <v>付款进度-金额</v>
      </c>
      <c r="E203">
        <f>'收入支出明细表（基础数据表）'!E203</f>
        <v>0</v>
      </c>
      <c r="F203">
        <f>'收入支出明细表（基础数据表）'!F203</f>
        <v>0</v>
      </c>
      <c r="G203">
        <f>'收入支出明细表（基础数据表）'!G203</f>
        <v>0</v>
      </c>
      <c r="H203">
        <f>'收入支出明细表（基础数据表）'!H203</f>
        <v>0</v>
      </c>
      <c r="I203">
        <f>'收入支出明细表（基础数据表）'!I203</f>
        <v>0</v>
      </c>
      <c r="J203">
        <f>'收入支出明细表（基础数据表）'!J203</f>
        <v>0</v>
      </c>
      <c r="K203">
        <f>'收入支出明细表（基础数据表）'!K203</f>
        <v>0</v>
      </c>
      <c r="L203">
        <f>'收入支出明细表（基础数据表）'!L203</f>
        <v>0</v>
      </c>
      <c r="M203">
        <f>'收入支出明细表（基础数据表）'!M203</f>
        <v>0</v>
      </c>
      <c r="N203">
        <f>'收入支出明细表（基础数据表）'!N203</f>
        <v>0</v>
      </c>
      <c r="O203">
        <f>'收入支出明细表（基础数据表）'!O203</f>
        <v>0</v>
      </c>
      <c r="P203">
        <f>'收入支出明细表（基础数据表）'!P203</f>
        <v>0</v>
      </c>
      <c r="Q203">
        <f>'收入支出明细表（基础数据表）'!Q203</f>
        <v>0</v>
      </c>
      <c r="R203">
        <f>'收入支出明细表（基础数据表）'!R203</f>
        <v>0</v>
      </c>
      <c r="S203">
        <f>'收入支出明细表（基础数据表）'!S203</f>
        <v>0</v>
      </c>
    </row>
    <row r="204">
      <c r="D204" t="str">
        <v>付款进度-比例</v>
      </c>
      <c r="E204">
        <f>'收入支出明细表（基础数据表）'!E204</f>
        <v>0</v>
      </c>
      <c r="F204">
        <f>'收入支出明细表（基础数据表）'!F204</f>
        <v>0</v>
      </c>
      <c r="G204">
        <f>'收入支出明细表（基础数据表）'!G204</f>
        <v>0</v>
      </c>
      <c r="H204" t="e">
        <f>'收入支出明细表（基础数据表）'!H204</f>
        <v>#DIV/0!</v>
      </c>
      <c r="I204" t="e">
        <f>'收入支出明细表（基础数据表）'!I204</f>
        <v>#DIV/0!</v>
      </c>
      <c r="J204" t="e">
        <f>'收入支出明细表（基础数据表）'!J204</f>
        <v>#DIV/0!</v>
      </c>
      <c r="K204" t="e">
        <f>'收入支出明细表（基础数据表）'!K204</f>
        <v>#DIV/0!</v>
      </c>
      <c r="L204" t="e">
        <f>'收入支出明细表（基础数据表）'!L204</f>
        <v>#DIV/0!</v>
      </c>
      <c r="M204" t="e">
        <f>'收入支出明细表（基础数据表）'!M204</f>
        <v>#DIV/0!</v>
      </c>
      <c r="N204" t="e">
        <f>'收入支出明细表（基础数据表）'!N204</f>
        <v>#DIV/0!</v>
      </c>
      <c r="O204" t="e">
        <f>'收入支出明细表（基础数据表）'!O204</f>
        <v>#DIV/0!</v>
      </c>
      <c r="P204" t="e">
        <f>'收入支出明细表（基础数据表）'!P204</f>
        <v>#DIV/0!</v>
      </c>
      <c r="Q204" t="e">
        <f>'收入支出明细表（基础数据表）'!Q204</f>
        <v>#DIV/0!</v>
      </c>
      <c r="R204" t="e">
        <f>'收入支出明细表（基础数据表）'!R204</f>
        <v>#DIV/0!</v>
      </c>
      <c r="S204" t="e">
        <f>'收入支出明细表（基础数据表）'!S204</f>
        <v>#DIV/0!</v>
      </c>
    </row>
    <row r="205">
      <c r="C205" t="str">
        <v>2-1 招投标服务费及标书制作费</v>
      </c>
      <c r="D205" t="str">
        <v>支出</v>
      </c>
      <c r="E205">
        <f>'收入支出明细表（基础数据表）'!E205</f>
        <v>0</v>
      </c>
      <c r="F205">
        <f>'收入支出明细表（基础数据表）'!F205</f>
        <v>0.06</v>
      </c>
      <c r="G205">
        <f>'收入支出明细表（基础数据表）'!G205</f>
        <v>0</v>
      </c>
      <c r="H205">
        <f>'收入支出明细表（基础数据表）'!H205</f>
        <v>0</v>
      </c>
      <c r="I205">
        <f>'收入支出明细表（基础数据表）'!I205</f>
        <v>0</v>
      </c>
      <c r="J205">
        <f>'收入支出明细表（基础数据表）'!J205</f>
        <v>0</v>
      </c>
      <c r="K205">
        <f>'收入支出明细表（基础数据表）'!K205</f>
        <v>0</v>
      </c>
      <c r="L205">
        <f>'收入支出明细表（基础数据表）'!L205</f>
        <v>0</v>
      </c>
      <c r="M205">
        <f>'收入支出明细表（基础数据表）'!M205</f>
        <v>0</v>
      </c>
      <c r="N205">
        <f>'收入支出明细表（基础数据表）'!N205</f>
        <v>0</v>
      </c>
      <c r="O205">
        <f>'收入支出明细表（基础数据表）'!O205</f>
        <v>0</v>
      </c>
      <c r="P205">
        <f>'收入支出明细表（基础数据表）'!P205</f>
        <v>0</v>
      </c>
      <c r="Q205">
        <f>'收入支出明细表（基础数据表）'!Q205</f>
        <v>0</v>
      </c>
      <c r="R205">
        <f>'收入支出明细表（基础数据表）'!R205</f>
        <v>0</v>
      </c>
      <c r="S205">
        <f>'收入支出明细表（基础数据表）'!S205</f>
        <v>0</v>
      </c>
    </row>
    <row r="206">
      <c r="D206" t="str">
        <v>付款进度-金额</v>
      </c>
      <c r="E206">
        <f>'收入支出明细表（基础数据表）'!E206</f>
        <v>0</v>
      </c>
      <c r="F206">
        <f>'收入支出明细表（基础数据表）'!F206</f>
        <v>0</v>
      </c>
      <c r="G206">
        <f>'收入支出明细表（基础数据表）'!G206</f>
        <v>0</v>
      </c>
      <c r="H206">
        <f>'收入支出明细表（基础数据表）'!H206</f>
        <v>0</v>
      </c>
      <c r="I206">
        <f>'收入支出明细表（基础数据表）'!I206</f>
        <v>0</v>
      </c>
      <c r="J206">
        <f>'收入支出明细表（基础数据表）'!J206</f>
        <v>0</v>
      </c>
      <c r="K206">
        <f>'收入支出明细表（基础数据表）'!K206</f>
        <v>0</v>
      </c>
      <c r="L206">
        <f>'收入支出明细表（基础数据表）'!L206</f>
        <v>0</v>
      </c>
      <c r="M206">
        <f>'收入支出明细表（基础数据表）'!M206</f>
        <v>0</v>
      </c>
      <c r="N206">
        <f>'收入支出明细表（基础数据表）'!N206</f>
        <v>0</v>
      </c>
      <c r="O206">
        <f>'收入支出明细表（基础数据表）'!O206</f>
        <v>0</v>
      </c>
      <c r="P206">
        <f>'收入支出明细表（基础数据表）'!P206</f>
        <v>0</v>
      </c>
      <c r="Q206">
        <f>'收入支出明细表（基础数据表）'!Q206</f>
        <v>0</v>
      </c>
      <c r="R206">
        <f>'收入支出明细表（基础数据表）'!R206</f>
        <v>0</v>
      </c>
      <c r="S206">
        <f>'收入支出明细表（基础数据表）'!S206</f>
        <v>0</v>
      </c>
    </row>
    <row r="207">
      <c r="D207" t="str">
        <v>付款进度-比例</v>
      </c>
      <c r="E207">
        <f>'收入支出明细表（基础数据表）'!E207</f>
        <v>0</v>
      </c>
      <c r="F207">
        <f>'收入支出明细表（基础数据表）'!F207</f>
        <v>0</v>
      </c>
      <c r="G207">
        <f>'收入支出明细表（基础数据表）'!G207</f>
        <v>0</v>
      </c>
      <c r="H207" t="e">
        <f>'收入支出明细表（基础数据表）'!H207</f>
        <v>#DIV/0!</v>
      </c>
      <c r="I207" t="e">
        <f>'收入支出明细表（基础数据表）'!I207</f>
        <v>#DIV/0!</v>
      </c>
      <c r="J207" t="e">
        <f>'收入支出明细表（基础数据表）'!J207</f>
        <v>#DIV/0!</v>
      </c>
      <c r="K207" t="e">
        <f>'收入支出明细表（基础数据表）'!K207</f>
        <v>#DIV/0!</v>
      </c>
      <c r="L207" t="e">
        <f>'收入支出明细表（基础数据表）'!L207</f>
        <v>#DIV/0!</v>
      </c>
      <c r="M207" t="e">
        <f>'收入支出明细表（基础数据表）'!M207</f>
        <v>#DIV/0!</v>
      </c>
      <c r="N207" t="e">
        <f>'收入支出明细表（基础数据表）'!N207</f>
        <v>#DIV/0!</v>
      </c>
      <c r="O207" t="e">
        <f>'收入支出明细表（基础数据表）'!O207</f>
        <v>#DIV/0!</v>
      </c>
      <c r="P207" t="e">
        <f>'收入支出明细表（基础数据表）'!P207</f>
        <v>#DIV/0!</v>
      </c>
      <c r="Q207" t="e">
        <f>'收入支出明细表（基础数据表）'!Q207</f>
        <v>#DIV/0!</v>
      </c>
      <c r="R207" t="e">
        <f>'收入支出明细表（基础数据表）'!R207</f>
        <v>#DIV/0!</v>
      </c>
      <c r="S207" t="e">
        <f>'收入支出明细表（基础数据表）'!S207</f>
        <v>#DIV/0!</v>
      </c>
    </row>
    <row r="208">
      <c r="C208" t="str">
        <v>2-2 其他管理费用</v>
      </c>
      <c r="D208" t="str">
        <v>支出</v>
      </c>
      <c r="E208">
        <f>'收入支出明细表（基础数据表）'!E208</f>
        <v>0</v>
      </c>
      <c r="F208">
        <f>'收入支出明细表（基础数据表）'!F208</f>
        <v>0.06</v>
      </c>
      <c r="G208">
        <f>'收入支出明细表（基础数据表）'!G208</f>
        <v>0</v>
      </c>
      <c r="H208">
        <f>'收入支出明细表（基础数据表）'!H208</f>
        <v>0</v>
      </c>
      <c r="I208">
        <f>'收入支出明细表（基础数据表）'!I208</f>
        <v>0</v>
      </c>
      <c r="J208">
        <f>'收入支出明细表（基础数据表）'!J208</f>
        <v>0</v>
      </c>
      <c r="K208">
        <f>'收入支出明细表（基础数据表）'!K208</f>
        <v>0</v>
      </c>
      <c r="L208">
        <f>'收入支出明细表（基础数据表）'!L208</f>
        <v>0</v>
      </c>
      <c r="M208">
        <f>'收入支出明细表（基础数据表）'!M208</f>
        <v>0</v>
      </c>
      <c r="N208">
        <f>'收入支出明细表（基础数据表）'!N208</f>
        <v>0</v>
      </c>
      <c r="O208">
        <f>'收入支出明细表（基础数据表）'!O208</f>
        <v>0</v>
      </c>
      <c r="P208">
        <f>'收入支出明细表（基础数据表）'!P208</f>
        <v>0</v>
      </c>
      <c r="Q208">
        <f>'收入支出明细表（基础数据表）'!Q208</f>
        <v>0</v>
      </c>
      <c r="R208">
        <f>'收入支出明细表（基础数据表）'!R208</f>
        <v>0</v>
      </c>
      <c r="S208">
        <f>'收入支出明细表（基础数据表）'!S208</f>
        <v>0</v>
      </c>
    </row>
    <row r="209">
      <c r="D209" t="str">
        <v>付款进度-金额</v>
      </c>
      <c r="E209">
        <f>'收入支出明细表（基础数据表）'!E209</f>
        <v>0</v>
      </c>
      <c r="F209">
        <f>'收入支出明细表（基础数据表）'!F209</f>
        <v>0</v>
      </c>
      <c r="G209">
        <f>'收入支出明细表（基础数据表）'!G209</f>
        <v>0</v>
      </c>
      <c r="H209">
        <f>'收入支出明细表（基础数据表）'!H209</f>
        <v>0</v>
      </c>
      <c r="I209">
        <f>'收入支出明细表（基础数据表）'!I209</f>
        <v>0</v>
      </c>
      <c r="J209">
        <f>'收入支出明细表（基础数据表）'!J209</f>
        <v>0</v>
      </c>
      <c r="K209">
        <f>'收入支出明细表（基础数据表）'!K209</f>
        <v>0</v>
      </c>
      <c r="L209">
        <f>'收入支出明细表（基础数据表）'!L209</f>
        <v>0</v>
      </c>
      <c r="M209">
        <f>'收入支出明细表（基础数据表）'!M209</f>
        <v>0</v>
      </c>
      <c r="N209">
        <f>'收入支出明细表（基础数据表）'!N209</f>
        <v>0</v>
      </c>
      <c r="O209">
        <f>'收入支出明细表（基础数据表）'!O209</f>
        <v>0</v>
      </c>
      <c r="P209">
        <f>'收入支出明细表（基础数据表）'!P209</f>
        <v>0</v>
      </c>
      <c r="Q209">
        <f>'收入支出明细表（基础数据表）'!Q209</f>
        <v>0</v>
      </c>
      <c r="R209">
        <f>'收入支出明细表（基础数据表）'!R209</f>
        <v>0</v>
      </c>
      <c r="S209">
        <f>'收入支出明细表（基础数据表）'!S209</f>
        <v>0</v>
      </c>
    </row>
    <row r="210">
      <c r="D210" t="str">
        <v>付款进度-比例</v>
      </c>
      <c r="E210">
        <f>'收入支出明细表（基础数据表）'!E210</f>
        <v>0</v>
      </c>
      <c r="F210">
        <f>'收入支出明细表（基础数据表）'!F210</f>
        <v>0</v>
      </c>
      <c r="G210">
        <f>'收入支出明细表（基础数据表）'!G210</f>
        <v>0</v>
      </c>
      <c r="H210" t="e">
        <f>'收入支出明细表（基础数据表）'!H210</f>
        <v>#DIV/0!</v>
      </c>
      <c r="I210" t="e">
        <f>'收入支出明细表（基础数据表）'!I210</f>
        <v>#DIV/0!</v>
      </c>
      <c r="J210" t="e">
        <f>'收入支出明细表（基础数据表）'!J210</f>
        <v>#DIV/0!</v>
      </c>
      <c r="K210" t="e">
        <f>'收入支出明细表（基础数据表）'!K210</f>
        <v>#DIV/0!</v>
      </c>
      <c r="L210" t="e">
        <f>'收入支出明细表（基础数据表）'!L210</f>
        <v>#DIV/0!</v>
      </c>
      <c r="M210" t="e">
        <f>'收入支出明细表（基础数据表）'!M210</f>
        <v>#DIV/0!</v>
      </c>
      <c r="N210" t="e">
        <f>'收入支出明细表（基础数据表）'!N210</f>
        <v>#DIV/0!</v>
      </c>
      <c r="O210" t="e">
        <f>'收入支出明细表（基础数据表）'!O210</f>
        <v>#DIV/0!</v>
      </c>
      <c r="P210" t="e">
        <f>'收入支出明细表（基础数据表）'!P210</f>
        <v>#DIV/0!</v>
      </c>
      <c r="Q210" t="e">
        <f>'收入支出明细表（基础数据表）'!Q210</f>
        <v>#DIV/0!</v>
      </c>
      <c r="R210" t="e">
        <f>'收入支出明细表（基础数据表）'!R210</f>
        <v>#DIV/0!</v>
      </c>
      <c r="S210" t="e">
        <f>'收入支出明细表（基础数据表）'!S210</f>
        <v>#DIV/0!</v>
      </c>
    </row>
    <row r="211">
      <c r="C211" t="str">
        <v>3、研发费用</v>
      </c>
      <c r="D211" t="str">
        <v>支出</v>
      </c>
      <c r="E211">
        <f>'收入支出明细表（基础数据表）'!E211</f>
        <v>0</v>
      </c>
      <c r="F211">
        <f>'收入支出明细表（基础数据表）'!F211</f>
        <v>0.06</v>
      </c>
      <c r="G211">
        <f>'收入支出明细表（基础数据表）'!G211</f>
        <v>0</v>
      </c>
      <c r="H211">
        <f>'收入支出明细表（基础数据表）'!H211</f>
        <v>0</v>
      </c>
      <c r="I211">
        <f>'收入支出明细表（基础数据表）'!I211</f>
        <v>0</v>
      </c>
      <c r="J211">
        <f>'收入支出明细表（基础数据表）'!J211</f>
        <v>0</v>
      </c>
      <c r="K211">
        <f>'收入支出明细表（基础数据表）'!K211</f>
        <v>0</v>
      </c>
      <c r="L211">
        <f>'收入支出明细表（基础数据表）'!L211</f>
        <v>0</v>
      </c>
      <c r="M211">
        <f>'收入支出明细表（基础数据表）'!M211</f>
        <v>0</v>
      </c>
      <c r="N211">
        <f>'收入支出明细表（基础数据表）'!N211</f>
        <v>0</v>
      </c>
      <c r="O211">
        <f>'收入支出明细表（基础数据表）'!O211</f>
        <v>0</v>
      </c>
      <c r="P211">
        <f>'收入支出明细表（基础数据表）'!P211</f>
        <v>0</v>
      </c>
      <c r="Q211">
        <f>'收入支出明细表（基础数据表）'!Q211</f>
        <v>0</v>
      </c>
      <c r="R211">
        <f>'收入支出明细表（基础数据表）'!R211</f>
        <v>0</v>
      </c>
      <c r="S211">
        <f>'收入支出明细表（基础数据表）'!S211</f>
        <v>0</v>
      </c>
    </row>
    <row r="212">
      <c r="D212" t="str">
        <v>付款进度-金额</v>
      </c>
      <c r="E212">
        <f>'收入支出明细表（基础数据表）'!E212</f>
        <v>0</v>
      </c>
      <c r="F212">
        <f>'收入支出明细表（基础数据表）'!F212</f>
        <v>0</v>
      </c>
      <c r="G212">
        <f>'收入支出明细表（基础数据表）'!G212</f>
        <v>0</v>
      </c>
      <c r="H212">
        <f>'收入支出明细表（基础数据表）'!H212</f>
        <v>0</v>
      </c>
      <c r="I212">
        <f>'收入支出明细表（基础数据表）'!I212</f>
        <v>0</v>
      </c>
      <c r="J212">
        <f>'收入支出明细表（基础数据表）'!J212</f>
        <v>0</v>
      </c>
      <c r="K212">
        <f>'收入支出明细表（基础数据表）'!K212</f>
        <v>0</v>
      </c>
      <c r="L212">
        <f>'收入支出明细表（基础数据表）'!L212</f>
        <v>0</v>
      </c>
      <c r="M212">
        <f>'收入支出明细表（基础数据表）'!M212</f>
        <v>0</v>
      </c>
      <c r="N212">
        <f>'收入支出明细表（基础数据表）'!N212</f>
        <v>0</v>
      </c>
      <c r="O212">
        <f>'收入支出明细表（基础数据表）'!O212</f>
        <v>0</v>
      </c>
      <c r="P212">
        <f>'收入支出明细表（基础数据表）'!P212</f>
        <v>0</v>
      </c>
      <c r="Q212">
        <f>'收入支出明细表（基础数据表）'!Q212</f>
        <v>0</v>
      </c>
      <c r="R212">
        <f>'收入支出明细表（基础数据表）'!R212</f>
        <v>0</v>
      </c>
      <c r="S212">
        <f>'收入支出明细表（基础数据表）'!S212</f>
        <v>0</v>
      </c>
    </row>
    <row r="213">
      <c r="D213" t="str">
        <v>付款进度-比例</v>
      </c>
      <c r="E213">
        <f>'收入支出明细表（基础数据表）'!E213</f>
        <v>0</v>
      </c>
      <c r="F213">
        <f>'收入支出明细表（基础数据表）'!F213</f>
        <v>0</v>
      </c>
      <c r="G213">
        <f>'收入支出明细表（基础数据表）'!G213</f>
        <v>0</v>
      </c>
      <c r="H213" t="e">
        <f>'收入支出明细表（基础数据表）'!H213</f>
        <v>#DIV/0!</v>
      </c>
      <c r="I213" t="e">
        <f>'收入支出明细表（基础数据表）'!I213</f>
        <v>#DIV/0!</v>
      </c>
      <c r="J213" t="e">
        <f>'收入支出明细表（基础数据表）'!J213</f>
        <v>#DIV/0!</v>
      </c>
      <c r="K213" t="e">
        <f>'收入支出明细表（基础数据表）'!K213</f>
        <v>#DIV/0!</v>
      </c>
      <c r="L213" t="e">
        <f>'收入支出明细表（基础数据表）'!L213</f>
        <v>#DIV/0!</v>
      </c>
      <c r="M213" t="e">
        <f>'收入支出明细表（基础数据表）'!M213</f>
        <v>#DIV/0!</v>
      </c>
      <c r="N213" t="e">
        <f>'收入支出明细表（基础数据表）'!N213</f>
        <v>#DIV/0!</v>
      </c>
      <c r="O213" t="e">
        <f>'收入支出明细表（基础数据表）'!O213</f>
        <v>#DIV/0!</v>
      </c>
      <c r="P213" t="e">
        <f>'收入支出明细表（基础数据表）'!P213</f>
        <v>#DIV/0!</v>
      </c>
      <c r="Q213" t="e">
        <f>'收入支出明细表（基础数据表）'!Q213</f>
        <v>#DIV/0!</v>
      </c>
      <c r="R213" t="e">
        <f>'收入支出明细表（基础数据表）'!R213</f>
        <v>#DIV/0!</v>
      </c>
      <c r="S213" t="e">
        <f>'收入支出明细表（基础数据表）'!S213</f>
        <v>#DIV/0!</v>
      </c>
    </row>
    <row r="214">
      <c r="C214" t="str">
        <v xml:space="preserve">        ……</v>
      </c>
      <c r="E214">
        <f>'收入支出明细表（基础数据表）'!E214</f>
        <v>0</v>
      </c>
      <c r="F214">
        <f>'收入支出明细表（基础数据表）'!F214</f>
        <v>0</v>
      </c>
      <c r="G214">
        <f>'收入支出明细表（基础数据表）'!G214</f>
        <v>0</v>
      </c>
      <c r="H214">
        <f>'收入支出明细表（基础数据表）'!H214</f>
        <v>0</v>
      </c>
      <c r="I214">
        <f>'收入支出明细表（基础数据表）'!I214</f>
        <v>0</v>
      </c>
      <c r="J214">
        <f>'收入支出明细表（基础数据表）'!J214</f>
        <v>0</v>
      </c>
      <c r="K214">
        <f>'收入支出明细表（基础数据表）'!K214</f>
        <v>0</v>
      </c>
      <c r="L214">
        <f>'收入支出明细表（基础数据表）'!L214</f>
        <v>0</v>
      </c>
      <c r="M214">
        <f>'收入支出明细表（基础数据表）'!M214</f>
        <v>0</v>
      </c>
      <c r="N214">
        <f>'收入支出明细表（基础数据表）'!N214</f>
        <v>0</v>
      </c>
      <c r="O214">
        <f>'收入支出明细表（基础数据表）'!O214</f>
        <v>0</v>
      </c>
      <c r="P214">
        <f>'收入支出明细表（基础数据表）'!P214</f>
        <v>0</v>
      </c>
      <c r="Q214">
        <f>'收入支出明细表（基础数据表）'!Q214</f>
        <v>0</v>
      </c>
      <c r="R214">
        <f>'收入支出明细表（基础数据表）'!R214</f>
        <v>0</v>
      </c>
      <c r="S214">
        <f>'收入支出明细表（基础数据表）'!S214</f>
        <v>0</v>
      </c>
    </row>
    <row r="215">
      <c r="A215" t="str">
        <v>非本项目新增支出成本分摊</v>
      </c>
      <c r="C215" t="str">
        <v>合计</v>
      </c>
      <c r="D215" t="str">
        <v>支出</v>
      </c>
      <c r="E215">
        <f>'收入支出明细表（基础数据表）'!E215</f>
        <v>0</v>
      </c>
      <c r="F215">
        <f>'收入支出明细表（基础数据表）'!F215</f>
        <v>0</v>
      </c>
      <c r="G215">
        <f>'收入支出明细表（基础数据表）'!G215</f>
        <v>0</v>
      </c>
      <c r="H215">
        <f>'收入支出明细表（基础数据表）'!H215</f>
        <v>0</v>
      </c>
      <c r="I215">
        <f>'收入支出明细表（基础数据表）'!I215</f>
        <v>0</v>
      </c>
      <c r="J215">
        <f>'收入支出明细表（基础数据表）'!J215</f>
        <v>0</v>
      </c>
      <c r="K215">
        <f>'收入支出明细表（基础数据表）'!K215</f>
        <v>0</v>
      </c>
      <c r="L215">
        <f>'收入支出明细表（基础数据表）'!L215</f>
        <v>0</v>
      </c>
      <c r="M215">
        <f>'收入支出明细表（基础数据表）'!M215</f>
        <v>0</v>
      </c>
      <c r="N215">
        <f>'收入支出明细表（基础数据表）'!N215</f>
        <v>0</v>
      </c>
      <c r="O215">
        <f>'收入支出明细表（基础数据表）'!O215</f>
        <v>0</v>
      </c>
      <c r="P215">
        <f>'收入支出明细表（基础数据表）'!P215</f>
        <v>0</v>
      </c>
      <c r="Q215">
        <f>'收入支出明细表（基础数据表）'!Q215</f>
        <v>0</v>
      </c>
      <c r="R215">
        <f>'收入支出明细表（基础数据表）'!R215</f>
        <v>0</v>
      </c>
      <c r="S215">
        <f>'收入支出明细表（基础数据表）'!S215</f>
        <v>0</v>
      </c>
    </row>
    <row r="216">
      <c r="D216" t="str">
        <v>付款进度-金额</v>
      </c>
      <c r="E216">
        <f>'收入支出明细表（基础数据表）'!E216</f>
        <v>0</v>
      </c>
      <c r="F216">
        <f>'收入支出明细表（基础数据表）'!F216</f>
        <v>0</v>
      </c>
      <c r="G216">
        <f>'收入支出明细表（基础数据表）'!G216</f>
        <v>0</v>
      </c>
      <c r="H216">
        <f>'收入支出明细表（基础数据表）'!H216</f>
        <v>0</v>
      </c>
      <c r="I216">
        <f>'收入支出明细表（基础数据表）'!I216</f>
        <v>0</v>
      </c>
      <c r="J216">
        <f>'收入支出明细表（基础数据表）'!J216</f>
        <v>0</v>
      </c>
      <c r="K216">
        <f>'收入支出明细表（基础数据表）'!K216</f>
        <v>0</v>
      </c>
      <c r="L216">
        <f>'收入支出明细表（基础数据表）'!L216</f>
        <v>0</v>
      </c>
      <c r="M216">
        <f>'收入支出明细表（基础数据表）'!M216</f>
        <v>0</v>
      </c>
      <c r="N216">
        <f>'收入支出明细表（基础数据表）'!N216</f>
        <v>0</v>
      </c>
      <c r="O216">
        <f>'收入支出明细表（基础数据表）'!O216</f>
        <v>0</v>
      </c>
      <c r="P216">
        <f>'收入支出明细表（基础数据表）'!P216</f>
        <v>0</v>
      </c>
      <c r="Q216">
        <f>'收入支出明细表（基础数据表）'!Q216</f>
        <v>0</v>
      </c>
      <c r="R216">
        <f>'收入支出明细表（基础数据表）'!R216</f>
        <v>0</v>
      </c>
      <c r="S216">
        <f>'收入支出明细表（基础数据表）'!S216</f>
        <v>0</v>
      </c>
    </row>
    <row r="217">
      <c r="D217" t="str">
        <v>付款进度-比例</v>
      </c>
      <c r="E217">
        <f>'收入支出明细表（基础数据表）'!E217</f>
        <v>0</v>
      </c>
      <c r="F217">
        <f>'收入支出明细表（基础数据表）'!F217</f>
        <v>0</v>
      </c>
      <c r="G217">
        <f>'收入支出明细表（基础数据表）'!G217</f>
        <v>0</v>
      </c>
      <c r="H217" t="e">
        <f>'收入支出明细表（基础数据表）'!H217</f>
        <v>#DIV/0!</v>
      </c>
      <c r="I217" t="e">
        <f>'收入支出明细表（基础数据表）'!I217</f>
        <v>#DIV/0!</v>
      </c>
      <c r="J217" t="e">
        <f>'收入支出明细表（基础数据表）'!J217</f>
        <v>#DIV/0!</v>
      </c>
      <c r="K217" t="e">
        <f>'收入支出明细表（基础数据表）'!K217</f>
        <v>#DIV/0!</v>
      </c>
      <c r="L217" t="e">
        <f>'收入支出明细表（基础数据表）'!L217</f>
        <v>#DIV/0!</v>
      </c>
      <c r="M217" t="e">
        <f>'收入支出明细表（基础数据表）'!M217</f>
        <v>#DIV/0!</v>
      </c>
      <c r="N217" t="e">
        <f>'收入支出明细表（基础数据表）'!N217</f>
        <v>#DIV/0!</v>
      </c>
      <c r="O217" t="e">
        <f>'收入支出明细表（基础数据表）'!O217</f>
        <v>#DIV/0!</v>
      </c>
      <c r="P217" t="e">
        <f>'收入支出明细表（基础数据表）'!P217</f>
        <v>#DIV/0!</v>
      </c>
      <c r="Q217" t="e">
        <f>'收入支出明细表（基础数据表）'!Q217</f>
        <v>#DIV/0!</v>
      </c>
      <c r="R217" t="e">
        <f>'收入支出明细表（基础数据表）'!R217</f>
        <v>#DIV/0!</v>
      </c>
      <c r="S217" t="e">
        <f>'收入支出明细表（基础数据表）'!S217</f>
        <v>#DIV/0!</v>
      </c>
    </row>
    <row r="218">
      <c r="C218" t="str">
        <v>1、IT收入所对应的相关成本分摊</v>
      </c>
      <c r="D218" t="str">
        <v>支出</v>
      </c>
      <c r="E218">
        <f>'收入支出明细表（基础数据表）'!E218</f>
        <v>0</v>
      </c>
      <c r="F218">
        <f>'收入支出明细表（基础数据表）'!F218</f>
        <v>0</v>
      </c>
      <c r="G218">
        <f>'收入支出明细表（基础数据表）'!G218</f>
        <v>0</v>
      </c>
      <c r="H218">
        <f>'收入支出明细表（基础数据表）'!H218</f>
        <v>0</v>
      </c>
      <c r="I218">
        <f>'收入支出明细表（基础数据表）'!I218</f>
        <v>0</v>
      </c>
      <c r="J218">
        <f>'收入支出明细表（基础数据表）'!J218</f>
        <v>0</v>
      </c>
      <c r="K218">
        <f>'收入支出明细表（基础数据表）'!K218</f>
        <v>0</v>
      </c>
      <c r="L218">
        <f>'收入支出明细表（基础数据表）'!L218</f>
        <v>0</v>
      </c>
      <c r="M218">
        <f>'收入支出明细表（基础数据表）'!M218</f>
        <v>0</v>
      </c>
      <c r="N218">
        <f>'收入支出明细表（基础数据表）'!N218</f>
        <v>0</v>
      </c>
      <c r="O218">
        <f>'收入支出明细表（基础数据表）'!O218</f>
        <v>0</v>
      </c>
      <c r="P218">
        <f>'收入支出明细表（基础数据表）'!P218</f>
        <v>0</v>
      </c>
      <c r="Q218">
        <f>'收入支出明细表（基础数据表）'!Q218</f>
        <v>0</v>
      </c>
      <c r="R218">
        <f>'收入支出明细表（基础数据表）'!R218</f>
        <v>0</v>
      </c>
      <c r="S218">
        <f>'收入支出明细表（基础数据表）'!S218</f>
        <v>0</v>
      </c>
    </row>
    <row r="219">
      <c r="D219" t="str">
        <v>付款进度-金额</v>
      </c>
      <c r="E219">
        <f>'收入支出明细表（基础数据表）'!E219</f>
        <v>0</v>
      </c>
      <c r="F219">
        <f>'收入支出明细表（基础数据表）'!F219</f>
        <v>0</v>
      </c>
      <c r="G219">
        <f>'收入支出明细表（基础数据表）'!G219</f>
        <v>0</v>
      </c>
      <c r="H219">
        <f>'收入支出明细表（基础数据表）'!H219</f>
        <v>0</v>
      </c>
      <c r="I219">
        <f>'收入支出明细表（基础数据表）'!I219</f>
        <v>0</v>
      </c>
      <c r="J219">
        <f>'收入支出明细表（基础数据表）'!J219</f>
        <v>0</v>
      </c>
      <c r="K219">
        <f>'收入支出明细表（基础数据表）'!K219</f>
        <v>0</v>
      </c>
      <c r="L219">
        <f>'收入支出明细表（基础数据表）'!L219</f>
        <v>0</v>
      </c>
      <c r="M219">
        <f>'收入支出明细表（基础数据表）'!M219</f>
        <v>0</v>
      </c>
      <c r="N219">
        <f>'收入支出明细表（基础数据表）'!N219</f>
        <v>0</v>
      </c>
      <c r="O219">
        <f>'收入支出明细表（基础数据表）'!O219</f>
        <v>0</v>
      </c>
      <c r="P219">
        <f>'收入支出明细表（基础数据表）'!P219</f>
        <v>0</v>
      </c>
      <c r="Q219">
        <f>'收入支出明细表（基础数据表）'!Q219</f>
        <v>0</v>
      </c>
      <c r="R219">
        <f>'收入支出明细表（基础数据表）'!R219</f>
        <v>0</v>
      </c>
      <c r="S219">
        <f>'收入支出明细表（基础数据表）'!S219</f>
        <v>0</v>
      </c>
    </row>
    <row r="220">
      <c r="D220" t="str">
        <v>付款进度-比例</v>
      </c>
      <c r="E220">
        <f>'收入支出明细表（基础数据表）'!E220</f>
        <v>0</v>
      </c>
      <c r="F220">
        <f>'收入支出明细表（基础数据表）'!F220</f>
        <v>0</v>
      </c>
      <c r="G220">
        <f>'收入支出明细表（基础数据表）'!G220</f>
        <v>0</v>
      </c>
      <c r="H220" t="e">
        <f>'收入支出明细表（基础数据表）'!H220</f>
        <v>#DIV/0!</v>
      </c>
      <c r="I220" t="e">
        <f>'收入支出明细表（基础数据表）'!I220</f>
        <v>#DIV/0!</v>
      </c>
      <c r="J220" t="e">
        <f>'收入支出明细表（基础数据表）'!J220</f>
        <v>#DIV/0!</v>
      </c>
      <c r="K220" t="e">
        <f>'收入支出明细表（基础数据表）'!K220</f>
        <v>#DIV/0!</v>
      </c>
      <c r="L220" t="e">
        <f>'收入支出明细表（基础数据表）'!L220</f>
        <v>#DIV/0!</v>
      </c>
      <c r="M220" t="e">
        <f>'收入支出明细表（基础数据表）'!M220</f>
        <v>#DIV/0!</v>
      </c>
      <c r="N220" t="e">
        <f>'收入支出明细表（基础数据表）'!N220</f>
        <v>#DIV/0!</v>
      </c>
      <c r="O220" t="e">
        <f>'收入支出明细表（基础数据表）'!O220</f>
        <v>#DIV/0!</v>
      </c>
      <c r="P220" t="e">
        <f>'收入支出明细表（基础数据表）'!P220</f>
        <v>#DIV/0!</v>
      </c>
      <c r="Q220" t="e">
        <f>'收入支出明细表（基础数据表）'!Q220</f>
        <v>#DIV/0!</v>
      </c>
      <c r="R220" t="e">
        <f>'收入支出明细表（基础数据表）'!R220</f>
        <v>#DIV/0!</v>
      </c>
      <c r="S220" t="e">
        <f>'收入支出明细表（基础数据表）'!S220</f>
        <v>#DIV/0!</v>
      </c>
    </row>
    <row r="221">
      <c r="C221" t="str">
        <v>2、CT收入所对应的基础网络资源的成本分摊</v>
      </c>
      <c r="D221" t="str">
        <v>支出</v>
      </c>
      <c r="E221">
        <f>'收入支出明细表（基础数据表）'!E221</f>
        <v>0</v>
      </c>
      <c r="F221">
        <f>'收入支出明细表（基础数据表）'!F221</f>
        <v>0</v>
      </c>
      <c r="G221">
        <f>'收入支出明细表（基础数据表）'!G221</f>
        <v>0</v>
      </c>
      <c r="H221">
        <f>'收入支出明细表（基础数据表）'!H221</f>
        <v>0</v>
      </c>
      <c r="I221">
        <f>'收入支出明细表（基础数据表）'!I221</f>
        <v>0</v>
      </c>
      <c r="J221">
        <f>'收入支出明细表（基础数据表）'!J221</f>
        <v>0</v>
      </c>
      <c r="K221">
        <f>'收入支出明细表（基础数据表）'!K221</f>
        <v>0</v>
      </c>
      <c r="L221">
        <f>'收入支出明细表（基础数据表）'!L221</f>
        <v>0</v>
      </c>
      <c r="M221">
        <f>'收入支出明细表（基础数据表）'!M221</f>
        <v>0</v>
      </c>
      <c r="N221">
        <f>'收入支出明细表（基础数据表）'!N221</f>
        <v>0</v>
      </c>
      <c r="O221">
        <f>'收入支出明细表（基础数据表）'!O221</f>
        <v>0</v>
      </c>
      <c r="P221">
        <f>'收入支出明细表（基础数据表）'!P221</f>
        <v>0</v>
      </c>
      <c r="Q221">
        <f>'收入支出明细表（基础数据表）'!Q221</f>
        <v>0</v>
      </c>
      <c r="R221">
        <f>'收入支出明细表（基础数据表）'!R221</f>
        <v>0</v>
      </c>
      <c r="S221">
        <f>'收入支出明细表（基础数据表）'!S221</f>
        <v>0</v>
      </c>
    </row>
    <row r="222">
      <c r="D222" t="str">
        <v>付款进度-金额</v>
      </c>
      <c r="E222">
        <f>'收入支出明细表（基础数据表）'!E222</f>
        <v>0</v>
      </c>
      <c r="F222">
        <f>'收入支出明细表（基础数据表）'!F222</f>
        <v>0</v>
      </c>
      <c r="G222">
        <f>'收入支出明细表（基础数据表）'!G222</f>
        <v>0</v>
      </c>
      <c r="H222">
        <f>'收入支出明细表（基础数据表）'!H222</f>
        <v>0</v>
      </c>
      <c r="I222">
        <f>'收入支出明细表（基础数据表）'!I222</f>
        <v>0</v>
      </c>
      <c r="J222">
        <f>'收入支出明细表（基础数据表）'!J222</f>
        <v>0</v>
      </c>
      <c r="K222">
        <f>'收入支出明细表（基础数据表）'!K222</f>
        <v>0</v>
      </c>
      <c r="L222">
        <f>'收入支出明细表（基础数据表）'!L222</f>
        <v>0</v>
      </c>
      <c r="M222">
        <f>'收入支出明细表（基础数据表）'!M222</f>
        <v>0</v>
      </c>
      <c r="N222">
        <f>'收入支出明细表（基础数据表）'!N222</f>
        <v>0</v>
      </c>
      <c r="O222">
        <f>'收入支出明细表（基础数据表）'!O222</f>
        <v>0</v>
      </c>
      <c r="P222">
        <f>'收入支出明细表（基础数据表）'!P222</f>
        <v>0</v>
      </c>
      <c r="Q222">
        <f>'收入支出明细表（基础数据表）'!Q222</f>
        <v>0</v>
      </c>
      <c r="R222">
        <f>'收入支出明细表（基础数据表）'!R222</f>
        <v>0</v>
      </c>
      <c r="S222">
        <f>'收入支出明细表（基础数据表）'!S222</f>
        <v>0</v>
      </c>
    </row>
    <row r="223">
      <c r="D223" t="str">
        <v>付款进度-比例</v>
      </c>
      <c r="E223">
        <f>'收入支出明细表（基础数据表）'!E223</f>
        <v>0</v>
      </c>
      <c r="F223">
        <f>'收入支出明细表（基础数据表）'!F223</f>
        <v>0</v>
      </c>
      <c r="G223">
        <f>'收入支出明细表（基础数据表）'!G223</f>
        <v>0</v>
      </c>
      <c r="H223" t="e">
        <f>'收入支出明细表（基础数据表）'!H223</f>
        <v>#DIV/0!</v>
      </c>
      <c r="I223" t="e">
        <f>'收入支出明细表（基础数据表）'!I223</f>
        <v>#DIV/0!</v>
      </c>
      <c r="J223" t="e">
        <f>'收入支出明细表（基础数据表）'!J223</f>
        <v>#DIV/0!</v>
      </c>
      <c r="K223" t="e">
        <f>'收入支出明细表（基础数据表）'!K223</f>
        <v>#DIV/0!</v>
      </c>
      <c r="L223" t="e">
        <f>'收入支出明细表（基础数据表）'!L223</f>
        <v>#DIV/0!</v>
      </c>
      <c r="M223" t="e">
        <f>'收入支出明细表（基础数据表）'!M223</f>
        <v>#DIV/0!</v>
      </c>
      <c r="N223" t="e">
        <f>'收入支出明细表（基础数据表）'!N223</f>
        <v>#DIV/0!</v>
      </c>
      <c r="O223" t="e">
        <f>'收入支出明细表（基础数据表）'!O223</f>
        <v>#DIV/0!</v>
      </c>
      <c r="P223" t="e">
        <f>'收入支出明细表（基础数据表）'!P223</f>
        <v>#DIV/0!</v>
      </c>
      <c r="Q223" t="e">
        <f>'收入支出明细表（基础数据表）'!Q223</f>
        <v>#DIV/0!</v>
      </c>
      <c r="R223" t="e">
        <f>'收入支出明细表（基础数据表）'!R223</f>
        <v>#DIV/0!</v>
      </c>
      <c r="S223" t="e">
        <f>'收入支出明细表（基础数据表）'!S223</f>
        <v>#DIV/0!</v>
      </c>
    </row>
  </sheetData>
  <autoFilter ref="A2:X223"/>
  <mergeCells count="83">
    <mergeCell ref="C211:C213"/>
    <mergeCell ref="C215:C217"/>
    <mergeCell ref="C218:C220"/>
    <mergeCell ref="C221:C223"/>
    <mergeCell ref="B3:C5"/>
    <mergeCell ref="B96:C98"/>
    <mergeCell ref="A215:B223"/>
    <mergeCell ref="C196:C198"/>
    <mergeCell ref="C199:C201"/>
    <mergeCell ref="C202:C204"/>
    <mergeCell ref="C205:C207"/>
    <mergeCell ref="C208:C210"/>
    <mergeCell ref="C180:C182"/>
    <mergeCell ref="C183:C185"/>
    <mergeCell ref="C186:C188"/>
    <mergeCell ref="C190:C192"/>
    <mergeCell ref="C193:C195"/>
    <mergeCell ref="C164:C166"/>
    <mergeCell ref="C167:C169"/>
    <mergeCell ref="C171:C173"/>
    <mergeCell ref="C174:C176"/>
    <mergeCell ref="C177:C179"/>
    <mergeCell ref="C149:C151"/>
    <mergeCell ref="C152:C154"/>
    <mergeCell ref="C155:C157"/>
    <mergeCell ref="C158:C160"/>
    <mergeCell ref="C161:C163"/>
    <mergeCell ref="C133:C135"/>
    <mergeCell ref="C136:C138"/>
    <mergeCell ref="C140:C142"/>
    <mergeCell ref="C143:C145"/>
    <mergeCell ref="C146:C148"/>
    <mergeCell ref="C117:C119"/>
    <mergeCell ref="C121:C123"/>
    <mergeCell ref="C124:C126"/>
    <mergeCell ref="C127:C129"/>
    <mergeCell ref="C130:C132"/>
    <mergeCell ref="C102:C104"/>
    <mergeCell ref="C105:C107"/>
    <mergeCell ref="C108:C110"/>
    <mergeCell ref="C111:C113"/>
    <mergeCell ref="C114:C116"/>
    <mergeCell ref="C82:C84"/>
    <mergeCell ref="C85:C87"/>
    <mergeCell ref="C88:C90"/>
    <mergeCell ref="C91:C93"/>
    <mergeCell ref="C99:C101"/>
    <mergeCell ref="C67:C69"/>
    <mergeCell ref="C70:C72"/>
    <mergeCell ref="C73:C75"/>
    <mergeCell ref="C76:C78"/>
    <mergeCell ref="C79:C81"/>
    <mergeCell ref="C49:C51"/>
    <mergeCell ref="C52:C54"/>
    <mergeCell ref="C55:C57"/>
    <mergeCell ref="C61:C63"/>
    <mergeCell ref="C64:C66"/>
    <mergeCell ref="C33:C35"/>
    <mergeCell ref="C36:C38"/>
    <mergeCell ref="C40:C42"/>
    <mergeCell ref="C43:C45"/>
    <mergeCell ref="C46:C48"/>
    <mergeCell ref="C18:C20"/>
    <mergeCell ref="C21:C23"/>
    <mergeCell ref="C24:C26"/>
    <mergeCell ref="C27:C29"/>
    <mergeCell ref="C30:C32"/>
    <mergeCell ref="A1:S1"/>
    <mergeCell ref="A2:C2"/>
    <mergeCell ref="A3:A95"/>
    <mergeCell ref="A96:A139"/>
    <mergeCell ref="A140:A214"/>
    <mergeCell ref="B6:B39"/>
    <mergeCell ref="B40:B95"/>
    <mergeCell ref="B99:B120"/>
    <mergeCell ref="B121:B139"/>
    <mergeCell ref="B140:B170"/>
    <mergeCell ref="B171:B189"/>
    <mergeCell ref="B190:B214"/>
    <mergeCell ref="C6:C8"/>
    <mergeCell ref="C9:C11"/>
    <mergeCell ref="C12:C14"/>
    <mergeCell ref="C15:C17"/>
  </mergeCells>
  <pageMargins left="0.75" right="0.75" top="1" bottom="1" header="0.5" footer="0.5"/>
  <ignoredErrors>
    <ignoredError numberStoredAsText="1" sqref="A1:XEO225"/>
  </ignoredErrors>
</worksheet>
</file>

<file path=xl/worksheets/sheet5.xml><?xml version="1.0" encoding="utf-8"?>
<worksheet xmlns="http://schemas.openxmlformats.org/spreadsheetml/2006/main" xmlns:r="http://schemas.openxmlformats.org/officeDocument/2006/relationships">
  <dimension ref="A1:XEO86"/>
  <sheetViews>
    <sheetView workbookViewId="0" rightToLeft="0"/>
  </sheetViews>
  <sheetData>
    <row r="1">
      <c r="A1" t="str">
        <v>ICT项目收入支出（不含税）</v>
      </c>
    </row>
    <row r="2">
      <c r="A2" t="str">
        <v>分类</v>
      </c>
      <c r="E2" t="str">
        <v>收入/支出具体内容</v>
      </c>
      <c r="F2" t="str">
        <v>增值税率</v>
      </c>
      <c r="G2" t="str">
        <v>金额（不含税）</v>
      </c>
      <c r="H2" t="str">
        <v>期初</v>
      </c>
      <c r="I2" t="str">
        <v>第1年</v>
      </c>
      <c r="J2" t="str">
        <v>第2年</v>
      </c>
      <c r="K2" t="str">
        <v>第3年</v>
      </c>
      <c r="L2" t="str">
        <v>第4年</v>
      </c>
      <c r="M2" t="str">
        <v>第5年</v>
      </c>
      <c r="N2" t="str">
        <v>第6年</v>
      </c>
      <c r="O2" t="str">
        <v>第7年</v>
      </c>
      <c r="P2" t="str">
        <v>第8年</v>
      </c>
      <c r="Q2" t="str">
        <v>第9年</v>
      </c>
      <c r="R2" t="str">
        <v>第10年</v>
      </c>
      <c r="S2" t="str">
        <v>...</v>
      </c>
    </row>
    <row r="3">
      <c r="A3" t="str">
        <v>收入</v>
      </c>
      <c r="B3" t="str">
        <v>项目收入合计</v>
      </c>
      <c r="D3" t="str">
        <v>收入</v>
      </c>
      <c r="G3">
        <f>'收入支出明细表（基础数据表）'!T3</f>
        <v>0</v>
      </c>
      <c r="H3">
        <f>'收入支出明细表（基础数据表）'!U3</f>
        <v>0</v>
      </c>
      <c r="I3">
        <f>'收入支出明细表（基础数据表）'!V3</f>
        <v>0</v>
      </c>
      <c r="J3">
        <f>'收入支出明细表（基础数据表）'!W3</f>
        <v>0</v>
      </c>
      <c r="K3">
        <f>'收入支出明细表（基础数据表）'!X3</f>
        <v>0</v>
      </c>
      <c r="L3">
        <f>'收入支出明细表（基础数据表）'!Y3</f>
        <v>0</v>
      </c>
      <c r="M3">
        <f>'收入支出明细表（基础数据表）'!Z3</f>
        <v>0</v>
      </c>
      <c r="N3">
        <f>'收入支出明细表（基础数据表）'!AA3</f>
        <v>0</v>
      </c>
      <c r="O3">
        <f>'收入支出明细表（基础数据表）'!AB3</f>
        <v>0</v>
      </c>
      <c r="P3">
        <f>'收入支出明细表（基础数据表）'!AC3</f>
        <v>0</v>
      </c>
      <c r="Q3">
        <f>'收入支出明细表（基础数据表）'!AD3</f>
        <v>0</v>
      </c>
      <c r="R3">
        <f>'收入支出明细表（基础数据表）'!AE3</f>
        <v>0</v>
      </c>
      <c r="S3">
        <f>'收入支出明细表（基础数据表）'!AF3</f>
        <v>0</v>
      </c>
    </row>
    <row r="4">
      <c r="B4" t="str">
        <v>IT类收入</v>
      </c>
      <c r="C4" t="str">
        <v>IT类收入合计</v>
      </c>
      <c r="D4" t="str">
        <v>收入</v>
      </c>
      <c r="G4">
        <f>'收入支出明细表（基础数据表）'!T6</f>
        <v>0</v>
      </c>
      <c r="H4">
        <f>'收入支出明细表（基础数据表）'!U6</f>
        <v>0</v>
      </c>
      <c r="I4">
        <f>'收入支出明细表（基础数据表）'!V6</f>
        <v>0</v>
      </c>
      <c r="J4">
        <f>'收入支出明细表（基础数据表）'!W6</f>
        <v>0</v>
      </c>
      <c r="K4">
        <f>'收入支出明细表（基础数据表）'!X6</f>
        <v>0</v>
      </c>
      <c r="L4">
        <f>'收入支出明细表（基础数据表）'!Y6</f>
        <v>0</v>
      </c>
      <c r="M4">
        <f>'收入支出明细表（基础数据表）'!Z6</f>
        <v>0</v>
      </c>
      <c r="N4">
        <f>'收入支出明细表（基础数据表）'!AA6</f>
        <v>0</v>
      </c>
      <c r="O4">
        <f>'收入支出明细表（基础数据表）'!AB6</f>
        <v>0</v>
      </c>
      <c r="P4">
        <f>'收入支出明细表（基础数据表）'!AC6</f>
        <v>0</v>
      </c>
      <c r="Q4">
        <f>'收入支出明细表（基础数据表）'!AD6</f>
        <v>0</v>
      </c>
      <c r="R4">
        <f>'收入支出明细表（基础数据表）'!AE6</f>
        <v>0</v>
      </c>
      <c r="S4">
        <f>'收入支出明细表（基础数据表）'!AF6</f>
        <v>0</v>
      </c>
    </row>
    <row r="5">
      <c r="C5" t="str">
        <v>1、通信及信息服务收入合计</v>
      </c>
      <c r="D5" t="str">
        <v>收入</v>
      </c>
      <c r="F5">
        <v>0.06</v>
      </c>
      <c r="G5">
        <f>'收入支出明细表（基础数据表）'!T9</f>
        <v>0</v>
      </c>
      <c r="H5">
        <f>'收入支出明细表（基础数据表）'!U9</f>
        <v>0</v>
      </c>
      <c r="I5">
        <f>'收入支出明细表（基础数据表）'!V9</f>
        <v>0</v>
      </c>
      <c r="J5">
        <f>'收入支出明细表（基础数据表）'!W9</f>
        <v>0</v>
      </c>
      <c r="K5">
        <f>'收入支出明细表（基础数据表）'!X9</f>
        <v>0</v>
      </c>
      <c r="L5">
        <f>'收入支出明细表（基础数据表）'!Y9</f>
        <v>0</v>
      </c>
      <c r="M5">
        <f>'收入支出明细表（基础数据表）'!Z9</f>
        <v>0</v>
      </c>
      <c r="N5">
        <f>'收入支出明细表（基础数据表）'!AA9</f>
        <v>0</v>
      </c>
      <c r="O5">
        <f>'收入支出明细表（基础数据表）'!AB9</f>
        <v>0</v>
      </c>
      <c r="P5">
        <f>'收入支出明细表（基础数据表）'!AC9</f>
        <v>0</v>
      </c>
      <c r="Q5">
        <f>'收入支出明细表（基础数据表）'!AD9</f>
        <v>0</v>
      </c>
      <c r="R5">
        <f>'收入支出明细表（基础数据表）'!AE9</f>
        <v>0</v>
      </c>
      <c r="S5">
        <f>'收入支出明细表（基础数据表）'!AF9</f>
        <v>0</v>
      </c>
    </row>
    <row r="6">
      <c r="C6" t="str">
        <v>1-1 集成收入-信息服务</v>
      </c>
      <c r="D6" t="str">
        <v>收入</v>
      </c>
      <c r="F6">
        <v>0.06</v>
      </c>
      <c r="G6">
        <f>'收入支出明细表（基础数据表）'!T12</f>
        <v>0</v>
      </c>
      <c r="H6">
        <f>'收入支出明细表（基础数据表）'!U12</f>
        <v>0</v>
      </c>
      <c r="I6">
        <f>'收入支出明细表（基础数据表）'!V12</f>
        <v>0</v>
      </c>
      <c r="J6">
        <f>'收入支出明细表（基础数据表）'!W12</f>
        <v>0</v>
      </c>
      <c r="K6">
        <f>'收入支出明细表（基础数据表）'!X12</f>
        <v>0</v>
      </c>
      <c r="L6">
        <f>'收入支出明细表（基础数据表）'!Y12</f>
        <v>0</v>
      </c>
      <c r="M6">
        <f>'收入支出明细表（基础数据表）'!Z12</f>
        <v>0</v>
      </c>
      <c r="N6">
        <f>'收入支出明细表（基础数据表）'!AA12</f>
        <v>0</v>
      </c>
      <c r="O6">
        <f>'收入支出明细表（基础数据表）'!AB12</f>
        <v>0</v>
      </c>
      <c r="P6">
        <f>'收入支出明细表（基础数据表）'!AC12</f>
        <v>0</v>
      </c>
      <c r="Q6">
        <f>'收入支出明细表（基础数据表）'!AD12</f>
        <v>0</v>
      </c>
      <c r="R6">
        <f>'收入支出明细表（基础数据表）'!AE12</f>
        <v>0</v>
      </c>
      <c r="S6">
        <f>'收入支出明细表（基础数据表）'!AF12</f>
        <v>0</v>
      </c>
    </row>
    <row r="7">
      <c r="C7" t="str">
        <v>1-2 集成收入-安装服务</v>
      </c>
      <c r="D7" t="str">
        <v>收入</v>
      </c>
      <c r="F7">
        <v>0.09</v>
      </c>
      <c r="G7">
        <f>'收入支出明细表（基础数据表）'!T15</f>
        <v>0</v>
      </c>
      <c r="H7">
        <f>'收入支出明细表（基础数据表）'!U15</f>
        <v>0</v>
      </c>
      <c r="I7">
        <f>'收入支出明细表（基础数据表）'!V15</f>
        <v>0</v>
      </c>
      <c r="J7">
        <f>'收入支出明细表（基础数据表）'!W15</f>
        <v>0</v>
      </c>
      <c r="K7">
        <f>'收入支出明细表（基础数据表）'!X15</f>
        <v>0</v>
      </c>
      <c r="L7">
        <f>'收入支出明细表（基础数据表）'!Y15</f>
        <v>0</v>
      </c>
      <c r="M7">
        <f>'收入支出明细表（基础数据表）'!Z15</f>
        <v>0</v>
      </c>
      <c r="N7">
        <f>'收入支出明细表（基础数据表）'!AA15</f>
        <v>0</v>
      </c>
      <c r="O7">
        <f>'收入支出明细表（基础数据表）'!AB15</f>
        <v>0</v>
      </c>
      <c r="P7">
        <f>'收入支出明细表（基础数据表）'!AC15</f>
        <v>0</v>
      </c>
      <c r="Q7">
        <f>'收入支出明细表（基础数据表）'!AD15</f>
        <v>0</v>
      </c>
      <c r="R7">
        <f>'收入支出明细表（基础数据表）'!AE15</f>
        <v>0</v>
      </c>
      <c r="S7">
        <f>'收入支出明细表（基础数据表）'!AF15</f>
        <v>0</v>
      </c>
    </row>
    <row r="8">
      <c r="C8" t="str">
        <v>1-3 维保收入-信息服务</v>
      </c>
      <c r="D8" t="str">
        <v>收入</v>
      </c>
      <c r="F8">
        <v>0.06</v>
      </c>
      <c r="G8">
        <f>'收入支出明细表（基础数据表）'!T18</f>
        <v>0</v>
      </c>
      <c r="H8">
        <f>'收入支出明细表（基础数据表）'!U18</f>
        <v>0</v>
      </c>
      <c r="I8">
        <f>'收入支出明细表（基础数据表）'!V18</f>
        <v>0</v>
      </c>
      <c r="J8">
        <f>'收入支出明细表（基础数据表）'!W18</f>
        <v>0</v>
      </c>
      <c r="K8">
        <f>'收入支出明细表（基础数据表）'!X18</f>
        <v>0</v>
      </c>
      <c r="L8">
        <f>'收入支出明细表（基础数据表）'!Y18</f>
        <v>0</v>
      </c>
      <c r="M8">
        <f>'收入支出明细表（基础数据表）'!Z18</f>
        <v>0</v>
      </c>
      <c r="N8">
        <f>'收入支出明细表（基础数据表）'!AA18</f>
        <v>0</v>
      </c>
      <c r="O8">
        <f>'收入支出明细表（基础数据表）'!AB18</f>
        <v>0</v>
      </c>
      <c r="P8">
        <f>'收入支出明细表（基础数据表）'!AC18</f>
        <v>0</v>
      </c>
      <c r="Q8">
        <f>'收入支出明细表（基础数据表）'!AD18</f>
        <v>0</v>
      </c>
      <c r="R8">
        <f>'收入支出明细表（基础数据表）'!AE18</f>
        <v>0</v>
      </c>
      <c r="S8">
        <f>'收入支出明细表（基础数据表）'!AF18</f>
        <v>0</v>
      </c>
    </row>
    <row r="9">
      <c r="C9" t="str">
        <v>1-4 维保收入-安装服务</v>
      </c>
      <c r="D9" t="str">
        <v>收入</v>
      </c>
      <c r="F9">
        <v>0.09</v>
      </c>
      <c r="G9">
        <f>'收入支出明细表（基础数据表）'!T21</f>
        <v>0</v>
      </c>
      <c r="H9">
        <f>'收入支出明细表（基础数据表）'!U21</f>
        <v>0</v>
      </c>
      <c r="I9">
        <f>'收入支出明细表（基础数据表）'!V21</f>
        <v>0</v>
      </c>
      <c r="J9">
        <f>'收入支出明细表（基础数据表）'!W21</f>
        <v>0</v>
      </c>
      <c r="K9">
        <f>'收入支出明细表（基础数据表）'!X21</f>
        <v>0</v>
      </c>
      <c r="L9">
        <f>'收入支出明细表（基础数据表）'!Y21</f>
        <v>0</v>
      </c>
      <c r="M9">
        <f>'收入支出明细表（基础数据表）'!Z21</f>
        <v>0</v>
      </c>
      <c r="N9">
        <f>'收入支出明细表（基础数据表）'!AA21</f>
        <v>0</v>
      </c>
      <c r="O9">
        <f>'收入支出明细表（基础数据表）'!AB21</f>
        <v>0</v>
      </c>
      <c r="P9">
        <f>'收入支出明细表（基础数据表）'!AC21</f>
        <v>0</v>
      </c>
      <c r="Q9">
        <f>'收入支出明细表（基础数据表）'!AD21</f>
        <v>0</v>
      </c>
      <c r="R9">
        <f>'收入支出明细表（基础数据表）'!AE21</f>
        <v>0</v>
      </c>
      <c r="S9">
        <f>'收入支出明细表（基础数据表）'!AF21</f>
        <v>0</v>
      </c>
    </row>
    <row r="10">
      <c r="C10" t="str">
        <v>1-5 维保收入-设备及其他硬件维修服务</v>
      </c>
      <c r="D10" t="str">
        <v>收入</v>
      </c>
      <c r="F10">
        <v>0.13</v>
      </c>
      <c r="G10">
        <f>'收入支出明细表（基础数据表）'!T24</f>
        <v>0</v>
      </c>
      <c r="H10">
        <f>'收入支出明细表（基础数据表）'!U24</f>
        <v>0</v>
      </c>
      <c r="I10">
        <f>'收入支出明细表（基础数据表）'!V24</f>
        <v>0</v>
      </c>
      <c r="J10">
        <f>'收入支出明细表（基础数据表）'!W24</f>
        <v>0</v>
      </c>
      <c r="K10">
        <f>'收入支出明细表（基础数据表）'!X24</f>
        <v>0</v>
      </c>
      <c r="L10">
        <f>'收入支出明细表（基础数据表）'!Y24</f>
        <v>0</v>
      </c>
      <c r="M10">
        <f>'收入支出明细表（基础数据表）'!Z24</f>
        <v>0</v>
      </c>
      <c r="N10">
        <f>'收入支出明细表（基础数据表）'!AA24</f>
        <v>0</v>
      </c>
      <c r="O10">
        <f>'收入支出明细表（基础数据表）'!AB24</f>
        <v>0</v>
      </c>
      <c r="P10">
        <f>'收入支出明细表（基础数据表）'!AC24</f>
        <v>0</v>
      </c>
      <c r="Q10">
        <f>'收入支出明细表（基础数据表）'!AD24</f>
        <v>0</v>
      </c>
      <c r="R10">
        <f>'收入支出明细表（基础数据表）'!AE24</f>
        <v>0</v>
      </c>
      <c r="S10">
        <f>'收入支出明细表（基础数据表）'!AF24</f>
        <v>0</v>
      </c>
    </row>
    <row r="11">
      <c r="C11" t="str">
        <v>2、商品销售收入</v>
      </c>
      <c r="D11" t="str">
        <v>收入</v>
      </c>
      <c r="F11">
        <v>0.13</v>
      </c>
      <c r="G11">
        <f>'收入支出明细表（基础数据表）'!T27</f>
        <v>0</v>
      </c>
      <c r="H11">
        <f>'收入支出明细表（基础数据表）'!U27</f>
        <v>0</v>
      </c>
      <c r="I11">
        <f>'收入支出明细表（基础数据表）'!V27</f>
        <v>0</v>
      </c>
      <c r="J11">
        <f>'收入支出明细表（基础数据表）'!W27</f>
        <v>0</v>
      </c>
      <c r="K11">
        <f>'收入支出明细表（基础数据表）'!X27</f>
        <v>0</v>
      </c>
      <c r="L11">
        <f>'收入支出明细表（基础数据表）'!Y27</f>
        <v>0</v>
      </c>
      <c r="M11">
        <f>'收入支出明细表（基础数据表）'!Z27</f>
        <v>0</v>
      </c>
      <c r="N11">
        <f>'收入支出明细表（基础数据表）'!AA27</f>
        <v>0</v>
      </c>
      <c r="O11">
        <f>'收入支出明细表（基础数据表）'!AB27</f>
        <v>0</v>
      </c>
      <c r="P11">
        <f>'收入支出明细表（基础数据表）'!AC27</f>
        <v>0</v>
      </c>
      <c r="Q11">
        <f>'收入支出明细表（基础数据表）'!AD27</f>
        <v>0</v>
      </c>
      <c r="R11">
        <f>'收入支出明细表（基础数据表）'!AE27</f>
        <v>0</v>
      </c>
      <c r="S11">
        <f>'收入支出明细表（基础数据表）'!AF27</f>
        <v>0</v>
      </c>
    </row>
    <row r="12">
      <c r="C12" t="str">
        <v>3、ICT设备/终端租赁收入</v>
      </c>
      <c r="D12" t="str">
        <v>收入</v>
      </c>
      <c r="F12">
        <v>0.13</v>
      </c>
      <c r="G12">
        <f>'收入支出明细表（基础数据表）'!T30</f>
        <v>0</v>
      </c>
      <c r="H12">
        <f>'收入支出明细表（基础数据表）'!U30</f>
        <v>0</v>
      </c>
      <c r="I12">
        <f>'收入支出明细表（基础数据表）'!V30</f>
        <v>0</v>
      </c>
      <c r="J12">
        <f>'收入支出明细表（基础数据表）'!W30</f>
        <v>0</v>
      </c>
      <c r="K12">
        <f>'收入支出明细表（基础数据表）'!X30</f>
        <v>0</v>
      </c>
      <c r="L12">
        <f>'收入支出明细表（基础数据表）'!Y30</f>
        <v>0</v>
      </c>
      <c r="M12">
        <f>'收入支出明细表（基础数据表）'!Z30</f>
        <v>0</v>
      </c>
      <c r="N12">
        <f>'收入支出明细表（基础数据表）'!AA30</f>
        <v>0</v>
      </c>
      <c r="O12">
        <f>'收入支出明细表（基础数据表）'!AB30</f>
        <v>0</v>
      </c>
      <c r="P12">
        <f>'收入支出明细表（基础数据表）'!AC30</f>
        <v>0</v>
      </c>
      <c r="Q12">
        <f>'收入支出明细表（基础数据表）'!AD30</f>
        <v>0</v>
      </c>
      <c r="R12">
        <f>'收入支出明细表（基础数据表）'!AE30</f>
        <v>0</v>
      </c>
      <c r="S12">
        <f>'收入支出明细表（基础数据表）'!AF30</f>
        <v>0</v>
      </c>
    </row>
    <row r="13">
      <c r="C13" t="str">
        <v>4、ICT设备/终端转租收入</v>
      </c>
      <c r="D13" t="str">
        <v>收入</v>
      </c>
      <c r="F13">
        <v>0.13</v>
      </c>
      <c r="G13">
        <f>'收入支出明细表（基础数据表）'!T33</f>
        <v>0</v>
      </c>
      <c r="H13">
        <f>'收入支出明细表（基础数据表）'!U33</f>
        <v>0</v>
      </c>
      <c r="I13">
        <f>'收入支出明细表（基础数据表）'!V33</f>
        <v>0</v>
      </c>
      <c r="J13">
        <f>'收入支出明细表（基础数据表）'!W33</f>
        <v>0</v>
      </c>
      <c r="K13">
        <f>'收入支出明细表（基础数据表）'!X33</f>
        <v>0</v>
      </c>
      <c r="L13">
        <f>'收入支出明细表（基础数据表）'!Y33</f>
        <v>0</v>
      </c>
      <c r="M13">
        <f>'收入支出明细表（基础数据表）'!Z33</f>
        <v>0</v>
      </c>
      <c r="N13">
        <f>'收入支出明细表（基础数据表）'!AA33</f>
        <v>0</v>
      </c>
      <c r="O13">
        <f>'收入支出明细表（基础数据表）'!AB33</f>
        <v>0</v>
      </c>
      <c r="P13">
        <f>'收入支出明细表（基础数据表）'!AC33</f>
        <v>0</v>
      </c>
      <c r="Q13">
        <f>'收入支出明细表（基础数据表）'!AD33</f>
        <v>0</v>
      </c>
      <c r="R13">
        <f>'收入支出明细表（基础数据表）'!AE33</f>
        <v>0</v>
      </c>
      <c r="S13">
        <f>'收入支出明细表（基础数据表）'!AF33</f>
        <v>0</v>
      </c>
    </row>
    <row r="14">
      <c r="C14" t="str">
        <v>5、工程建设与服务收入</v>
      </c>
      <c r="D14" t="str">
        <v>收入</v>
      </c>
      <c r="F14">
        <v>0.09</v>
      </c>
      <c r="G14">
        <f>'收入支出明细表（基础数据表）'!T36</f>
        <v>0</v>
      </c>
      <c r="H14">
        <f>'收入支出明细表（基础数据表）'!U36</f>
        <v>0</v>
      </c>
      <c r="I14">
        <f>'收入支出明细表（基础数据表）'!V36</f>
        <v>0</v>
      </c>
      <c r="J14">
        <f>'收入支出明细表（基础数据表）'!W36</f>
        <v>0</v>
      </c>
      <c r="K14">
        <f>'收入支出明细表（基础数据表）'!X36</f>
        <v>0</v>
      </c>
      <c r="L14">
        <f>'收入支出明细表（基础数据表）'!Y36</f>
        <v>0</v>
      </c>
      <c r="M14">
        <f>'收入支出明细表（基础数据表）'!Z36</f>
        <v>0</v>
      </c>
      <c r="N14">
        <f>'收入支出明细表（基础数据表）'!AA36</f>
        <v>0</v>
      </c>
      <c r="O14">
        <f>'收入支出明细表（基础数据表）'!AB36</f>
        <v>0</v>
      </c>
      <c r="P14">
        <f>'收入支出明细表（基础数据表）'!AC36</f>
        <v>0</v>
      </c>
      <c r="Q14">
        <f>'收入支出明细表（基础数据表）'!AD36</f>
        <v>0</v>
      </c>
      <c r="R14">
        <f>'收入支出明细表（基础数据表）'!AE36</f>
        <v>0</v>
      </c>
      <c r="S14">
        <f>'收入支出明细表（基础数据表）'!AF36</f>
        <v>0</v>
      </c>
    </row>
    <row r="15">
      <c r="C15" t="str">
        <v xml:space="preserve">        ……</v>
      </c>
      <c r="G15">
        <f>'收入支出明细表（基础数据表）'!T39</f>
        <v>0</v>
      </c>
      <c r="H15">
        <f>'收入支出明细表（基础数据表）'!U39</f>
        <v>0</v>
      </c>
      <c r="I15">
        <f>'收入支出明细表（基础数据表）'!V39</f>
        <v>0</v>
      </c>
      <c r="J15">
        <f>'收入支出明细表（基础数据表）'!W39</f>
        <v>0</v>
      </c>
      <c r="K15">
        <f>'收入支出明细表（基础数据表）'!X39</f>
        <v>0</v>
      </c>
      <c r="L15">
        <f>'收入支出明细表（基础数据表）'!Y39</f>
        <v>0</v>
      </c>
      <c r="M15">
        <f>'收入支出明细表（基础数据表）'!Z39</f>
        <v>0</v>
      </c>
      <c r="N15">
        <f>'收入支出明细表（基础数据表）'!AA39</f>
        <v>0</v>
      </c>
      <c r="O15">
        <f>'收入支出明细表（基础数据表）'!AB39</f>
        <v>0</v>
      </c>
      <c r="P15">
        <f>'收入支出明细表（基础数据表）'!AC39</f>
        <v>0</v>
      </c>
      <c r="Q15">
        <f>'收入支出明细表（基础数据表）'!AD39</f>
        <v>0</v>
      </c>
      <c r="R15">
        <f>'收入支出明细表（基础数据表）'!AE39</f>
        <v>0</v>
      </c>
      <c r="S15">
        <f>'收入支出明细表（基础数据表）'!AF39</f>
        <v>0</v>
      </c>
    </row>
    <row r="16">
      <c r="B16" t="str">
        <v>CT类收入</v>
      </c>
      <c r="C16" t="str">
        <v>CT类收入合计</v>
      </c>
      <c r="D16" t="str">
        <v>收入</v>
      </c>
      <c r="G16">
        <f>'收入支出明细表（基础数据表）'!T40</f>
        <v>0</v>
      </c>
      <c r="H16">
        <f>'收入支出明细表（基础数据表）'!U40</f>
        <v>0</v>
      </c>
      <c r="I16">
        <f>'收入支出明细表（基础数据表）'!V40</f>
        <v>0</v>
      </c>
      <c r="J16">
        <f>'收入支出明细表（基础数据表）'!W40</f>
        <v>0</v>
      </c>
      <c r="K16">
        <f>'收入支出明细表（基础数据表）'!X40</f>
        <v>0</v>
      </c>
      <c r="L16">
        <f>'收入支出明细表（基础数据表）'!Y40</f>
        <v>0</v>
      </c>
      <c r="M16">
        <f>'收入支出明细表（基础数据表）'!Z40</f>
        <v>0</v>
      </c>
      <c r="N16">
        <f>'收入支出明细表（基础数据表）'!AA40</f>
        <v>0</v>
      </c>
      <c r="O16">
        <f>'收入支出明细表（基础数据表）'!AB40</f>
        <v>0</v>
      </c>
      <c r="P16">
        <f>'收入支出明细表（基础数据表）'!AC40</f>
        <v>0</v>
      </c>
      <c r="Q16">
        <f>'收入支出明细表（基础数据表）'!AD40</f>
        <v>0</v>
      </c>
      <c r="R16">
        <f>'收入支出明细表（基础数据表）'!AE40</f>
        <v>0</v>
      </c>
      <c r="S16">
        <f>'收入支出明细表（基础数据表）'!AF40</f>
        <v>0</v>
      </c>
    </row>
    <row r="17">
      <c r="C17" t="str">
        <v>1、通信业务收入（基础电信服务）</v>
      </c>
      <c r="D17" t="str">
        <v>收入</v>
      </c>
      <c r="G17">
        <f>'收入支出明细表（基础数据表）'!T43</f>
        <v>0</v>
      </c>
      <c r="H17">
        <f>'收入支出明细表（基础数据表）'!U43</f>
        <v>0</v>
      </c>
      <c r="I17">
        <f>'收入支出明细表（基础数据表）'!V43</f>
        <v>0</v>
      </c>
      <c r="J17">
        <f>'收入支出明细表（基础数据表）'!W43</f>
        <v>0</v>
      </c>
      <c r="K17">
        <f>'收入支出明细表（基础数据表）'!X43</f>
        <v>0</v>
      </c>
      <c r="L17">
        <f>'收入支出明细表（基础数据表）'!Y43</f>
        <v>0</v>
      </c>
      <c r="M17">
        <f>'收入支出明细表（基础数据表）'!Z43</f>
        <v>0</v>
      </c>
      <c r="N17">
        <f>'收入支出明细表（基础数据表）'!AA43</f>
        <v>0</v>
      </c>
      <c r="O17">
        <f>'收入支出明细表（基础数据表）'!AB43</f>
        <v>0</v>
      </c>
      <c r="P17">
        <f>'收入支出明细表（基础数据表）'!AC43</f>
        <v>0</v>
      </c>
      <c r="Q17">
        <f>'收入支出明细表（基础数据表）'!AD43</f>
        <v>0</v>
      </c>
      <c r="R17">
        <f>'收入支出明细表（基础数据表）'!AE43</f>
        <v>0</v>
      </c>
      <c r="S17">
        <f>'收入支出明细表（基础数据表）'!AF43</f>
        <v>0</v>
      </c>
    </row>
    <row r="18">
      <c r="C18" t="str">
        <v xml:space="preserve">        语音</v>
      </c>
      <c r="D18" t="str">
        <v>收入</v>
      </c>
      <c r="F18">
        <v>0.09</v>
      </c>
      <c r="G18">
        <f>'收入支出明细表（基础数据表）'!T46</f>
        <v>0</v>
      </c>
      <c r="H18">
        <f>'收入支出明细表（基础数据表）'!U46</f>
        <v>0</v>
      </c>
      <c r="I18">
        <f>'收入支出明细表（基础数据表）'!V46</f>
        <v>0</v>
      </c>
      <c r="J18">
        <f>'收入支出明细表（基础数据表）'!W46</f>
        <v>0</v>
      </c>
      <c r="K18">
        <f>'收入支出明细表（基础数据表）'!X46</f>
        <v>0</v>
      </c>
      <c r="L18">
        <f>'收入支出明细表（基础数据表）'!Y46</f>
        <v>0</v>
      </c>
      <c r="M18">
        <f>'收入支出明细表（基础数据表）'!Z46</f>
        <v>0</v>
      </c>
      <c r="N18">
        <f>'收入支出明细表（基础数据表）'!AA46</f>
        <v>0</v>
      </c>
      <c r="O18">
        <f>'收入支出明细表（基础数据表）'!AB46</f>
        <v>0</v>
      </c>
      <c r="P18">
        <f>'收入支出明细表（基础数据表）'!AC46</f>
        <v>0</v>
      </c>
      <c r="Q18">
        <f>'收入支出明细表（基础数据表）'!AD46</f>
        <v>0</v>
      </c>
      <c r="R18">
        <f>'收入支出明细表（基础数据表）'!AE46</f>
        <v>0</v>
      </c>
      <c r="S18">
        <f>'收入支出明细表（基础数据表）'!AF46</f>
        <v>0</v>
      </c>
    </row>
    <row r="19">
      <c r="C19" t="str">
        <v xml:space="preserve">        数据专线</v>
      </c>
      <c r="D19" t="str">
        <v>收入</v>
      </c>
      <c r="F19">
        <v>0.09</v>
      </c>
      <c r="G19">
        <f>'收入支出明细表（基础数据表）'!T49</f>
        <v>0</v>
      </c>
      <c r="H19">
        <f>'收入支出明细表（基础数据表）'!U49</f>
        <v>0</v>
      </c>
      <c r="I19">
        <f>'收入支出明细表（基础数据表）'!V49</f>
        <v>0</v>
      </c>
      <c r="J19">
        <f>'收入支出明细表（基础数据表）'!W49</f>
        <v>0</v>
      </c>
      <c r="K19">
        <f>'收入支出明细表（基础数据表）'!X49</f>
        <v>0</v>
      </c>
      <c r="L19">
        <f>'收入支出明细表（基础数据表）'!Y49</f>
        <v>0</v>
      </c>
      <c r="M19">
        <f>'收入支出明细表（基础数据表）'!Z49</f>
        <v>0</v>
      </c>
      <c r="N19">
        <f>'收入支出明细表（基础数据表）'!AA49</f>
        <v>0</v>
      </c>
      <c r="O19">
        <f>'收入支出明细表（基础数据表）'!AB49</f>
        <v>0</v>
      </c>
      <c r="P19">
        <f>'收入支出明细表（基础数据表）'!AC49</f>
        <v>0</v>
      </c>
      <c r="Q19">
        <f>'收入支出明细表（基础数据表）'!AD49</f>
        <v>0</v>
      </c>
      <c r="R19">
        <f>'收入支出明细表（基础数据表）'!AE49</f>
        <v>0</v>
      </c>
      <c r="S19">
        <f>'收入支出明细表（基础数据表）'!AF49</f>
        <v>0</v>
      </c>
    </row>
    <row r="20">
      <c r="C20" t="str">
        <v xml:space="preserve">        IMS固话</v>
      </c>
      <c r="D20" t="str">
        <v>收入</v>
      </c>
      <c r="F20">
        <v>0.09</v>
      </c>
      <c r="G20">
        <f>'收入支出明细表（基础数据表）'!T52</f>
        <v>0</v>
      </c>
      <c r="H20">
        <f>'收入支出明细表（基础数据表）'!U52</f>
        <v>0</v>
      </c>
      <c r="I20">
        <f>'收入支出明细表（基础数据表）'!V52</f>
        <v>0</v>
      </c>
      <c r="J20">
        <f>'收入支出明细表（基础数据表）'!W52</f>
        <v>0</v>
      </c>
      <c r="K20">
        <f>'收入支出明细表（基础数据表）'!X52</f>
        <v>0</v>
      </c>
      <c r="L20">
        <f>'收入支出明细表（基础数据表）'!Y52</f>
        <v>0</v>
      </c>
      <c r="M20">
        <f>'收入支出明细表（基础数据表）'!Z52</f>
        <v>0</v>
      </c>
      <c r="N20">
        <f>'收入支出明细表（基础数据表）'!AA52</f>
        <v>0</v>
      </c>
      <c r="O20">
        <f>'收入支出明细表（基础数据表）'!AB52</f>
        <v>0</v>
      </c>
      <c r="P20">
        <f>'收入支出明细表（基础数据表）'!AC52</f>
        <v>0</v>
      </c>
      <c r="Q20">
        <f>'收入支出明细表（基础数据表）'!AD52</f>
        <v>0</v>
      </c>
      <c r="R20">
        <f>'收入支出明细表（基础数据表）'!AE52</f>
        <v>0</v>
      </c>
      <c r="S20">
        <f>'收入支出明细表（基础数据表）'!AF52</f>
        <v>0</v>
      </c>
    </row>
    <row r="21">
      <c r="C21" t="str">
        <v xml:space="preserve">        语音专线</v>
      </c>
      <c r="D21" t="str">
        <v>收入</v>
      </c>
      <c r="F21">
        <v>0.09</v>
      </c>
      <c r="G21">
        <f>'收入支出明细表（基础数据表）'!T55</f>
        <v>0</v>
      </c>
      <c r="H21">
        <f>'收入支出明细表（基础数据表）'!U55</f>
        <v>0</v>
      </c>
      <c r="I21">
        <f>'收入支出明细表（基础数据表）'!V55</f>
        <v>0</v>
      </c>
      <c r="J21">
        <f>'收入支出明细表（基础数据表）'!W55</f>
        <v>0</v>
      </c>
      <c r="K21">
        <f>'收入支出明细表（基础数据表）'!X55</f>
        <v>0</v>
      </c>
      <c r="L21">
        <f>'收入支出明细表（基础数据表）'!Y55</f>
        <v>0</v>
      </c>
      <c r="M21">
        <f>'收入支出明细表（基础数据表）'!Z55</f>
        <v>0</v>
      </c>
      <c r="N21">
        <f>'收入支出明细表（基础数据表）'!AA55</f>
        <v>0</v>
      </c>
      <c r="O21">
        <f>'收入支出明细表（基础数据表）'!AB55</f>
        <v>0</v>
      </c>
      <c r="P21">
        <f>'收入支出明细表（基础数据表）'!AC55</f>
        <v>0</v>
      </c>
      <c r="Q21">
        <f>'收入支出明细表（基础数据表）'!AD55</f>
        <v>0</v>
      </c>
      <c r="R21">
        <f>'收入支出明细表（基础数据表）'!AE55</f>
        <v>0</v>
      </c>
      <c r="S21">
        <f>'收入支出明细表（基础数据表）'!AF55</f>
        <v>0</v>
      </c>
    </row>
    <row r="22">
      <c r="C22" t="str">
        <v xml:space="preserve">        ……</v>
      </c>
      <c r="G22">
        <f>'收入支出明细表（基础数据表）'!T58</f>
        <v>0</v>
      </c>
      <c r="H22">
        <f>'收入支出明细表（基础数据表）'!U58</f>
        <v>0</v>
      </c>
      <c r="I22">
        <f>'收入支出明细表（基础数据表）'!V58</f>
        <v>0</v>
      </c>
      <c r="J22">
        <f>'收入支出明细表（基础数据表）'!W58</f>
        <v>0</v>
      </c>
      <c r="K22">
        <f>'收入支出明细表（基础数据表）'!X58</f>
        <v>0</v>
      </c>
      <c r="L22">
        <f>'收入支出明细表（基础数据表）'!Y58</f>
        <v>0</v>
      </c>
      <c r="M22">
        <f>'收入支出明细表（基础数据表）'!Z58</f>
        <v>0</v>
      </c>
      <c r="N22">
        <f>'收入支出明细表（基础数据表）'!AA58</f>
        <v>0</v>
      </c>
      <c r="O22">
        <f>'收入支出明细表（基础数据表）'!AB58</f>
        <v>0</v>
      </c>
      <c r="P22">
        <f>'收入支出明细表（基础数据表）'!AC58</f>
        <v>0</v>
      </c>
      <c r="Q22">
        <f>'收入支出明细表（基础数据表）'!AD58</f>
        <v>0</v>
      </c>
      <c r="R22">
        <f>'收入支出明细表（基础数据表）'!AE58</f>
        <v>0</v>
      </c>
      <c r="S22">
        <f>'收入支出明细表（基础数据表）'!AF58</f>
        <v>0</v>
      </c>
    </row>
    <row r="23">
      <c r="G23">
        <f>'收入支出明细表（基础数据表）'!T59</f>
        <v>0</v>
      </c>
      <c r="H23">
        <f>'收入支出明细表（基础数据表）'!U59</f>
        <v>0</v>
      </c>
      <c r="I23">
        <f>'收入支出明细表（基础数据表）'!V59</f>
        <v>0</v>
      </c>
      <c r="J23">
        <f>'收入支出明细表（基础数据表）'!W59</f>
        <v>0</v>
      </c>
      <c r="K23">
        <f>'收入支出明细表（基础数据表）'!X59</f>
        <v>0</v>
      </c>
      <c r="L23">
        <f>'收入支出明细表（基础数据表）'!Y59</f>
        <v>0</v>
      </c>
      <c r="M23">
        <f>'收入支出明细表（基础数据表）'!Z59</f>
        <v>0</v>
      </c>
      <c r="N23">
        <f>'收入支出明细表（基础数据表）'!AA59</f>
        <v>0</v>
      </c>
      <c r="O23">
        <f>'收入支出明细表（基础数据表）'!AB59</f>
        <v>0</v>
      </c>
      <c r="P23">
        <f>'收入支出明细表（基础数据表）'!AC59</f>
        <v>0</v>
      </c>
      <c r="Q23">
        <f>'收入支出明细表（基础数据表）'!AD59</f>
        <v>0</v>
      </c>
      <c r="R23">
        <f>'收入支出明细表（基础数据表）'!AE59</f>
        <v>0</v>
      </c>
      <c r="S23">
        <f>'收入支出明细表（基础数据表）'!AF59</f>
        <v>0</v>
      </c>
    </row>
    <row r="24">
      <c r="G24">
        <f>'收入支出明细表（基础数据表）'!T60</f>
        <v>0</v>
      </c>
      <c r="H24">
        <f>'收入支出明细表（基础数据表）'!U60</f>
        <v>0</v>
      </c>
      <c r="I24">
        <f>'收入支出明细表（基础数据表）'!V60</f>
        <v>0</v>
      </c>
      <c r="J24">
        <f>'收入支出明细表（基础数据表）'!W60</f>
        <v>0</v>
      </c>
      <c r="K24">
        <f>'收入支出明细表（基础数据表）'!X60</f>
        <v>0</v>
      </c>
      <c r="L24">
        <f>'收入支出明细表（基础数据表）'!Y60</f>
        <v>0</v>
      </c>
      <c r="M24">
        <f>'收入支出明细表（基础数据表）'!Z60</f>
        <v>0</v>
      </c>
      <c r="N24">
        <f>'收入支出明细表（基础数据表）'!AA60</f>
        <v>0</v>
      </c>
      <c r="O24">
        <f>'收入支出明细表（基础数据表）'!AB60</f>
        <v>0</v>
      </c>
      <c r="P24">
        <f>'收入支出明细表（基础数据表）'!AC60</f>
        <v>0</v>
      </c>
      <c r="Q24">
        <f>'收入支出明细表（基础数据表）'!AD60</f>
        <v>0</v>
      </c>
      <c r="R24">
        <f>'收入支出明细表（基础数据表）'!AE60</f>
        <v>0</v>
      </c>
      <c r="S24">
        <f>'收入支出明细表（基础数据表）'!AF60</f>
        <v>0</v>
      </c>
    </row>
    <row r="25">
      <c r="C25" t="str">
        <v>2、通信业务收入（增值电信服务）</v>
      </c>
      <c r="D25" t="str">
        <v>收入</v>
      </c>
      <c r="G25">
        <f>'收入支出明细表（基础数据表）'!T61</f>
        <v>0</v>
      </c>
      <c r="H25">
        <f>'收入支出明细表（基础数据表）'!U61</f>
        <v>0</v>
      </c>
      <c r="I25">
        <f>'收入支出明细表（基础数据表）'!V61</f>
        <v>0</v>
      </c>
      <c r="J25">
        <f>'收入支出明细表（基础数据表）'!W61</f>
        <v>0</v>
      </c>
      <c r="K25">
        <f>'收入支出明细表（基础数据表）'!X61</f>
        <v>0</v>
      </c>
      <c r="L25">
        <f>'收入支出明细表（基础数据表）'!Y61</f>
        <v>0</v>
      </c>
      <c r="M25">
        <f>'收入支出明细表（基础数据表）'!Z61</f>
        <v>0</v>
      </c>
      <c r="N25">
        <f>'收入支出明细表（基础数据表）'!AA61</f>
        <v>0</v>
      </c>
      <c r="O25">
        <f>'收入支出明细表（基础数据表）'!AB61</f>
        <v>0</v>
      </c>
      <c r="P25">
        <f>'收入支出明细表（基础数据表）'!AC61</f>
        <v>0</v>
      </c>
      <c r="Q25">
        <f>'收入支出明细表（基础数据表）'!AD61</f>
        <v>0</v>
      </c>
      <c r="R25">
        <f>'收入支出明细表（基础数据表）'!AE61</f>
        <v>0</v>
      </c>
      <c r="S25">
        <f>'收入支出明细表（基础数据表）'!AF61</f>
        <v>0</v>
      </c>
    </row>
    <row r="26">
      <c r="C26" t="str">
        <v xml:space="preserve">        短信</v>
      </c>
      <c r="D26" t="str">
        <v>收入</v>
      </c>
      <c r="F26">
        <v>0.06</v>
      </c>
      <c r="G26">
        <f>'收入支出明细表（基础数据表）'!T64</f>
        <v>0</v>
      </c>
      <c r="H26">
        <f>'收入支出明细表（基础数据表）'!U64</f>
        <v>0</v>
      </c>
      <c r="I26">
        <f>'收入支出明细表（基础数据表）'!V64</f>
        <v>0</v>
      </c>
      <c r="J26">
        <f>'收入支出明细表（基础数据表）'!W64</f>
        <v>0</v>
      </c>
      <c r="K26">
        <f>'收入支出明细表（基础数据表）'!X64</f>
        <v>0</v>
      </c>
      <c r="L26">
        <f>'收入支出明细表（基础数据表）'!Y64</f>
        <v>0</v>
      </c>
      <c r="M26">
        <f>'收入支出明细表（基础数据表）'!Z64</f>
        <v>0</v>
      </c>
      <c r="N26">
        <f>'收入支出明细表（基础数据表）'!AA64</f>
        <v>0</v>
      </c>
      <c r="O26">
        <f>'收入支出明细表（基础数据表）'!AB64</f>
        <v>0</v>
      </c>
      <c r="P26">
        <f>'收入支出明细表（基础数据表）'!AC64</f>
        <v>0</v>
      </c>
      <c r="Q26">
        <f>'收入支出明细表（基础数据表）'!AD64</f>
        <v>0</v>
      </c>
      <c r="R26">
        <f>'收入支出明细表（基础数据表）'!AE64</f>
        <v>0</v>
      </c>
      <c r="S26">
        <f>'收入支出明细表（基础数据表）'!AF64</f>
        <v>0</v>
      </c>
    </row>
    <row r="27">
      <c r="C27" t="str">
        <v xml:space="preserve">        数据流量</v>
      </c>
      <c r="D27" t="str">
        <v>收入</v>
      </c>
      <c r="F27">
        <v>0.06</v>
      </c>
      <c r="G27">
        <f>'收入支出明细表（基础数据表）'!T67</f>
        <v>0</v>
      </c>
      <c r="H27">
        <f>'收入支出明细表（基础数据表）'!U67</f>
        <v>0</v>
      </c>
      <c r="I27">
        <f>'收入支出明细表（基础数据表）'!V67</f>
        <v>0</v>
      </c>
      <c r="J27">
        <f>'收入支出明细表（基础数据表）'!W67</f>
        <v>0</v>
      </c>
      <c r="K27">
        <f>'收入支出明细表（基础数据表）'!X67</f>
        <v>0</v>
      </c>
      <c r="L27">
        <f>'收入支出明细表（基础数据表）'!Y67</f>
        <v>0</v>
      </c>
      <c r="M27">
        <f>'收入支出明细表（基础数据表）'!Z67</f>
        <v>0</v>
      </c>
      <c r="N27">
        <f>'收入支出明细表（基础数据表）'!AA67</f>
        <v>0</v>
      </c>
      <c r="O27">
        <f>'收入支出明细表（基础数据表）'!AB67</f>
        <v>0</v>
      </c>
      <c r="P27">
        <f>'收入支出明细表（基础数据表）'!AC67</f>
        <v>0</v>
      </c>
      <c r="Q27">
        <f>'收入支出明细表（基础数据表）'!AD67</f>
        <v>0</v>
      </c>
      <c r="R27">
        <f>'收入支出明细表（基础数据表）'!AE67</f>
        <v>0</v>
      </c>
      <c r="S27">
        <f>'收入支出明细表（基础数据表）'!AF67</f>
        <v>0</v>
      </c>
    </row>
    <row r="28">
      <c r="C28" t="str">
        <v xml:space="preserve">        企业宽带</v>
      </c>
      <c r="D28" t="str">
        <v>收入</v>
      </c>
      <c r="F28">
        <v>0.06</v>
      </c>
      <c r="G28">
        <f>'收入支出明细表（基础数据表）'!T70</f>
        <v>0</v>
      </c>
      <c r="H28">
        <f>'收入支出明细表（基础数据表）'!U70</f>
        <v>0</v>
      </c>
      <c r="I28">
        <f>'收入支出明细表（基础数据表）'!V70</f>
        <v>0</v>
      </c>
      <c r="J28">
        <f>'收入支出明细表（基础数据表）'!W70</f>
        <v>0</v>
      </c>
      <c r="K28">
        <f>'收入支出明细表（基础数据表）'!X70</f>
        <v>0</v>
      </c>
      <c r="L28">
        <f>'收入支出明细表（基础数据表）'!Y70</f>
        <v>0</v>
      </c>
      <c r="M28">
        <f>'收入支出明细表（基础数据表）'!Z70</f>
        <v>0</v>
      </c>
      <c r="N28">
        <f>'收入支出明细表（基础数据表）'!AA70</f>
        <v>0</v>
      </c>
      <c r="O28">
        <f>'收入支出明细表（基础数据表）'!AB70</f>
        <v>0</v>
      </c>
      <c r="P28">
        <f>'收入支出明细表（基础数据表）'!AC70</f>
        <v>0</v>
      </c>
      <c r="Q28">
        <f>'收入支出明细表（基础数据表）'!AD70</f>
        <v>0</v>
      </c>
      <c r="R28">
        <f>'收入支出明细表（基础数据表）'!AE70</f>
        <v>0</v>
      </c>
      <c r="S28">
        <f>'收入支出明细表（基础数据表）'!AF70</f>
        <v>0</v>
      </c>
    </row>
    <row r="29">
      <c r="C29" t="str">
        <v xml:space="preserve">        互联网专线</v>
      </c>
      <c r="D29" t="str">
        <v>收入</v>
      </c>
      <c r="F29">
        <v>0.06</v>
      </c>
      <c r="G29">
        <f>'收入支出明细表（基础数据表）'!T73</f>
        <v>0</v>
      </c>
      <c r="H29">
        <f>'收入支出明细表（基础数据表）'!U73</f>
        <v>0</v>
      </c>
      <c r="I29">
        <f>'收入支出明细表（基础数据表）'!V73</f>
        <v>0</v>
      </c>
      <c r="J29">
        <f>'收入支出明细表（基础数据表）'!W73</f>
        <v>0</v>
      </c>
      <c r="K29">
        <f>'收入支出明细表（基础数据表）'!X73</f>
        <v>0</v>
      </c>
      <c r="L29">
        <f>'收入支出明细表（基础数据表）'!Y73</f>
        <v>0</v>
      </c>
      <c r="M29">
        <f>'收入支出明细表（基础数据表）'!Z73</f>
        <v>0</v>
      </c>
      <c r="N29">
        <f>'收入支出明细表（基础数据表）'!AA73</f>
        <v>0</v>
      </c>
      <c r="O29">
        <f>'收入支出明细表（基础数据表）'!AB73</f>
        <v>0</v>
      </c>
      <c r="P29">
        <f>'收入支出明细表（基础数据表）'!AC73</f>
        <v>0</v>
      </c>
      <c r="Q29">
        <f>'收入支出明细表（基础数据表）'!AD73</f>
        <v>0</v>
      </c>
      <c r="R29">
        <f>'收入支出明细表（基础数据表）'!AE73</f>
        <v>0</v>
      </c>
      <c r="S29">
        <f>'收入支出明细表（基础数据表）'!AF73</f>
        <v>0</v>
      </c>
    </row>
    <row r="30">
      <c r="C30" t="str">
        <v xml:space="preserve">        云计算</v>
      </c>
      <c r="D30" t="str">
        <v>收入</v>
      </c>
      <c r="F30">
        <v>0.06</v>
      </c>
      <c r="G30">
        <f>'收入支出明细表（基础数据表）'!T76</f>
        <v>0</v>
      </c>
      <c r="H30">
        <f>'收入支出明细表（基础数据表）'!U76</f>
        <v>0</v>
      </c>
      <c r="I30">
        <f>'收入支出明细表（基础数据表）'!V76</f>
        <v>0</v>
      </c>
      <c r="J30">
        <f>'收入支出明细表（基础数据表）'!W76</f>
        <v>0</v>
      </c>
      <c r="K30">
        <f>'收入支出明细表（基础数据表）'!X76</f>
        <v>0</v>
      </c>
      <c r="L30">
        <f>'收入支出明细表（基础数据表）'!Y76</f>
        <v>0</v>
      </c>
      <c r="M30">
        <f>'收入支出明细表（基础数据表）'!Z76</f>
        <v>0</v>
      </c>
      <c r="N30">
        <f>'收入支出明细表（基础数据表）'!AA76</f>
        <v>0</v>
      </c>
      <c r="O30">
        <f>'收入支出明细表（基础数据表）'!AB76</f>
        <v>0</v>
      </c>
      <c r="P30">
        <f>'收入支出明细表（基础数据表）'!AC76</f>
        <v>0</v>
      </c>
      <c r="Q30">
        <f>'收入支出明细表（基础数据表）'!AD76</f>
        <v>0</v>
      </c>
      <c r="R30">
        <f>'收入支出明细表（基础数据表）'!AE76</f>
        <v>0</v>
      </c>
      <c r="S30">
        <f>'收入支出明细表（基础数据表）'!AF76</f>
        <v>0</v>
      </c>
    </row>
    <row r="31">
      <c r="C31" t="str">
        <v xml:space="preserve">        大数据</v>
      </c>
      <c r="D31" t="str">
        <v>收入</v>
      </c>
      <c r="F31">
        <v>0.06</v>
      </c>
      <c r="G31">
        <f>'收入支出明细表（基础数据表）'!T79</f>
        <v>0</v>
      </c>
      <c r="H31">
        <f>'收入支出明细表（基础数据表）'!U79</f>
        <v>0</v>
      </c>
      <c r="I31">
        <f>'收入支出明细表（基础数据表）'!V79</f>
        <v>0</v>
      </c>
      <c r="J31">
        <f>'收入支出明细表（基础数据表）'!W79</f>
        <v>0</v>
      </c>
      <c r="K31">
        <f>'收入支出明细表（基础数据表）'!X79</f>
        <v>0</v>
      </c>
      <c r="L31">
        <f>'收入支出明细表（基础数据表）'!Y79</f>
        <v>0</v>
      </c>
      <c r="M31">
        <f>'收入支出明细表（基础数据表）'!Z79</f>
        <v>0</v>
      </c>
      <c r="N31">
        <f>'收入支出明细表（基础数据表）'!AA79</f>
        <v>0</v>
      </c>
      <c r="O31">
        <f>'收入支出明细表（基础数据表）'!AB79</f>
        <v>0</v>
      </c>
      <c r="P31">
        <f>'收入支出明细表（基础数据表）'!AC79</f>
        <v>0</v>
      </c>
      <c r="Q31">
        <f>'收入支出明细表（基础数据表）'!AD79</f>
        <v>0</v>
      </c>
      <c r="R31">
        <f>'收入支出明细表（基础数据表）'!AE79</f>
        <v>0</v>
      </c>
      <c r="S31">
        <f>'收入支出明细表（基础数据表）'!AF79</f>
        <v>0</v>
      </c>
    </row>
    <row r="32">
      <c r="C32" t="str">
        <v xml:space="preserve">        IDC</v>
      </c>
      <c r="D32" t="str">
        <v>收入</v>
      </c>
      <c r="F32">
        <v>0.06</v>
      </c>
      <c r="G32">
        <f>'收入支出明细表（基础数据表）'!T82</f>
        <v>0</v>
      </c>
      <c r="H32">
        <f>'收入支出明细表（基础数据表）'!U82</f>
        <v>0</v>
      </c>
      <c r="I32">
        <f>'收入支出明细表（基础数据表）'!V82</f>
        <v>0</v>
      </c>
      <c r="J32">
        <f>'收入支出明细表（基础数据表）'!W82</f>
        <v>0</v>
      </c>
      <c r="K32">
        <f>'收入支出明细表（基础数据表）'!X82</f>
        <v>0</v>
      </c>
      <c r="L32">
        <f>'收入支出明细表（基础数据表）'!Y82</f>
        <v>0</v>
      </c>
      <c r="M32">
        <f>'收入支出明细表（基础数据表）'!Z82</f>
        <v>0</v>
      </c>
      <c r="N32">
        <f>'收入支出明细表（基础数据表）'!AA82</f>
        <v>0</v>
      </c>
      <c r="O32">
        <f>'收入支出明细表（基础数据表）'!AB82</f>
        <v>0</v>
      </c>
      <c r="P32">
        <f>'收入支出明细表（基础数据表）'!AC82</f>
        <v>0</v>
      </c>
      <c r="Q32">
        <f>'收入支出明细表（基础数据表）'!AD82</f>
        <v>0</v>
      </c>
      <c r="R32">
        <f>'收入支出明细表（基础数据表）'!AE82</f>
        <v>0</v>
      </c>
      <c r="S32">
        <f>'收入支出明细表（基础数据表）'!AF82</f>
        <v>0</v>
      </c>
    </row>
    <row r="33">
      <c r="C33" t="str">
        <v xml:space="preserve">        5G专网</v>
      </c>
      <c r="D33" t="str">
        <v>收入</v>
      </c>
      <c r="F33">
        <v>0.06</v>
      </c>
      <c r="G33">
        <f>'收入支出明细表（基础数据表）'!T85</f>
        <v>0</v>
      </c>
      <c r="H33">
        <f>'收入支出明细表（基础数据表）'!U85</f>
        <v>0</v>
      </c>
      <c r="I33">
        <f>'收入支出明细表（基础数据表）'!V85</f>
        <v>0</v>
      </c>
      <c r="J33">
        <f>'收入支出明细表（基础数据表）'!W85</f>
        <v>0</v>
      </c>
      <c r="K33">
        <f>'收入支出明细表（基础数据表）'!X85</f>
        <v>0</v>
      </c>
      <c r="L33">
        <f>'收入支出明细表（基础数据表）'!Y85</f>
        <v>0</v>
      </c>
      <c r="M33">
        <f>'收入支出明细表（基础数据表）'!Z85</f>
        <v>0</v>
      </c>
      <c r="N33">
        <f>'收入支出明细表（基础数据表）'!AA85</f>
        <v>0</v>
      </c>
      <c r="O33">
        <f>'收入支出明细表（基础数据表）'!AB85</f>
        <v>0</v>
      </c>
      <c r="P33">
        <f>'收入支出明细表（基础数据表）'!AC85</f>
        <v>0</v>
      </c>
      <c r="Q33">
        <f>'收入支出明细表（基础数据表）'!AD85</f>
        <v>0</v>
      </c>
      <c r="R33">
        <f>'收入支出明细表（基础数据表）'!AE85</f>
        <v>0</v>
      </c>
      <c r="S33">
        <f>'收入支出明细表（基础数据表）'!AF85</f>
        <v>0</v>
      </c>
    </row>
    <row r="34">
      <c r="C34" t="str">
        <v xml:space="preserve">        物联网</v>
      </c>
      <c r="D34" t="str">
        <v>收入</v>
      </c>
      <c r="F34">
        <v>0.06</v>
      </c>
      <c r="G34">
        <f>'收入支出明细表（基础数据表）'!T88</f>
        <v>0</v>
      </c>
      <c r="H34">
        <f>'收入支出明细表（基础数据表）'!U88</f>
        <v>0</v>
      </c>
      <c r="I34">
        <f>'收入支出明细表（基础数据表）'!V88</f>
        <v>0</v>
      </c>
      <c r="J34">
        <f>'收入支出明细表（基础数据表）'!W88</f>
        <v>0</v>
      </c>
      <c r="K34">
        <f>'收入支出明细表（基础数据表）'!X88</f>
        <v>0</v>
      </c>
      <c r="L34">
        <f>'收入支出明细表（基础数据表）'!Y88</f>
        <v>0</v>
      </c>
      <c r="M34">
        <f>'收入支出明细表（基础数据表）'!Z88</f>
        <v>0</v>
      </c>
      <c r="N34">
        <f>'收入支出明细表（基础数据表）'!AA88</f>
        <v>0</v>
      </c>
      <c r="O34">
        <f>'收入支出明细表（基础数据表）'!AB88</f>
        <v>0</v>
      </c>
      <c r="P34">
        <f>'收入支出明细表（基础数据表）'!AC88</f>
        <v>0</v>
      </c>
      <c r="Q34">
        <f>'收入支出明细表（基础数据表）'!AD88</f>
        <v>0</v>
      </c>
      <c r="R34">
        <f>'收入支出明细表（基础数据表）'!AE88</f>
        <v>0</v>
      </c>
      <c r="S34">
        <f>'收入支出明细表（基础数据表）'!AF88</f>
        <v>0</v>
      </c>
    </row>
    <row r="35">
      <c r="C35" t="str">
        <v xml:space="preserve">        和教育</v>
      </c>
      <c r="D35" t="str">
        <v>收入</v>
      </c>
      <c r="F35">
        <v>0.06</v>
      </c>
      <c r="G35">
        <f>'收入支出明细表（基础数据表）'!T91</f>
        <v>0</v>
      </c>
      <c r="H35">
        <f>'收入支出明细表（基础数据表）'!U91</f>
        <v>0</v>
      </c>
      <c r="I35">
        <f>'收入支出明细表（基础数据表）'!V91</f>
        <v>0</v>
      </c>
      <c r="J35">
        <f>'收入支出明细表（基础数据表）'!W91</f>
        <v>0</v>
      </c>
      <c r="K35">
        <f>'收入支出明细表（基础数据表）'!X91</f>
        <v>0</v>
      </c>
      <c r="L35">
        <f>'收入支出明细表（基础数据表）'!Y91</f>
        <v>0</v>
      </c>
      <c r="M35">
        <f>'收入支出明细表（基础数据表）'!Z91</f>
        <v>0</v>
      </c>
      <c r="N35">
        <f>'收入支出明细表（基础数据表）'!AA91</f>
        <v>0</v>
      </c>
      <c r="O35">
        <f>'收入支出明细表（基础数据表）'!AB91</f>
        <v>0</v>
      </c>
      <c r="P35">
        <f>'收入支出明细表（基础数据表）'!AC91</f>
        <v>0</v>
      </c>
      <c r="Q35">
        <f>'收入支出明细表（基础数据表）'!AD91</f>
        <v>0</v>
      </c>
      <c r="R35">
        <f>'收入支出明细表（基础数据表）'!AE91</f>
        <v>0</v>
      </c>
      <c r="S35">
        <f>'收入支出明细表（基础数据表）'!AF91</f>
        <v>0</v>
      </c>
    </row>
    <row r="36">
      <c r="C36" t="str">
        <v xml:space="preserve">        ……</v>
      </c>
      <c r="G36">
        <f>'收入支出明细表（基础数据表）'!T94</f>
        <v>0</v>
      </c>
      <c r="H36">
        <f>'收入支出明细表（基础数据表）'!U94</f>
        <v>0</v>
      </c>
      <c r="I36">
        <f>'收入支出明细表（基础数据表）'!V94</f>
        <v>0</v>
      </c>
      <c r="J36">
        <f>'收入支出明细表（基础数据表）'!W94</f>
        <v>0</v>
      </c>
      <c r="K36">
        <f>'收入支出明细表（基础数据表）'!X94</f>
        <v>0</v>
      </c>
      <c r="L36">
        <f>'收入支出明细表（基础数据表）'!Y94</f>
        <v>0</v>
      </c>
      <c r="M36">
        <f>'收入支出明细表（基础数据表）'!Z94</f>
        <v>0</v>
      </c>
      <c r="N36">
        <f>'收入支出明细表（基础数据表）'!AA94</f>
        <v>0</v>
      </c>
      <c r="O36">
        <f>'收入支出明细表（基础数据表）'!AB94</f>
        <v>0</v>
      </c>
      <c r="P36">
        <f>'收入支出明细表（基础数据表）'!AC94</f>
        <v>0</v>
      </c>
      <c r="Q36">
        <f>'收入支出明细表（基础数据表）'!AD94</f>
        <v>0</v>
      </c>
      <c r="R36">
        <f>'收入支出明细表（基础数据表）'!AE94</f>
        <v>0</v>
      </c>
      <c r="S36">
        <f>'收入支出明细表（基础数据表）'!AF94</f>
        <v>0</v>
      </c>
    </row>
    <row r="37">
      <c r="G37">
        <f>'收入支出明细表（基础数据表）'!T95</f>
        <v>0</v>
      </c>
      <c r="H37">
        <f>'收入支出明细表（基础数据表）'!U95</f>
        <v>0</v>
      </c>
      <c r="I37">
        <f>'收入支出明细表（基础数据表）'!V95</f>
        <v>0</v>
      </c>
      <c r="J37">
        <f>'收入支出明细表（基础数据表）'!W95</f>
        <v>0</v>
      </c>
      <c r="K37">
        <f>'收入支出明细表（基础数据表）'!X95</f>
        <v>0</v>
      </c>
      <c r="L37">
        <f>'收入支出明细表（基础数据表）'!Y95</f>
        <v>0</v>
      </c>
      <c r="M37">
        <f>'收入支出明细表（基础数据表）'!Z95</f>
        <v>0</v>
      </c>
      <c r="N37">
        <f>'收入支出明细表（基础数据表）'!AA95</f>
        <v>0</v>
      </c>
      <c r="O37">
        <f>'收入支出明细表（基础数据表）'!AB95</f>
        <v>0</v>
      </c>
      <c r="P37">
        <f>'收入支出明细表（基础数据表）'!AC95</f>
        <v>0</v>
      </c>
      <c r="Q37">
        <f>'收入支出明细表（基础数据表）'!AD95</f>
        <v>0</v>
      </c>
      <c r="R37">
        <f>'收入支出明细表（基础数据表）'!AE95</f>
        <v>0</v>
      </c>
      <c r="S37">
        <f>'收入支出明细表（基础数据表）'!AF95</f>
        <v>0</v>
      </c>
    </row>
    <row r="38" xml:space="preserve">
      <c r="A38" t="str" xml:space="preserve">
        <v xml:space="preserve">投资支出_x000d_
（Capex）</v>
      </c>
      <c r="B38" t="str">
        <v>项目支出合计</v>
      </c>
      <c r="D38" t="str">
        <v>支出</v>
      </c>
      <c r="G38">
        <f>'收入支出明细表（基础数据表）'!T96</f>
        <v>0</v>
      </c>
      <c r="H38">
        <f>'收入支出明细表（基础数据表）'!U96</f>
        <v>0</v>
      </c>
      <c r="I38">
        <f>'收入支出明细表（基础数据表）'!V96</f>
        <v>0</v>
      </c>
      <c r="J38">
        <f>'收入支出明细表（基础数据表）'!W96</f>
        <v>0</v>
      </c>
      <c r="K38">
        <f>'收入支出明细表（基础数据表）'!X96</f>
        <v>0</v>
      </c>
      <c r="L38">
        <f>'收入支出明细表（基础数据表）'!Y96</f>
        <v>0</v>
      </c>
      <c r="M38">
        <f>'收入支出明细表（基础数据表）'!Z96</f>
        <v>0</v>
      </c>
      <c r="N38">
        <f>'收入支出明细表（基础数据表）'!AA96</f>
        <v>0</v>
      </c>
      <c r="O38">
        <f>'收入支出明细表（基础数据表）'!AB96</f>
        <v>0</v>
      </c>
      <c r="P38">
        <f>'收入支出明细表（基础数据表）'!AC96</f>
        <v>0</v>
      </c>
      <c r="Q38">
        <f>'收入支出明细表（基础数据表）'!AD96</f>
        <v>0</v>
      </c>
      <c r="R38">
        <f>'收入支出明细表（基础数据表）'!AE96</f>
        <v>0</v>
      </c>
      <c r="S38">
        <f>'收入支出明细表（基础数据表）'!AF96</f>
        <v>0</v>
      </c>
    </row>
    <row r="39">
      <c r="B39" t="str">
        <v>IT类投资</v>
      </c>
      <c r="C39" t="str">
        <v>IT类投资合计</v>
      </c>
      <c r="D39" t="str">
        <v>支出</v>
      </c>
      <c r="G39">
        <f>'收入支出明细表（基础数据表）'!T99</f>
        <v>0</v>
      </c>
      <c r="H39">
        <f>'收入支出明细表（基础数据表）'!U99</f>
        <v>0</v>
      </c>
      <c r="I39">
        <f>'收入支出明细表（基础数据表）'!V99</f>
        <v>0</v>
      </c>
      <c r="J39">
        <f>'收入支出明细表（基础数据表）'!W99</f>
        <v>0</v>
      </c>
      <c r="K39">
        <f>'收入支出明细表（基础数据表）'!X99</f>
        <v>0</v>
      </c>
      <c r="L39">
        <f>'收入支出明细表（基础数据表）'!Y99</f>
        <v>0</v>
      </c>
      <c r="M39">
        <f>'收入支出明细表（基础数据表）'!Z99</f>
        <v>0</v>
      </c>
      <c r="N39">
        <f>'收入支出明细表（基础数据表）'!AA99</f>
        <v>0</v>
      </c>
      <c r="O39">
        <f>'收入支出明细表（基础数据表）'!AB99</f>
        <v>0</v>
      </c>
      <c r="P39">
        <f>'收入支出明细表（基础数据表）'!AC99</f>
        <v>0</v>
      </c>
      <c r="Q39">
        <f>'收入支出明细表（基础数据表）'!AD99</f>
        <v>0</v>
      </c>
      <c r="R39">
        <f>'收入支出明细表（基础数据表）'!AE99</f>
        <v>0</v>
      </c>
      <c r="S39">
        <f>'收入支出明细表（基础数据表）'!AF99</f>
        <v>0</v>
      </c>
    </row>
    <row r="40">
      <c r="C40" t="str">
        <v>1、硬件设备类投资</v>
      </c>
      <c r="D40" t="str">
        <v>支出</v>
      </c>
      <c r="F40">
        <v>0.13</v>
      </c>
      <c r="G40">
        <f>'收入支出明细表（基础数据表）'!T102</f>
        <v>0</v>
      </c>
      <c r="H40">
        <f>'收入支出明细表（基础数据表）'!U102</f>
        <v>0</v>
      </c>
      <c r="I40">
        <f>'收入支出明细表（基础数据表）'!V102</f>
        <v>0</v>
      </c>
      <c r="J40">
        <f>'收入支出明细表（基础数据表）'!W102</f>
        <v>0</v>
      </c>
      <c r="K40">
        <f>'收入支出明细表（基础数据表）'!X102</f>
        <v>0</v>
      </c>
      <c r="L40">
        <f>'收入支出明细表（基础数据表）'!Y102</f>
        <v>0</v>
      </c>
      <c r="M40">
        <f>'收入支出明细表（基础数据表）'!Z102</f>
        <v>0</v>
      </c>
      <c r="N40">
        <f>'收入支出明细表（基础数据表）'!AA102</f>
        <v>0</v>
      </c>
      <c r="O40">
        <f>'收入支出明细表（基础数据表）'!AB102</f>
        <v>0</v>
      </c>
      <c r="P40">
        <f>'收入支出明细表（基础数据表）'!AC102</f>
        <v>0</v>
      </c>
      <c r="Q40">
        <f>'收入支出明细表（基础数据表）'!AD102</f>
        <v>0</v>
      </c>
      <c r="R40">
        <f>'收入支出明细表（基础数据表）'!AE102</f>
        <v>0</v>
      </c>
      <c r="S40">
        <f>'收入支出明细表（基础数据表）'!AF102</f>
        <v>0</v>
      </c>
    </row>
    <row r="41">
      <c r="C41" t="str">
        <v>2、定制软件类投资</v>
      </c>
      <c r="D41" t="str">
        <v>支出</v>
      </c>
      <c r="F41">
        <v>0.06</v>
      </c>
      <c r="G41">
        <f>'收入支出明细表（基础数据表）'!T105</f>
        <v>0</v>
      </c>
      <c r="H41">
        <f>'收入支出明细表（基础数据表）'!U105</f>
        <v>0</v>
      </c>
      <c r="I41">
        <f>'收入支出明细表（基础数据表）'!V105</f>
        <v>0</v>
      </c>
      <c r="J41">
        <f>'收入支出明细表（基础数据表）'!W105</f>
        <v>0</v>
      </c>
      <c r="K41">
        <f>'收入支出明细表（基础数据表）'!X105</f>
        <v>0</v>
      </c>
      <c r="L41">
        <f>'收入支出明细表（基础数据表）'!Y105</f>
        <v>0</v>
      </c>
      <c r="M41">
        <f>'收入支出明细表（基础数据表）'!Z105</f>
        <v>0</v>
      </c>
      <c r="N41">
        <f>'收入支出明细表（基础数据表）'!AA105</f>
        <v>0</v>
      </c>
      <c r="O41">
        <f>'收入支出明细表（基础数据表）'!AB105</f>
        <v>0</v>
      </c>
      <c r="P41">
        <f>'收入支出明细表（基础数据表）'!AC105</f>
        <v>0</v>
      </c>
      <c r="Q41">
        <f>'收入支出明细表（基础数据表）'!AD105</f>
        <v>0</v>
      </c>
      <c r="R41">
        <f>'收入支出明细表（基础数据表）'!AE105</f>
        <v>0</v>
      </c>
      <c r="S41">
        <f>'收入支出明细表（基础数据表）'!AF105</f>
        <v>0</v>
      </c>
    </row>
    <row r="42">
      <c r="C42" t="str">
        <v>3、 集成服务费-信息服务</v>
      </c>
      <c r="D42" t="str">
        <v>支出</v>
      </c>
      <c r="F42">
        <v>0.06</v>
      </c>
      <c r="G42">
        <f>'收入支出明细表（基础数据表）'!T108</f>
        <v>0</v>
      </c>
      <c r="H42">
        <f>'收入支出明细表（基础数据表）'!U108</f>
        <v>0</v>
      </c>
      <c r="I42">
        <f>'收入支出明细表（基础数据表）'!V108</f>
        <v>0</v>
      </c>
      <c r="J42">
        <f>'收入支出明细表（基础数据表）'!W108</f>
        <v>0</v>
      </c>
      <c r="K42">
        <f>'收入支出明细表（基础数据表）'!X108</f>
        <v>0</v>
      </c>
      <c r="L42">
        <f>'收入支出明细表（基础数据表）'!Y108</f>
        <v>0</v>
      </c>
      <c r="M42">
        <f>'收入支出明细表（基础数据表）'!Z108</f>
        <v>0</v>
      </c>
      <c r="N42">
        <f>'收入支出明细表（基础数据表）'!AA108</f>
        <v>0</v>
      </c>
      <c r="O42">
        <f>'收入支出明细表（基础数据表）'!AB108</f>
        <v>0</v>
      </c>
      <c r="P42">
        <f>'收入支出明细表（基础数据表）'!AC108</f>
        <v>0</v>
      </c>
      <c r="Q42">
        <f>'收入支出明细表（基础数据表）'!AD108</f>
        <v>0</v>
      </c>
      <c r="R42">
        <f>'收入支出明细表（基础数据表）'!AE108</f>
        <v>0</v>
      </c>
      <c r="S42">
        <f>'收入支出明细表（基础数据表）'!AF108</f>
        <v>0</v>
      </c>
    </row>
    <row r="43">
      <c r="C43" t="str">
        <v>4、 集成服务费-安装</v>
      </c>
      <c r="D43" t="str">
        <v>支出</v>
      </c>
      <c r="F43">
        <v>0.06</v>
      </c>
      <c r="G43">
        <f>'收入支出明细表（基础数据表）'!T111</f>
        <v>0</v>
      </c>
      <c r="H43">
        <f>'收入支出明细表（基础数据表）'!U111</f>
        <v>0</v>
      </c>
      <c r="I43">
        <f>'收入支出明细表（基础数据表）'!V111</f>
        <v>0</v>
      </c>
      <c r="J43">
        <f>'收入支出明细表（基础数据表）'!W111</f>
        <v>0</v>
      </c>
      <c r="K43">
        <f>'收入支出明细表（基础数据表）'!X111</f>
        <v>0</v>
      </c>
      <c r="L43">
        <f>'收入支出明细表（基础数据表）'!Y111</f>
        <v>0</v>
      </c>
      <c r="M43">
        <f>'收入支出明细表（基础数据表）'!Z111</f>
        <v>0</v>
      </c>
      <c r="N43">
        <f>'收入支出明细表（基础数据表）'!AA111</f>
        <v>0</v>
      </c>
      <c r="O43">
        <f>'收入支出明细表（基础数据表）'!AB111</f>
        <v>0</v>
      </c>
      <c r="P43">
        <f>'收入支出明细表（基础数据表）'!AC111</f>
        <v>0</v>
      </c>
      <c r="Q43">
        <f>'收入支出明细表（基础数据表）'!AD111</f>
        <v>0</v>
      </c>
      <c r="R43">
        <f>'收入支出明细表（基础数据表）'!AE111</f>
        <v>0</v>
      </c>
      <c r="S43">
        <f>'收入支出明细表（基础数据表）'!AF111</f>
        <v>0</v>
      </c>
    </row>
    <row r="44">
      <c r="C44" t="str">
        <v>5、工程配套费</v>
      </c>
      <c r="D44" t="str">
        <v>支出</v>
      </c>
      <c r="F44">
        <v>0.09</v>
      </c>
      <c r="G44">
        <f>'收入支出明细表（基础数据表）'!T114</f>
        <v>0</v>
      </c>
      <c r="H44">
        <f>'收入支出明细表（基础数据表）'!U114</f>
        <v>0</v>
      </c>
      <c r="I44">
        <f>'收入支出明细表（基础数据表）'!V114</f>
        <v>0</v>
      </c>
      <c r="J44">
        <f>'收入支出明细表（基础数据表）'!W114</f>
        <v>0</v>
      </c>
      <c r="K44">
        <f>'收入支出明细表（基础数据表）'!X114</f>
        <v>0</v>
      </c>
      <c r="L44">
        <f>'收入支出明细表（基础数据表）'!Y114</f>
        <v>0</v>
      </c>
      <c r="M44">
        <f>'收入支出明细表（基础数据表）'!Z114</f>
        <v>0</v>
      </c>
      <c r="N44">
        <f>'收入支出明细表（基础数据表）'!AA114</f>
        <v>0</v>
      </c>
      <c r="O44">
        <f>'收入支出明细表（基础数据表）'!AB114</f>
        <v>0</v>
      </c>
      <c r="P44">
        <f>'收入支出明细表（基础数据表）'!AC114</f>
        <v>0</v>
      </c>
      <c r="Q44">
        <f>'收入支出明细表（基础数据表）'!AD114</f>
        <v>0</v>
      </c>
      <c r="R44">
        <f>'收入支出明细表（基础数据表）'!AE114</f>
        <v>0</v>
      </c>
      <c r="S44">
        <f>'收入支出明细表（基础数据表）'!AF114</f>
        <v>0</v>
      </c>
    </row>
    <row r="45">
      <c r="C45" t="str">
        <v>6、建安费用</v>
      </c>
      <c r="D45" t="str">
        <v>支出</v>
      </c>
      <c r="F45">
        <v>0.09</v>
      </c>
      <c r="G45">
        <f>'收入支出明细表（基础数据表）'!T117</f>
        <v>0</v>
      </c>
      <c r="H45">
        <f>'收入支出明细表（基础数据表）'!U117</f>
        <v>0</v>
      </c>
      <c r="I45">
        <f>'收入支出明细表（基础数据表）'!V117</f>
        <v>0</v>
      </c>
      <c r="J45">
        <f>'收入支出明细表（基础数据表）'!W117</f>
        <v>0</v>
      </c>
      <c r="K45">
        <f>'收入支出明细表（基础数据表）'!X117</f>
        <v>0</v>
      </c>
      <c r="L45">
        <f>'收入支出明细表（基础数据表）'!Y117</f>
        <v>0</v>
      </c>
      <c r="M45">
        <f>'收入支出明细表（基础数据表）'!Z117</f>
        <v>0</v>
      </c>
      <c r="N45">
        <f>'收入支出明细表（基础数据表）'!AA117</f>
        <v>0</v>
      </c>
      <c r="O45">
        <f>'收入支出明细表（基础数据表）'!AB117</f>
        <v>0</v>
      </c>
      <c r="P45">
        <f>'收入支出明细表（基础数据表）'!AC117</f>
        <v>0</v>
      </c>
      <c r="Q45">
        <f>'收入支出明细表（基础数据表）'!AD117</f>
        <v>0</v>
      </c>
      <c r="R45">
        <f>'收入支出明细表（基础数据表）'!AE117</f>
        <v>0</v>
      </c>
      <c r="S45">
        <f>'收入支出明细表（基础数据表）'!AF117</f>
        <v>0</v>
      </c>
    </row>
    <row r="46">
      <c r="C46" t="str">
        <v xml:space="preserve">        ……</v>
      </c>
      <c r="G46">
        <f>'收入支出明细表（基础数据表）'!T120</f>
        <v>0</v>
      </c>
      <c r="H46">
        <f>'收入支出明细表（基础数据表）'!U120</f>
        <v>0</v>
      </c>
      <c r="I46">
        <f>'收入支出明细表（基础数据表）'!V120</f>
        <v>0</v>
      </c>
      <c r="J46">
        <f>'收入支出明细表（基础数据表）'!W120</f>
        <v>0</v>
      </c>
      <c r="K46">
        <f>'收入支出明细表（基础数据表）'!X120</f>
        <v>0</v>
      </c>
      <c r="L46">
        <f>'收入支出明细表（基础数据表）'!Y120</f>
        <v>0</v>
      </c>
      <c r="M46">
        <f>'收入支出明细表（基础数据表）'!Z120</f>
        <v>0</v>
      </c>
      <c r="N46">
        <f>'收入支出明细表（基础数据表）'!AA120</f>
        <v>0</v>
      </c>
      <c r="O46">
        <f>'收入支出明细表（基础数据表）'!AB120</f>
        <v>0</v>
      </c>
      <c r="P46">
        <f>'收入支出明细表（基础数据表）'!AC120</f>
        <v>0</v>
      </c>
      <c r="Q46">
        <f>'收入支出明细表（基础数据表）'!AD120</f>
        <v>0</v>
      </c>
      <c r="R46">
        <f>'收入支出明细表（基础数据表）'!AE120</f>
        <v>0</v>
      </c>
      <c r="S46">
        <f>'收入支出明细表（基础数据表）'!AF120</f>
        <v>0</v>
      </c>
    </row>
    <row r="47">
      <c r="B47" t="str">
        <v>CT类投资</v>
      </c>
      <c r="C47" t="str">
        <v>CT类投资合计</v>
      </c>
      <c r="D47" t="str">
        <v>支出</v>
      </c>
      <c r="G47">
        <f>'收入支出明细表（基础数据表）'!T121</f>
        <v>0</v>
      </c>
      <c r="H47">
        <f>'收入支出明细表（基础数据表）'!U121</f>
        <v>0</v>
      </c>
      <c r="I47">
        <f>'收入支出明细表（基础数据表）'!V121</f>
        <v>0</v>
      </c>
      <c r="J47">
        <f>'收入支出明细表（基础数据表）'!W121</f>
        <v>0</v>
      </c>
      <c r="K47">
        <f>'收入支出明细表（基础数据表）'!X121</f>
        <v>0</v>
      </c>
      <c r="L47">
        <f>'收入支出明细表（基础数据表）'!Y121</f>
        <v>0</v>
      </c>
      <c r="M47">
        <f>'收入支出明细表（基础数据表）'!Z121</f>
        <v>0</v>
      </c>
      <c r="N47">
        <f>'收入支出明细表（基础数据表）'!AA121</f>
        <v>0</v>
      </c>
      <c r="O47">
        <f>'收入支出明细表（基础数据表）'!AB121</f>
        <v>0</v>
      </c>
      <c r="P47">
        <f>'收入支出明细表（基础数据表）'!AC121</f>
        <v>0</v>
      </c>
      <c r="Q47">
        <f>'收入支出明细表（基础数据表）'!AD121</f>
        <v>0</v>
      </c>
      <c r="R47">
        <f>'收入支出明细表（基础数据表）'!AE121</f>
        <v>0</v>
      </c>
      <c r="S47">
        <f>'收入支出明细表（基础数据表）'!AF121</f>
        <v>0</v>
      </c>
    </row>
    <row r="48">
      <c r="C48" t="str">
        <v>1、硬件设备类投资</v>
      </c>
      <c r="D48" t="str">
        <v>支出</v>
      </c>
      <c r="F48">
        <v>0.13</v>
      </c>
      <c r="G48">
        <f>'收入支出明细表（基础数据表）'!T124</f>
        <v>0</v>
      </c>
      <c r="H48">
        <f>'收入支出明细表（基础数据表）'!U124</f>
        <v>0</v>
      </c>
      <c r="I48">
        <f>'收入支出明细表（基础数据表）'!V124</f>
        <v>0</v>
      </c>
      <c r="J48">
        <f>'收入支出明细表（基础数据表）'!W124</f>
        <v>0</v>
      </c>
      <c r="K48">
        <f>'收入支出明细表（基础数据表）'!X124</f>
        <v>0</v>
      </c>
      <c r="L48">
        <f>'收入支出明细表（基础数据表）'!Y124</f>
        <v>0</v>
      </c>
      <c r="M48">
        <f>'收入支出明细表（基础数据表）'!Z124</f>
        <v>0</v>
      </c>
      <c r="N48">
        <f>'收入支出明细表（基础数据表）'!AA124</f>
        <v>0</v>
      </c>
      <c r="O48">
        <f>'收入支出明细表（基础数据表）'!AB124</f>
        <v>0</v>
      </c>
      <c r="P48">
        <f>'收入支出明细表（基础数据表）'!AC124</f>
        <v>0</v>
      </c>
      <c r="Q48">
        <f>'收入支出明细表（基础数据表）'!AD124</f>
        <v>0</v>
      </c>
      <c r="R48">
        <f>'收入支出明细表（基础数据表）'!AE124</f>
        <v>0</v>
      </c>
      <c r="S48">
        <f>'收入支出明细表（基础数据表）'!AF124</f>
        <v>0</v>
      </c>
    </row>
    <row r="49">
      <c r="C49" t="str">
        <v>2、定制软件类投资</v>
      </c>
      <c r="D49" t="str">
        <v>支出</v>
      </c>
      <c r="F49">
        <v>0.06</v>
      </c>
      <c r="G49">
        <f>'收入支出明细表（基础数据表）'!T127</f>
        <v>0</v>
      </c>
      <c r="H49">
        <f>'收入支出明细表（基础数据表）'!U127</f>
        <v>0</v>
      </c>
      <c r="I49">
        <f>'收入支出明细表（基础数据表）'!V127</f>
        <v>0</v>
      </c>
      <c r="J49">
        <f>'收入支出明细表（基础数据表）'!W127</f>
        <v>0</v>
      </c>
      <c r="K49">
        <f>'收入支出明细表（基础数据表）'!X127</f>
        <v>0</v>
      </c>
      <c r="L49">
        <f>'收入支出明细表（基础数据表）'!Y127</f>
        <v>0</v>
      </c>
      <c r="M49">
        <f>'收入支出明细表（基础数据表）'!Z127</f>
        <v>0</v>
      </c>
      <c r="N49">
        <f>'收入支出明细表（基础数据表）'!AA127</f>
        <v>0</v>
      </c>
      <c r="O49">
        <f>'收入支出明细表（基础数据表）'!AB127</f>
        <v>0</v>
      </c>
      <c r="P49">
        <f>'收入支出明细表（基础数据表）'!AC127</f>
        <v>0</v>
      </c>
      <c r="Q49">
        <f>'收入支出明细表（基础数据表）'!AD127</f>
        <v>0</v>
      </c>
      <c r="R49">
        <f>'收入支出明细表（基础数据表）'!AE127</f>
        <v>0</v>
      </c>
      <c r="S49">
        <f>'收入支出明细表（基础数据表）'!AF127</f>
        <v>0</v>
      </c>
    </row>
    <row r="50">
      <c r="C50" t="str">
        <v>3、施工费用</v>
      </c>
      <c r="D50" t="str">
        <v>支出</v>
      </c>
      <c r="F50">
        <v>0.09</v>
      </c>
      <c r="G50">
        <f>'收入支出明细表（基础数据表）'!T130</f>
        <v>0</v>
      </c>
      <c r="H50">
        <f>'收入支出明细表（基础数据表）'!U130</f>
        <v>0</v>
      </c>
      <c r="I50">
        <f>'收入支出明细表（基础数据表）'!V130</f>
        <v>0</v>
      </c>
      <c r="J50">
        <f>'收入支出明细表（基础数据表）'!W130</f>
        <v>0</v>
      </c>
      <c r="K50">
        <f>'收入支出明细表（基础数据表）'!X130</f>
        <v>0</v>
      </c>
      <c r="L50">
        <f>'收入支出明细表（基础数据表）'!Y130</f>
        <v>0</v>
      </c>
      <c r="M50">
        <f>'收入支出明细表（基础数据表）'!Z130</f>
        <v>0</v>
      </c>
      <c r="N50">
        <f>'收入支出明细表（基础数据表）'!AA130</f>
        <v>0</v>
      </c>
      <c r="O50">
        <f>'收入支出明细表（基础数据表）'!AB130</f>
        <v>0</v>
      </c>
      <c r="P50">
        <f>'收入支出明细表（基础数据表）'!AC130</f>
        <v>0</v>
      </c>
      <c r="Q50">
        <f>'收入支出明细表（基础数据表）'!AD130</f>
        <v>0</v>
      </c>
      <c r="R50">
        <f>'收入支出明细表（基础数据表）'!AE130</f>
        <v>0</v>
      </c>
      <c r="S50">
        <f>'收入支出明细表（基础数据表）'!AF130</f>
        <v>0</v>
      </c>
    </row>
    <row r="51">
      <c r="C51" t="str">
        <v>4、设计监理</v>
      </c>
      <c r="D51" t="str">
        <v>支出</v>
      </c>
      <c r="F51">
        <v>0.06</v>
      </c>
      <c r="G51">
        <f>'收入支出明细表（基础数据表）'!T133</f>
        <v>0</v>
      </c>
      <c r="H51">
        <f>'收入支出明细表（基础数据表）'!U133</f>
        <v>0</v>
      </c>
      <c r="I51">
        <f>'收入支出明细表（基础数据表）'!V133</f>
        <v>0</v>
      </c>
      <c r="J51">
        <f>'收入支出明细表（基础数据表）'!W133</f>
        <v>0</v>
      </c>
      <c r="K51">
        <f>'收入支出明细表（基础数据表）'!X133</f>
        <v>0</v>
      </c>
      <c r="L51">
        <f>'收入支出明细表（基础数据表）'!Y133</f>
        <v>0</v>
      </c>
      <c r="M51">
        <f>'收入支出明细表（基础数据表）'!Z133</f>
        <v>0</v>
      </c>
      <c r="N51">
        <f>'收入支出明细表（基础数据表）'!AA133</f>
        <v>0</v>
      </c>
      <c r="O51">
        <f>'收入支出明细表（基础数据表）'!AB133</f>
        <v>0</v>
      </c>
      <c r="P51">
        <f>'收入支出明细表（基础数据表）'!AC133</f>
        <v>0</v>
      </c>
      <c r="Q51">
        <f>'收入支出明细表（基础数据表）'!AD133</f>
        <v>0</v>
      </c>
      <c r="R51">
        <f>'收入支出明细表（基础数据表）'!AE133</f>
        <v>0</v>
      </c>
      <c r="S51">
        <f>'收入支出明细表（基础数据表）'!AF133</f>
        <v>0</v>
      </c>
    </row>
    <row r="52">
      <c r="C52" t="str">
        <v>5、配套费用</v>
      </c>
      <c r="D52" t="str">
        <v>支出</v>
      </c>
      <c r="F52">
        <v>0.09</v>
      </c>
      <c r="G52">
        <f>'收入支出明细表（基础数据表）'!T136</f>
        <v>0</v>
      </c>
      <c r="H52">
        <f>'收入支出明细表（基础数据表）'!U136</f>
        <v>0</v>
      </c>
      <c r="I52">
        <f>'收入支出明细表（基础数据表）'!V136</f>
        <v>0</v>
      </c>
      <c r="J52">
        <f>'收入支出明细表（基础数据表）'!W136</f>
        <v>0</v>
      </c>
      <c r="K52">
        <f>'收入支出明细表（基础数据表）'!X136</f>
        <v>0</v>
      </c>
      <c r="L52">
        <f>'收入支出明细表（基础数据表）'!Y136</f>
        <v>0</v>
      </c>
      <c r="M52">
        <f>'收入支出明细表（基础数据表）'!Z136</f>
        <v>0</v>
      </c>
      <c r="N52">
        <f>'收入支出明细表（基础数据表）'!AA136</f>
        <v>0</v>
      </c>
      <c r="O52">
        <f>'收入支出明细表（基础数据表）'!AB136</f>
        <v>0</v>
      </c>
      <c r="P52">
        <f>'收入支出明细表（基础数据表）'!AC136</f>
        <v>0</v>
      </c>
      <c r="Q52">
        <f>'收入支出明细表（基础数据表）'!AD136</f>
        <v>0</v>
      </c>
      <c r="R52">
        <f>'收入支出明细表（基础数据表）'!AE136</f>
        <v>0</v>
      </c>
      <c r="S52">
        <f>'收入支出明细表（基础数据表）'!AF136</f>
        <v>0</v>
      </c>
    </row>
    <row r="53">
      <c r="C53" t="str">
        <v xml:space="preserve">        ……</v>
      </c>
      <c r="G53">
        <f>'收入支出明细表（基础数据表）'!T139</f>
        <v>0</v>
      </c>
      <c r="H53">
        <f>'收入支出明细表（基础数据表）'!U139</f>
        <v>0</v>
      </c>
      <c r="I53">
        <f>'收入支出明细表（基础数据表）'!V139</f>
        <v>0</v>
      </c>
      <c r="J53">
        <f>'收入支出明细表（基础数据表）'!W139</f>
        <v>0</v>
      </c>
      <c r="K53">
        <f>'收入支出明细表（基础数据表）'!X139</f>
        <v>0</v>
      </c>
      <c r="L53">
        <f>'收入支出明细表（基础数据表）'!Y139</f>
        <v>0</v>
      </c>
      <c r="M53">
        <f>'收入支出明细表（基础数据表）'!Z139</f>
        <v>0</v>
      </c>
      <c r="N53">
        <f>'收入支出明细表（基础数据表）'!AA139</f>
        <v>0</v>
      </c>
      <c r="O53">
        <f>'收入支出明细表（基础数据表）'!AB139</f>
        <v>0</v>
      </c>
      <c r="P53">
        <f>'收入支出明细表（基础数据表）'!AC139</f>
        <v>0</v>
      </c>
      <c r="Q53">
        <f>'收入支出明细表（基础数据表）'!AD139</f>
        <v>0</v>
      </c>
      <c r="R53">
        <f>'收入支出明细表（基础数据表）'!AE139</f>
        <v>0</v>
      </c>
      <c r="S53">
        <f>'收入支出明细表（基础数据表）'!AF139</f>
        <v>0</v>
      </c>
    </row>
    <row r="54" xml:space="preserve">
      <c r="A54" t="str" xml:space="preserve">
        <v xml:space="preserve">成本支出_x000d_
（Opex）</v>
      </c>
      <c r="B54" t="str">
        <v>IT类成本</v>
      </c>
      <c r="C54" t="str">
        <v>IT类成本合计</v>
      </c>
      <c r="D54" t="str">
        <v>支出</v>
      </c>
      <c r="G54">
        <f>'收入支出明细表（基础数据表）'!T140</f>
        <v>0</v>
      </c>
      <c r="H54">
        <f>'收入支出明细表（基础数据表）'!U140</f>
        <v>0</v>
      </c>
      <c r="I54">
        <f>'收入支出明细表（基础数据表）'!V140</f>
        <v>0</v>
      </c>
      <c r="J54">
        <f>'收入支出明细表（基础数据表）'!W140</f>
        <v>0</v>
      </c>
      <c r="K54">
        <f>'收入支出明细表（基础数据表）'!X140</f>
        <v>0</v>
      </c>
      <c r="L54">
        <f>'收入支出明细表（基础数据表）'!Y140</f>
        <v>0</v>
      </c>
      <c r="M54">
        <f>'收入支出明细表（基础数据表）'!Z140</f>
        <v>0</v>
      </c>
      <c r="N54">
        <f>'收入支出明细表（基础数据表）'!AA140</f>
        <v>0</v>
      </c>
      <c r="O54">
        <f>'收入支出明细表（基础数据表）'!AB140</f>
        <v>0</v>
      </c>
      <c r="P54">
        <f>'收入支出明细表（基础数据表）'!AC140</f>
        <v>0</v>
      </c>
      <c r="Q54">
        <f>'收入支出明细表（基础数据表）'!AD140</f>
        <v>0</v>
      </c>
      <c r="R54">
        <f>'收入支出明细表（基础数据表）'!AE140</f>
        <v>0</v>
      </c>
      <c r="S54">
        <f>'收入支出明细表（基础数据表）'!AF140</f>
        <v>0</v>
      </c>
    </row>
    <row r="55">
      <c r="C55" t="str">
        <v>1、通信及信息服务成本合计</v>
      </c>
      <c r="D55" t="str">
        <v>支出</v>
      </c>
      <c r="G55">
        <f>'收入支出明细表（基础数据表）'!T143</f>
        <v>0</v>
      </c>
      <c r="H55">
        <f>'收入支出明细表（基础数据表）'!U143</f>
        <v>0</v>
      </c>
      <c r="I55">
        <f>'收入支出明细表（基础数据表）'!V143</f>
        <v>0</v>
      </c>
      <c r="J55">
        <f>'收入支出明细表（基础数据表）'!W143</f>
        <v>0</v>
      </c>
      <c r="K55">
        <f>'收入支出明细表（基础数据表）'!X143</f>
        <v>0</v>
      </c>
      <c r="L55">
        <f>'收入支出明细表（基础数据表）'!Y143</f>
        <v>0</v>
      </c>
      <c r="M55">
        <f>'收入支出明细表（基础数据表）'!Z143</f>
        <v>0</v>
      </c>
      <c r="N55">
        <f>'收入支出明细表（基础数据表）'!AA143</f>
        <v>0</v>
      </c>
      <c r="O55">
        <f>'收入支出明细表（基础数据表）'!AB143</f>
        <v>0</v>
      </c>
      <c r="P55">
        <f>'收入支出明细表（基础数据表）'!AC143</f>
        <v>0</v>
      </c>
      <c r="Q55">
        <f>'收入支出明细表（基础数据表）'!AD143</f>
        <v>0</v>
      </c>
      <c r="R55">
        <f>'收入支出明细表（基础数据表）'!AE143</f>
        <v>0</v>
      </c>
      <c r="S55">
        <f>'收入支出明细表（基础数据表）'!AF143</f>
        <v>0</v>
      </c>
    </row>
    <row r="56">
      <c r="C56" t="str">
        <v>1-1集成费-信息服务</v>
      </c>
      <c r="D56" t="str">
        <v>支出</v>
      </c>
      <c r="F56">
        <v>0.06</v>
      </c>
      <c r="G56">
        <f>'收入支出明细表（基础数据表）'!T146</f>
        <v>0</v>
      </c>
      <c r="H56">
        <f>'收入支出明细表（基础数据表）'!U146</f>
        <v>0</v>
      </c>
      <c r="I56">
        <f>'收入支出明细表（基础数据表）'!V146</f>
        <v>0</v>
      </c>
      <c r="J56">
        <f>'收入支出明细表（基础数据表）'!W146</f>
        <v>0</v>
      </c>
      <c r="K56">
        <f>'收入支出明细表（基础数据表）'!X146</f>
        <v>0</v>
      </c>
      <c r="L56">
        <f>'收入支出明细表（基础数据表）'!Y146</f>
        <v>0</v>
      </c>
      <c r="M56">
        <f>'收入支出明细表（基础数据表）'!Z146</f>
        <v>0</v>
      </c>
      <c r="N56">
        <f>'收入支出明细表（基础数据表）'!AA146</f>
        <v>0</v>
      </c>
      <c r="O56">
        <f>'收入支出明细表（基础数据表）'!AB146</f>
        <v>0</v>
      </c>
      <c r="P56">
        <f>'收入支出明细表（基础数据表）'!AC146</f>
        <v>0</v>
      </c>
      <c r="Q56">
        <f>'收入支出明细表（基础数据表）'!AD146</f>
        <v>0</v>
      </c>
      <c r="R56">
        <f>'收入支出明细表（基础数据表）'!AE146</f>
        <v>0</v>
      </c>
      <c r="S56">
        <f>'收入支出明细表（基础数据表）'!AF146</f>
        <v>0</v>
      </c>
    </row>
    <row r="57">
      <c r="C57" t="str">
        <v>1-2集成费-安装服务</v>
      </c>
      <c r="D57" t="str">
        <v>支出</v>
      </c>
      <c r="F57">
        <v>0.09</v>
      </c>
      <c r="G57">
        <f>'收入支出明细表（基础数据表）'!T149</f>
        <v>0</v>
      </c>
      <c r="H57">
        <f>'收入支出明细表（基础数据表）'!U149</f>
        <v>0</v>
      </c>
      <c r="I57">
        <f>'收入支出明细表（基础数据表）'!V149</f>
        <v>0</v>
      </c>
      <c r="J57">
        <f>'收入支出明细表（基础数据表）'!W149</f>
        <v>0</v>
      </c>
      <c r="K57">
        <f>'收入支出明细表（基础数据表）'!X149</f>
        <v>0</v>
      </c>
      <c r="L57">
        <f>'收入支出明细表（基础数据表）'!Y149</f>
        <v>0</v>
      </c>
      <c r="M57">
        <f>'收入支出明细表（基础数据表）'!Z149</f>
        <v>0</v>
      </c>
      <c r="N57">
        <f>'收入支出明细表（基础数据表）'!AA149</f>
        <v>0</v>
      </c>
      <c r="O57">
        <f>'收入支出明细表（基础数据表）'!AB149</f>
        <v>0</v>
      </c>
      <c r="P57">
        <f>'收入支出明细表（基础数据表）'!AC149</f>
        <v>0</v>
      </c>
      <c r="Q57">
        <f>'收入支出明细表（基础数据表）'!AD149</f>
        <v>0</v>
      </c>
      <c r="R57">
        <f>'收入支出明细表（基础数据表）'!AE149</f>
        <v>0</v>
      </c>
      <c r="S57">
        <f>'收入支出明细表（基础数据表）'!AF149</f>
        <v>0</v>
      </c>
    </row>
    <row r="58">
      <c r="C58" t="str">
        <v>1-3维保费-信息服务</v>
      </c>
      <c r="D58" t="str">
        <v>支出</v>
      </c>
      <c r="F58">
        <v>0.06</v>
      </c>
      <c r="G58">
        <f>'收入支出明细表（基础数据表）'!T152</f>
        <v>0</v>
      </c>
      <c r="H58">
        <f>'收入支出明细表（基础数据表）'!U152</f>
        <v>0</v>
      </c>
      <c r="I58">
        <f>'收入支出明细表（基础数据表）'!V152</f>
        <v>0</v>
      </c>
      <c r="J58">
        <f>'收入支出明细表（基础数据表）'!W152</f>
        <v>0</v>
      </c>
      <c r="K58">
        <f>'收入支出明细表（基础数据表）'!X152</f>
        <v>0</v>
      </c>
      <c r="L58">
        <f>'收入支出明细表（基础数据表）'!Y152</f>
        <v>0</v>
      </c>
      <c r="M58">
        <f>'收入支出明细表（基础数据表）'!Z152</f>
        <v>0</v>
      </c>
      <c r="N58">
        <f>'收入支出明细表（基础数据表）'!AA152</f>
        <v>0</v>
      </c>
      <c r="O58">
        <f>'收入支出明细表（基础数据表）'!AB152</f>
        <v>0</v>
      </c>
      <c r="P58">
        <f>'收入支出明细表（基础数据表）'!AC152</f>
        <v>0</v>
      </c>
      <c r="Q58">
        <f>'收入支出明细表（基础数据表）'!AD152</f>
        <v>0</v>
      </c>
      <c r="R58">
        <f>'收入支出明细表（基础数据表）'!AE152</f>
        <v>0</v>
      </c>
      <c r="S58">
        <f>'收入支出明细表（基础数据表）'!AF152</f>
        <v>0</v>
      </c>
    </row>
    <row r="59">
      <c r="C59" t="str">
        <v>1-4维保费-安装服务</v>
      </c>
      <c r="D59" t="str">
        <v>支出</v>
      </c>
      <c r="F59">
        <v>0.09</v>
      </c>
      <c r="G59">
        <f>'收入支出明细表（基础数据表）'!T155</f>
        <v>0</v>
      </c>
      <c r="H59">
        <f>'收入支出明细表（基础数据表）'!U155</f>
        <v>0</v>
      </c>
      <c r="I59">
        <f>'收入支出明细表（基础数据表）'!V155</f>
        <v>0</v>
      </c>
      <c r="J59">
        <f>'收入支出明细表（基础数据表）'!W155</f>
        <v>0</v>
      </c>
      <c r="K59">
        <f>'收入支出明细表（基础数据表）'!X155</f>
        <v>0</v>
      </c>
      <c r="L59">
        <f>'收入支出明细表（基础数据表）'!Y155</f>
        <v>0</v>
      </c>
      <c r="M59">
        <f>'收入支出明细表（基础数据表）'!Z155</f>
        <v>0</v>
      </c>
      <c r="N59">
        <f>'收入支出明细表（基础数据表）'!AA155</f>
        <v>0</v>
      </c>
      <c r="O59">
        <f>'收入支出明细表（基础数据表）'!AB155</f>
        <v>0</v>
      </c>
      <c r="P59">
        <f>'收入支出明细表（基础数据表）'!AC155</f>
        <v>0</v>
      </c>
      <c r="Q59">
        <f>'收入支出明细表（基础数据表）'!AD155</f>
        <v>0</v>
      </c>
      <c r="R59">
        <f>'收入支出明细表（基础数据表）'!AE155</f>
        <v>0</v>
      </c>
      <c r="S59">
        <f>'收入支出明细表（基础数据表）'!AF155</f>
        <v>0</v>
      </c>
    </row>
    <row r="60">
      <c r="C60" t="str">
        <v>1-5维保费-设备及其他硬件维修服务</v>
      </c>
      <c r="D60" t="str">
        <v>支出</v>
      </c>
      <c r="F60">
        <v>0.13</v>
      </c>
      <c r="G60">
        <f>'收入支出明细表（基础数据表）'!T158</f>
        <v>0</v>
      </c>
      <c r="H60">
        <f>'收入支出明细表（基础数据表）'!U158</f>
        <v>0</v>
      </c>
      <c r="I60">
        <f>'收入支出明细表（基础数据表）'!V158</f>
        <v>0</v>
      </c>
      <c r="J60">
        <f>'收入支出明细表（基础数据表）'!W158</f>
        <v>0</v>
      </c>
      <c r="K60">
        <f>'收入支出明细表（基础数据表）'!X158</f>
        <v>0</v>
      </c>
      <c r="L60">
        <f>'收入支出明细表（基础数据表）'!Y158</f>
        <v>0</v>
      </c>
      <c r="M60">
        <f>'收入支出明细表（基础数据表）'!Z158</f>
        <v>0</v>
      </c>
      <c r="N60">
        <f>'收入支出明细表（基础数据表）'!AA158</f>
        <v>0</v>
      </c>
      <c r="O60">
        <f>'收入支出明细表（基础数据表）'!AB158</f>
        <v>0</v>
      </c>
      <c r="P60">
        <f>'收入支出明细表（基础数据表）'!AC158</f>
        <v>0</v>
      </c>
      <c r="Q60">
        <f>'收入支出明细表（基础数据表）'!AD158</f>
        <v>0</v>
      </c>
      <c r="R60">
        <f>'收入支出明细表（基础数据表）'!AE158</f>
        <v>0</v>
      </c>
      <c r="S60">
        <f>'收入支出明细表（基础数据表）'!AF158</f>
        <v>0</v>
      </c>
    </row>
    <row r="61">
      <c r="C61" t="str">
        <v>2、商品销售成本</v>
      </c>
      <c r="D61" t="str">
        <v>支出</v>
      </c>
      <c r="F61">
        <v>0.13</v>
      </c>
      <c r="G61">
        <f>'收入支出明细表（基础数据表）'!T161</f>
        <v>0</v>
      </c>
      <c r="H61">
        <f>'收入支出明细表（基础数据表）'!U161</f>
        <v>0</v>
      </c>
      <c r="I61">
        <f>'收入支出明细表（基础数据表）'!V161</f>
        <v>0</v>
      </c>
      <c r="J61">
        <f>'收入支出明细表（基础数据表）'!W161</f>
        <v>0</v>
      </c>
      <c r="K61">
        <f>'收入支出明细表（基础数据表）'!X161</f>
        <v>0</v>
      </c>
      <c r="L61">
        <f>'收入支出明细表（基础数据表）'!Y161</f>
        <v>0</v>
      </c>
      <c r="M61">
        <f>'收入支出明细表（基础数据表）'!Z161</f>
        <v>0</v>
      </c>
      <c r="N61">
        <f>'收入支出明细表（基础数据表）'!AA161</f>
        <v>0</v>
      </c>
      <c r="O61">
        <f>'收入支出明细表（基础数据表）'!AB161</f>
        <v>0</v>
      </c>
      <c r="P61">
        <f>'收入支出明细表（基础数据表）'!AC161</f>
        <v>0</v>
      </c>
      <c r="Q61">
        <f>'收入支出明细表（基础数据表）'!AD161</f>
        <v>0</v>
      </c>
      <c r="R61">
        <f>'收入支出明细表（基础数据表）'!AE161</f>
        <v>0</v>
      </c>
      <c r="S61">
        <f>'收入支出明细表（基础数据表）'!AF161</f>
        <v>0</v>
      </c>
    </row>
    <row r="62">
      <c r="C62" t="str">
        <v>3、ICT设备/终端租赁成本</v>
      </c>
      <c r="D62" t="str">
        <v>支出</v>
      </c>
      <c r="F62">
        <v>0.13</v>
      </c>
      <c r="G62">
        <f>'收入支出明细表（基础数据表）'!T164</f>
        <v>0</v>
      </c>
      <c r="H62">
        <f>'收入支出明细表（基础数据表）'!U164</f>
        <v>0</v>
      </c>
      <c r="I62">
        <f>'收入支出明细表（基础数据表）'!V164</f>
        <v>0</v>
      </c>
      <c r="J62">
        <f>'收入支出明细表（基础数据表）'!W164</f>
        <v>0</v>
      </c>
      <c r="K62">
        <f>'收入支出明细表（基础数据表）'!X164</f>
        <v>0</v>
      </c>
      <c r="L62">
        <f>'收入支出明细表（基础数据表）'!Y164</f>
        <v>0</v>
      </c>
      <c r="M62">
        <f>'收入支出明细表（基础数据表）'!Z164</f>
        <v>0</v>
      </c>
      <c r="N62">
        <f>'收入支出明细表（基础数据表）'!AA164</f>
        <v>0</v>
      </c>
      <c r="O62">
        <f>'收入支出明细表（基础数据表）'!AB164</f>
        <v>0</v>
      </c>
      <c r="P62">
        <f>'收入支出明细表（基础数据表）'!AC164</f>
        <v>0</v>
      </c>
      <c r="Q62">
        <f>'收入支出明细表（基础数据表）'!AD164</f>
        <v>0</v>
      </c>
      <c r="R62">
        <f>'收入支出明细表（基础数据表）'!AE164</f>
        <v>0</v>
      </c>
      <c r="S62">
        <f>'收入支出明细表（基础数据表）'!AF164</f>
        <v>0</v>
      </c>
    </row>
    <row r="63">
      <c r="C63" t="str">
        <v>4、ICT设备/终端转租成本</v>
      </c>
      <c r="D63" t="str">
        <v>支出</v>
      </c>
      <c r="F63">
        <v>0.13</v>
      </c>
      <c r="G63">
        <f>'收入支出明细表（基础数据表）'!T167</f>
        <v>0</v>
      </c>
      <c r="H63">
        <f>'收入支出明细表（基础数据表）'!U167</f>
        <v>0</v>
      </c>
      <c r="I63">
        <f>'收入支出明细表（基础数据表）'!V167</f>
        <v>0</v>
      </c>
      <c r="J63">
        <f>'收入支出明细表（基础数据表）'!W167</f>
        <v>0</v>
      </c>
      <c r="K63">
        <f>'收入支出明细表（基础数据表）'!X167</f>
        <v>0</v>
      </c>
      <c r="L63">
        <f>'收入支出明细表（基础数据表）'!Y167</f>
        <v>0</v>
      </c>
      <c r="M63">
        <f>'收入支出明细表（基础数据表）'!Z167</f>
        <v>0</v>
      </c>
      <c r="N63">
        <f>'收入支出明细表（基础数据表）'!AA167</f>
        <v>0</v>
      </c>
      <c r="O63">
        <f>'收入支出明细表（基础数据表）'!AB167</f>
        <v>0</v>
      </c>
      <c r="P63">
        <f>'收入支出明细表（基础数据表）'!AC167</f>
        <v>0</v>
      </c>
      <c r="Q63">
        <f>'收入支出明细表（基础数据表）'!AD167</f>
        <v>0</v>
      </c>
      <c r="R63">
        <f>'收入支出明细表（基础数据表）'!AE167</f>
        <v>0</v>
      </c>
      <c r="S63">
        <f>'收入支出明细表（基础数据表）'!AF167</f>
        <v>0</v>
      </c>
    </row>
    <row r="64">
      <c r="C64" t="str">
        <v xml:space="preserve">        ……</v>
      </c>
      <c r="G64">
        <f>'收入支出明细表（基础数据表）'!T170</f>
        <v>0</v>
      </c>
      <c r="H64">
        <f>'收入支出明细表（基础数据表）'!U170</f>
        <v>0</v>
      </c>
      <c r="I64">
        <f>'收入支出明细表（基础数据表）'!V170</f>
        <v>0</v>
      </c>
      <c r="J64">
        <f>'收入支出明细表（基础数据表）'!W170</f>
        <v>0</v>
      </c>
      <c r="K64">
        <f>'收入支出明细表（基础数据表）'!X170</f>
        <v>0</v>
      </c>
      <c r="L64">
        <f>'收入支出明细表（基础数据表）'!Y170</f>
        <v>0</v>
      </c>
      <c r="M64">
        <f>'收入支出明细表（基础数据表）'!Z170</f>
        <v>0</v>
      </c>
      <c r="N64">
        <f>'收入支出明细表（基础数据表）'!AA170</f>
        <v>0</v>
      </c>
      <c r="O64">
        <f>'收入支出明细表（基础数据表）'!AB170</f>
        <v>0</v>
      </c>
      <c r="P64">
        <f>'收入支出明细表（基础数据表）'!AC170</f>
        <v>0</v>
      </c>
      <c r="Q64">
        <f>'收入支出明细表（基础数据表）'!AD170</f>
        <v>0</v>
      </c>
      <c r="R64">
        <f>'收入支出明细表（基础数据表）'!AE170</f>
        <v>0</v>
      </c>
      <c r="S64">
        <f>'收入支出明细表（基础数据表）'!AF170</f>
        <v>0</v>
      </c>
    </row>
    <row r="65">
      <c r="B65" t="str">
        <v>CT类成本</v>
      </c>
      <c r="C65" t="str">
        <v>CT类成本合计</v>
      </c>
      <c r="D65" t="str">
        <v>支出</v>
      </c>
      <c r="G65">
        <f>'收入支出明细表（基础数据表）'!T171</f>
        <v>0</v>
      </c>
      <c r="H65">
        <f>'收入支出明细表（基础数据表）'!U171</f>
        <v>0</v>
      </c>
      <c r="I65">
        <f>'收入支出明细表（基础数据表）'!V171</f>
        <v>0</v>
      </c>
      <c r="J65">
        <f>'收入支出明细表（基础数据表）'!W171</f>
        <v>0</v>
      </c>
      <c r="K65">
        <f>'收入支出明细表（基础数据表）'!X171</f>
        <v>0</v>
      </c>
      <c r="L65">
        <f>'收入支出明细表（基础数据表）'!Y171</f>
        <v>0</v>
      </c>
      <c r="M65">
        <f>'收入支出明细表（基础数据表）'!Z171</f>
        <v>0</v>
      </c>
      <c r="N65">
        <f>'收入支出明细表（基础数据表）'!AA171</f>
        <v>0</v>
      </c>
      <c r="O65">
        <f>'收入支出明细表（基础数据表）'!AB171</f>
        <v>0</v>
      </c>
      <c r="P65">
        <f>'收入支出明细表（基础数据表）'!AC171</f>
        <v>0</v>
      </c>
      <c r="Q65">
        <f>'收入支出明细表（基础数据表）'!AD171</f>
        <v>0</v>
      </c>
      <c r="R65">
        <f>'收入支出明细表（基础数据表）'!AE171</f>
        <v>0</v>
      </c>
      <c r="S65">
        <f>'收入支出明细表（基础数据表）'!AF171</f>
        <v>0</v>
      </c>
    </row>
    <row r="66">
      <c r="C66" t="str">
        <v>1、业务技术支撑成本</v>
      </c>
      <c r="D66" t="str">
        <v>支出</v>
      </c>
      <c r="F66">
        <v>0.06</v>
      </c>
      <c r="G66">
        <f>'收入支出明细表（基础数据表）'!T174</f>
        <v>0</v>
      </c>
      <c r="H66">
        <f>'收入支出明细表（基础数据表）'!U174</f>
        <v>0</v>
      </c>
      <c r="I66">
        <f>'收入支出明细表（基础数据表）'!V174</f>
        <v>0</v>
      </c>
      <c r="J66">
        <f>'收入支出明细表（基础数据表）'!W174</f>
        <v>0</v>
      </c>
      <c r="K66">
        <f>'收入支出明细表（基础数据表）'!X174</f>
        <v>0</v>
      </c>
      <c r="L66">
        <f>'收入支出明细表（基础数据表）'!Y174</f>
        <v>0</v>
      </c>
      <c r="M66">
        <f>'收入支出明细表（基础数据表）'!Z174</f>
        <v>0</v>
      </c>
      <c r="N66">
        <f>'收入支出明细表（基础数据表）'!AA174</f>
        <v>0</v>
      </c>
      <c r="O66">
        <f>'收入支出明细表（基础数据表）'!AB174</f>
        <v>0</v>
      </c>
      <c r="P66">
        <f>'收入支出明细表（基础数据表）'!AC174</f>
        <v>0</v>
      </c>
      <c r="Q66">
        <f>'收入支出明细表（基础数据表）'!AD174</f>
        <v>0</v>
      </c>
      <c r="R66">
        <f>'收入支出明细表（基础数据表）'!AE174</f>
        <v>0</v>
      </c>
      <c r="S66">
        <f>'收入支出明细表（基础数据表）'!AF174</f>
        <v>0</v>
      </c>
    </row>
    <row r="67">
      <c r="C67" t="str">
        <v>2、网络设备成本</v>
      </c>
      <c r="D67" t="str">
        <v>支出</v>
      </c>
      <c r="F67">
        <v>0.13</v>
      </c>
      <c r="G67">
        <f>'收入支出明细表（基础数据表）'!T177</f>
        <v>0</v>
      </c>
      <c r="H67">
        <f>'收入支出明细表（基础数据表）'!U177</f>
        <v>0</v>
      </c>
      <c r="I67">
        <f>'收入支出明细表（基础数据表）'!V177</f>
        <v>0</v>
      </c>
      <c r="J67">
        <f>'收入支出明细表（基础数据表）'!W177</f>
        <v>0</v>
      </c>
      <c r="K67">
        <f>'收入支出明细表（基础数据表）'!X177</f>
        <v>0</v>
      </c>
      <c r="L67">
        <f>'收入支出明细表（基础数据表）'!Y177</f>
        <v>0</v>
      </c>
      <c r="M67">
        <f>'收入支出明细表（基础数据表）'!Z177</f>
        <v>0</v>
      </c>
      <c r="N67">
        <f>'收入支出明细表（基础数据表）'!AA177</f>
        <v>0</v>
      </c>
      <c r="O67">
        <f>'收入支出明细表（基础数据表）'!AB177</f>
        <v>0</v>
      </c>
      <c r="P67">
        <f>'收入支出明细表（基础数据表）'!AC177</f>
        <v>0</v>
      </c>
      <c r="Q67">
        <f>'收入支出明细表（基础数据表）'!AD177</f>
        <v>0</v>
      </c>
      <c r="R67">
        <f>'收入支出明细表（基础数据表）'!AE177</f>
        <v>0</v>
      </c>
      <c r="S67">
        <f>'收入支出明细表（基础数据表）'!AF177</f>
        <v>0</v>
      </c>
    </row>
    <row r="68">
      <c r="C68" t="str">
        <v>3、网络终端成本</v>
      </c>
      <c r="D68" t="str">
        <v>支出</v>
      </c>
      <c r="F68">
        <v>0.13</v>
      </c>
      <c r="G68">
        <f>'收入支出明细表（基础数据表）'!T180</f>
        <v>0</v>
      </c>
      <c r="H68">
        <f>'收入支出明细表（基础数据表）'!U180</f>
        <v>0</v>
      </c>
      <c r="I68">
        <f>'收入支出明细表（基础数据表）'!V180</f>
        <v>0</v>
      </c>
      <c r="J68">
        <f>'收入支出明细表（基础数据表）'!W180</f>
        <v>0</v>
      </c>
      <c r="K68">
        <f>'收入支出明细表（基础数据表）'!X180</f>
        <v>0</v>
      </c>
      <c r="L68">
        <f>'收入支出明细表（基础数据表）'!Y180</f>
        <v>0</v>
      </c>
      <c r="M68">
        <f>'收入支出明细表（基础数据表）'!Z180</f>
        <v>0</v>
      </c>
      <c r="N68">
        <f>'收入支出明细表（基础数据表）'!AA180</f>
        <v>0</v>
      </c>
      <c r="O68">
        <f>'收入支出明细表（基础数据表）'!AB180</f>
        <v>0</v>
      </c>
      <c r="P68">
        <f>'收入支出明细表（基础数据表）'!AC180</f>
        <v>0</v>
      </c>
      <c r="Q68">
        <f>'收入支出明细表（基础数据表）'!AD180</f>
        <v>0</v>
      </c>
      <c r="R68">
        <f>'收入支出明细表（基础数据表）'!AE180</f>
        <v>0</v>
      </c>
      <c r="S68">
        <f>'收入支出明细表（基础数据表）'!AF180</f>
        <v>0</v>
      </c>
    </row>
    <row r="69">
      <c r="C69" t="str">
        <v>4、网络施工成本</v>
      </c>
      <c r="D69" t="str">
        <v>支出</v>
      </c>
      <c r="F69">
        <v>0.09</v>
      </c>
      <c r="G69">
        <f>'收入支出明细表（基础数据表）'!T183</f>
        <v>0</v>
      </c>
      <c r="H69">
        <f>'收入支出明细表（基础数据表）'!U183</f>
        <v>0</v>
      </c>
      <c r="I69">
        <f>'收入支出明细表（基础数据表）'!V183</f>
        <v>0</v>
      </c>
      <c r="J69">
        <f>'收入支出明细表（基础数据表）'!W183</f>
        <v>0</v>
      </c>
      <c r="K69">
        <f>'收入支出明细表（基础数据表）'!X183</f>
        <v>0</v>
      </c>
      <c r="L69">
        <f>'收入支出明细表（基础数据表）'!Y183</f>
        <v>0</v>
      </c>
      <c r="M69">
        <f>'收入支出明细表（基础数据表）'!Z183</f>
        <v>0</v>
      </c>
      <c r="N69">
        <f>'收入支出明细表（基础数据表）'!AA183</f>
        <v>0</v>
      </c>
      <c r="O69">
        <f>'收入支出明细表（基础数据表）'!AB183</f>
        <v>0</v>
      </c>
      <c r="P69">
        <f>'收入支出明细表（基础数据表）'!AC183</f>
        <v>0</v>
      </c>
      <c r="Q69">
        <f>'收入支出明细表（基础数据表）'!AD183</f>
        <v>0</v>
      </c>
      <c r="R69">
        <f>'收入支出明细表（基础数据表）'!AE183</f>
        <v>0</v>
      </c>
      <c r="S69">
        <f>'收入支出明细表（基础数据表）'!AF183</f>
        <v>0</v>
      </c>
    </row>
    <row r="70">
      <c r="C70" t="str">
        <v>5、网络维护成本</v>
      </c>
      <c r="D70" t="str">
        <v>支出</v>
      </c>
      <c r="F70">
        <v>0.06</v>
      </c>
      <c r="G70">
        <f>'收入支出明细表（基础数据表）'!T186</f>
        <v>0</v>
      </c>
      <c r="H70">
        <f>'收入支出明细表（基础数据表）'!U186</f>
        <v>0</v>
      </c>
      <c r="I70">
        <f>'收入支出明细表（基础数据表）'!V186</f>
        <v>0</v>
      </c>
      <c r="J70">
        <f>'收入支出明细表（基础数据表）'!W186</f>
        <v>0</v>
      </c>
      <c r="K70">
        <f>'收入支出明细表（基础数据表）'!X186</f>
        <v>0</v>
      </c>
      <c r="L70">
        <f>'收入支出明细表（基础数据表）'!Y186</f>
        <v>0</v>
      </c>
      <c r="M70">
        <f>'收入支出明细表（基础数据表）'!Z186</f>
        <v>0</v>
      </c>
      <c r="N70">
        <f>'收入支出明细表（基础数据表）'!AA186</f>
        <v>0</v>
      </c>
      <c r="O70">
        <f>'收入支出明细表（基础数据表）'!AB186</f>
        <v>0</v>
      </c>
      <c r="P70">
        <f>'收入支出明细表（基础数据表）'!AC186</f>
        <v>0</v>
      </c>
      <c r="Q70">
        <f>'收入支出明细表（基础数据表）'!AD186</f>
        <v>0</v>
      </c>
      <c r="R70">
        <f>'收入支出明细表（基础数据表）'!AE186</f>
        <v>0</v>
      </c>
      <c r="S70">
        <f>'收入支出明细表（基础数据表）'!AF186</f>
        <v>0</v>
      </c>
    </row>
    <row r="71">
      <c r="C71" t="str">
        <v xml:space="preserve">        ……</v>
      </c>
      <c r="G71">
        <f>'收入支出明细表（基础数据表）'!T189</f>
        <v>0</v>
      </c>
      <c r="H71">
        <f>'收入支出明细表（基础数据表）'!U189</f>
        <v>0</v>
      </c>
      <c r="I71">
        <f>'收入支出明细表（基础数据表）'!V189</f>
        <v>0</v>
      </c>
      <c r="J71">
        <f>'收入支出明细表（基础数据表）'!W189</f>
        <v>0</v>
      </c>
      <c r="K71">
        <f>'收入支出明细表（基础数据表）'!X189</f>
        <v>0</v>
      </c>
      <c r="L71">
        <f>'收入支出明细表（基础数据表）'!Y189</f>
        <v>0</v>
      </c>
      <c r="M71">
        <f>'收入支出明细表（基础数据表）'!Z189</f>
        <v>0</v>
      </c>
      <c r="N71">
        <f>'收入支出明细表（基础数据表）'!AA189</f>
        <v>0</v>
      </c>
      <c r="O71">
        <f>'收入支出明细表（基础数据表）'!AB189</f>
        <v>0</v>
      </c>
      <c r="P71">
        <f>'收入支出明细表（基础数据表）'!AC189</f>
        <v>0</v>
      </c>
      <c r="Q71">
        <f>'收入支出明细表（基础数据表）'!AD189</f>
        <v>0</v>
      </c>
      <c r="R71">
        <f>'收入支出明细表（基础数据表）'!AE189</f>
        <v>0</v>
      </c>
      <c r="S71">
        <f>'收入支出明细表（基础数据表）'!AF189</f>
        <v>0</v>
      </c>
    </row>
    <row r="72">
      <c r="B72" t="str">
        <v>综合类成本</v>
      </c>
      <c r="C72" t="str">
        <v>综合类成本合计</v>
      </c>
      <c r="D72" t="str">
        <v>支出</v>
      </c>
      <c r="G72">
        <f>'收入支出明细表（基础数据表）'!T190</f>
        <v>0</v>
      </c>
      <c r="H72">
        <f>'收入支出明细表（基础数据表）'!U190</f>
        <v>0</v>
      </c>
      <c r="I72">
        <f>'收入支出明细表（基础数据表）'!V190</f>
        <v>0</v>
      </c>
      <c r="J72">
        <f>'收入支出明细表（基础数据表）'!W190</f>
        <v>0</v>
      </c>
      <c r="K72">
        <f>'收入支出明细表（基础数据表）'!X190</f>
        <v>0</v>
      </c>
      <c r="L72">
        <f>'收入支出明细表（基础数据表）'!Y190</f>
        <v>0</v>
      </c>
      <c r="M72">
        <f>'收入支出明细表（基础数据表）'!Z190</f>
        <v>0</v>
      </c>
      <c r="N72">
        <f>'收入支出明细表（基础数据表）'!AA190</f>
        <v>0</v>
      </c>
      <c r="O72">
        <f>'收入支出明细表（基础数据表）'!AB190</f>
        <v>0</v>
      </c>
      <c r="P72">
        <f>'收入支出明细表（基础数据表）'!AC190</f>
        <v>0</v>
      </c>
      <c r="Q72">
        <f>'收入支出明细表（基础数据表）'!AD190</f>
        <v>0</v>
      </c>
      <c r="R72">
        <f>'收入支出明细表（基础数据表）'!AE190</f>
        <v>0</v>
      </c>
      <c r="S72">
        <f>'收入支出明细表（基础数据表）'!AF190</f>
        <v>0</v>
      </c>
    </row>
    <row r="73">
      <c r="C73" t="str">
        <v>1、销售费用</v>
      </c>
      <c r="D73" t="str">
        <v>支出</v>
      </c>
      <c r="G73">
        <f>'收入支出明细表（基础数据表）'!T193</f>
        <v>0</v>
      </c>
      <c r="H73">
        <f>'收入支出明细表（基础数据表）'!U193</f>
        <v>0</v>
      </c>
      <c r="I73">
        <f>'收入支出明细表（基础数据表）'!V193</f>
        <v>0</v>
      </c>
      <c r="J73">
        <f>'收入支出明细表（基础数据表）'!W193</f>
        <v>0</v>
      </c>
      <c r="K73">
        <f>'收入支出明细表（基础数据表）'!X193</f>
        <v>0</v>
      </c>
      <c r="L73">
        <f>'收入支出明细表（基础数据表）'!Y193</f>
        <v>0</v>
      </c>
      <c r="M73">
        <f>'收入支出明细表（基础数据表）'!Z193</f>
        <v>0</v>
      </c>
      <c r="N73">
        <f>'收入支出明细表（基础数据表）'!AA193</f>
        <v>0</v>
      </c>
      <c r="O73">
        <f>'收入支出明细表（基础数据表）'!AB193</f>
        <v>0</v>
      </c>
      <c r="P73">
        <f>'收入支出明细表（基础数据表）'!AC193</f>
        <v>0</v>
      </c>
      <c r="Q73">
        <f>'收入支出明细表（基础数据表）'!AD193</f>
        <v>0</v>
      </c>
      <c r="R73">
        <f>'收入支出明细表（基础数据表）'!AE193</f>
        <v>0</v>
      </c>
      <c r="S73">
        <f>'收入支出明细表（基础数据表）'!AF193</f>
        <v>0</v>
      </c>
    </row>
    <row r="74">
      <c r="C74" t="str">
        <v>1-1 社会渠道酬金</v>
      </c>
      <c r="D74" t="str">
        <v>支出</v>
      </c>
      <c r="F74">
        <v>0.06</v>
      </c>
      <c r="G74">
        <f>'收入支出明细表（基础数据表）'!T196</f>
        <v>0</v>
      </c>
      <c r="H74">
        <f>'收入支出明细表（基础数据表）'!U196</f>
        <v>0</v>
      </c>
      <c r="I74">
        <f>'收入支出明细表（基础数据表）'!V196</f>
        <v>0</v>
      </c>
      <c r="J74">
        <f>'收入支出明细表（基础数据表）'!W196</f>
        <v>0</v>
      </c>
      <c r="K74">
        <f>'收入支出明细表（基础数据表）'!X196</f>
        <v>0</v>
      </c>
      <c r="L74">
        <f>'收入支出明细表（基础数据表）'!Y196</f>
        <v>0</v>
      </c>
      <c r="M74">
        <f>'收入支出明细表（基础数据表）'!Z196</f>
        <v>0</v>
      </c>
      <c r="N74">
        <f>'收入支出明细表（基础数据表）'!AA196</f>
        <v>0</v>
      </c>
      <c r="O74">
        <f>'收入支出明细表（基础数据表）'!AB196</f>
        <v>0</v>
      </c>
      <c r="P74">
        <f>'收入支出明细表（基础数据表）'!AC196</f>
        <v>0</v>
      </c>
      <c r="Q74">
        <f>'收入支出明细表（基础数据表）'!AD196</f>
        <v>0</v>
      </c>
      <c r="R74">
        <f>'收入支出明细表（基础数据表）'!AE196</f>
        <v>0</v>
      </c>
      <c r="S74">
        <f>'收入支出明细表（基础数据表）'!AF196</f>
        <v>0</v>
      </c>
    </row>
    <row r="75">
      <c r="C75" t="str">
        <v>1-2 其他销售费用</v>
      </c>
      <c r="D75" t="str">
        <v>支出</v>
      </c>
      <c r="F75">
        <v>0.06</v>
      </c>
      <c r="G75">
        <f>'收入支出明细表（基础数据表）'!T199</f>
        <v>0</v>
      </c>
      <c r="H75">
        <f>'收入支出明细表（基础数据表）'!U199</f>
        <v>0</v>
      </c>
      <c r="I75">
        <f>'收入支出明细表（基础数据表）'!V199</f>
        <v>0</v>
      </c>
      <c r="J75">
        <f>'收入支出明细表（基础数据表）'!W199</f>
        <v>0</v>
      </c>
      <c r="K75">
        <f>'收入支出明细表（基础数据表）'!X199</f>
        <v>0</v>
      </c>
      <c r="L75">
        <f>'收入支出明细表（基础数据表）'!Y199</f>
        <v>0</v>
      </c>
      <c r="M75">
        <f>'收入支出明细表（基础数据表）'!Z199</f>
        <v>0</v>
      </c>
      <c r="N75">
        <f>'收入支出明细表（基础数据表）'!AA199</f>
        <v>0</v>
      </c>
      <c r="O75">
        <f>'收入支出明细表（基础数据表）'!AB199</f>
        <v>0</v>
      </c>
      <c r="P75">
        <f>'收入支出明细表（基础数据表）'!AC199</f>
        <v>0</v>
      </c>
      <c r="Q75">
        <f>'收入支出明细表（基础数据表）'!AD199</f>
        <v>0</v>
      </c>
      <c r="R75">
        <f>'收入支出明细表（基础数据表）'!AE199</f>
        <v>0</v>
      </c>
      <c r="S75">
        <f>'收入支出明细表（基础数据表）'!AF199</f>
        <v>0</v>
      </c>
    </row>
    <row r="76">
      <c r="C76" t="str">
        <v>2、管理费用</v>
      </c>
      <c r="D76" t="str">
        <v>支出</v>
      </c>
      <c r="G76">
        <f>'收入支出明细表（基础数据表）'!T202</f>
        <v>0</v>
      </c>
      <c r="H76">
        <f>'收入支出明细表（基础数据表）'!U202</f>
        <v>0</v>
      </c>
      <c r="I76">
        <f>'收入支出明细表（基础数据表）'!V202</f>
        <v>0</v>
      </c>
      <c r="J76">
        <f>'收入支出明细表（基础数据表）'!W202</f>
        <v>0</v>
      </c>
      <c r="K76">
        <f>'收入支出明细表（基础数据表）'!X202</f>
        <v>0</v>
      </c>
      <c r="L76">
        <f>'收入支出明细表（基础数据表）'!Y202</f>
        <v>0</v>
      </c>
      <c r="M76">
        <f>'收入支出明细表（基础数据表）'!Z202</f>
        <v>0</v>
      </c>
      <c r="N76">
        <f>'收入支出明细表（基础数据表）'!AA202</f>
        <v>0</v>
      </c>
      <c r="O76">
        <f>'收入支出明细表（基础数据表）'!AB202</f>
        <v>0</v>
      </c>
      <c r="P76">
        <f>'收入支出明细表（基础数据表）'!AC202</f>
        <v>0</v>
      </c>
      <c r="Q76">
        <f>'收入支出明细表（基础数据表）'!AD202</f>
        <v>0</v>
      </c>
      <c r="R76">
        <f>'收入支出明细表（基础数据表）'!AE202</f>
        <v>0</v>
      </c>
      <c r="S76">
        <f>'收入支出明细表（基础数据表）'!AF202</f>
        <v>0</v>
      </c>
    </row>
    <row r="77">
      <c r="C77" t="str">
        <v>2-1 招投标服务费及标书制作费</v>
      </c>
      <c r="D77" t="str">
        <v>支出</v>
      </c>
      <c r="F77">
        <v>0.06</v>
      </c>
      <c r="G77">
        <f>'收入支出明细表（基础数据表）'!T205</f>
        <v>0</v>
      </c>
      <c r="H77">
        <f>'收入支出明细表（基础数据表）'!U205</f>
        <v>0</v>
      </c>
      <c r="I77">
        <f>'收入支出明细表（基础数据表）'!V205</f>
        <v>0</v>
      </c>
      <c r="J77">
        <f>'收入支出明细表（基础数据表）'!W205</f>
        <v>0</v>
      </c>
      <c r="K77">
        <f>'收入支出明细表（基础数据表）'!X205</f>
        <v>0</v>
      </c>
      <c r="L77">
        <f>'收入支出明细表（基础数据表）'!Y205</f>
        <v>0</v>
      </c>
      <c r="M77">
        <f>'收入支出明细表（基础数据表）'!Z205</f>
        <v>0</v>
      </c>
      <c r="N77">
        <f>'收入支出明细表（基础数据表）'!AA205</f>
        <v>0</v>
      </c>
      <c r="O77">
        <f>'收入支出明细表（基础数据表）'!AB205</f>
        <v>0</v>
      </c>
      <c r="P77">
        <f>'收入支出明细表（基础数据表）'!AC205</f>
        <v>0</v>
      </c>
      <c r="Q77">
        <f>'收入支出明细表（基础数据表）'!AD205</f>
        <v>0</v>
      </c>
      <c r="R77">
        <f>'收入支出明细表（基础数据表）'!AE205</f>
        <v>0</v>
      </c>
      <c r="S77">
        <f>'收入支出明细表（基础数据表）'!AF205</f>
        <v>0</v>
      </c>
    </row>
    <row r="78">
      <c r="C78" t="str">
        <v>2-2 其他管理费用</v>
      </c>
      <c r="D78" t="str">
        <v>支出</v>
      </c>
      <c r="F78">
        <v>0.06</v>
      </c>
      <c r="G78">
        <f>'收入支出明细表（基础数据表）'!T208</f>
        <v>0</v>
      </c>
      <c r="H78">
        <f>'收入支出明细表（基础数据表）'!U208</f>
        <v>0</v>
      </c>
      <c r="I78">
        <f>'收入支出明细表（基础数据表）'!V208</f>
        <v>0</v>
      </c>
      <c r="J78">
        <f>'收入支出明细表（基础数据表）'!W208</f>
        <v>0</v>
      </c>
      <c r="K78">
        <f>'收入支出明细表（基础数据表）'!X208</f>
        <v>0</v>
      </c>
      <c r="L78">
        <f>'收入支出明细表（基础数据表）'!Y208</f>
        <v>0</v>
      </c>
      <c r="M78">
        <f>'收入支出明细表（基础数据表）'!Z208</f>
        <v>0</v>
      </c>
      <c r="N78">
        <f>'收入支出明细表（基础数据表）'!AA208</f>
        <v>0</v>
      </c>
      <c r="O78">
        <f>'收入支出明细表（基础数据表）'!AB208</f>
        <v>0</v>
      </c>
      <c r="P78">
        <f>'收入支出明细表（基础数据表）'!AC208</f>
        <v>0</v>
      </c>
      <c r="Q78">
        <f>'收入支出明细表（基础数据表）'!AD208</f>
        <v>0</v>
      </c>
      <c r="R78">
        <f>'收入支出明细表（基础数据表）'!AE208</f>
        <v>0</v>
      </c>
      <c r="S78">
        <f>'收入支出明细表（基础数据表）'!AF208</f>
        <v>0</v>
      </c>
    </row>
    <row r="79">
      <c r="C79" t="str">
        <v>3、研发费用</v>
      </c>
      <c r="D79" t="str">
        <v>支出</v>
      </c>
      <c r="F79">
        <v>0.06</v>
      </c>
      <c r="G79">
        <f>'收入支出明细表（基础数据表）'!T211</f>
        <v>0</v>
      </c>
      <c r="H79">
        <f>'收入支出明细表（基础数据表）'!U211</f>
        <v>0</v>
      </c>
      <c r="I79">
        <f>'收入支出明细表（基础数据表）'!V211</f>
        <v>0</v>
      </c>
      <c r="J79">
        <f>'收入支出明细表（基础数据表）'!W211</f>
        <v>0</v>
      </c>
      <c r="K79">
        <f>'收入支出明细表（基础数据表）'!X211</f>
        <v>0</v>
      </c>
      <c r="L79">
        <f>'收入支出明细表（基础数据表）'!Y211</f>
        <v>0</v>
      </c>
      <c r="M79">
        <f>'收入支出明细表（基础数据表）'!Z211</f>
        <v>0</v>
      </c>
      <c r="N79">
        <f>'收入支出明细表（基础数据表）'!AA211</f>
        <v>0</v>
      </c>
      <c r="O79">
        <f>'收入支出明细表（基础数据表）'!AB211</f>
        <v>0</v>
      </c>
      <c r="P79">
        <f>'收入支出明细表（基础数据表）'!AC211</f>
        <v>0</v>
      </c>
      <c r="Q79">
        <f>'收入支出明细表（基础数据表）'!AD211</f>
        <v>0</v>
      </c>
      <c r="R79">
        <f>'收入支出明细表（基础数据表）'!AE211</f>
        <v>0</v>
      </c>
      <c r="S79">
        <f>'收入支出明细表（基础数据表）'!AF211</f>
        <v>0</v>
      </c>
    </row>
    <row r="80">
      <c r="C80" t="str">
        <v xml:space="preserve">        ……</v>
      </c>
      <c r="G80">
        <f>'收入支出明细表（基础数据表）'!T214</f>
        <v>0</v>
      </c>
      <c r="H80">
        <f>'收入支出明细表（基础数据表）'!U214</f>
        <v>0</v>
      </c>
      <c r="I80">
        <f>'收入支出明细表（基础数据表）'!V214</f>
        <v>0</v>
      </c>
      <c r="J80">
        <f>'收入支出明细表（基础数据表）'!W214</f>
        <v>0</v>
      </c>
      <c r="K80">
        <f>'收入支出明细表（基础数据表）'!X214</f>
        <v>0</v>
      </c>
      <c r="L80">
        <f>'收入支出明细表（基础数据表）'!Y214</f>
        <v>0</v>
      </c>
      <c r="M80">
        <f>'收入支出明细表（基础数据表）'!Z214</f>
        <v>0</v>
      </c>
      <c r="N80">
        <f>'收入支出明细表（基础数据表）'!AA214</f>
        <v>0</v>
      </c>
      <c r="O80">
        <f>'收入支出明细表（基础数据表）'!AB214</f>
        <v>0</v>
      </c>
      <c r="P80">
        <f>'收入支出明细表（基础数据表）'!AC214</f>
        <v>0</v>
      </c>
      <c r="Q80">
        <f>'收入支出明细表（基础数据表）'!AD214</f>
        <v>0</v>
      </c>
      <c r="R80">
        <f>'收入支出明细表（基础数据表）'!AE214</f>
        <v>0</v>
      </c>
      <c r="S80">
        <f>'收入支出明细表（基础数据表）'!AF214</f>
        <v>0</v>
      </c>
    </row>
    <row r="81">
      <c r="A81" t="str">
        <v>非本项目新增支出成本分摊</v>
      </c>
      <c r="C81" t="str">
        <v>合计</v>
      </c>
      <c r="D81" t="str">
        <v>支出</v>
      </c>
      <c r="G81">
        <f>'收入支出明细表（基础数据表）'!T215</f>
        <v>0</v>
      </c>
      <c r="H81">
        <f>'收入支出明细表（基础数据表）'!U215</f>
        <v>0</v>
      </c>
      <c r="I81">
        <f>'收入支出明细表（基础数据表）'!V215</f>
        <v>0</v>
      </c>
      <c r="J81">
        <f>'收入支出明细表（基础数据表）'!W215</f>
        <v>0</v>
      </c>
      <c r="K81">
        <f>'收入支出明细表（基础数据表）'!X215</f>
        <v>0</v>
      </c>
      <c r="L81">
        <f>'收入支出明细表（基础数据表）'!Y215</f>
        <v>0</v>
      </c>
      <c r="M81">
        <f>'收入支出明细表（基础数据表）'!Z215</f>
        <v>0</v>
      </c>
      <c r="N81">
        <f>'收入支出明细表（基础数据表）'!AA215</f>
        <v>0</v>
      </c>
      <c r="O81">
        <f>'收入支出明细表（基础数据表）'!AB215</f>
        <v>0</v>
      </c>
      <c r="P81">
        <f>'收入支出明细表（基础数据表）'!AC215</f>
        <v>0</v>
      </c>
      <c r="Q81">
        <f>'收入支出明细表（基础数据表）'!AD215</f>
        <v>0</v>
      </c>
      <c r="R81">
        <f>'收入支出明细表（基础数据表）'!AE215</f>
        <v>0</v>
      </c>
      <c r="S81">
        <f>'收入支出明细表（基础数据表）'!AF215</f>
        <v>0</v>
      </c>
    </row>
    <row r="82">
      <c r="C82" t="str">
        <v>1、IT收入所对应的相关成本分摊</v>
      </c>
      <c r="D82" t="str">
        <v>支出</v>
      </c>
      <c r="G82">
        <f>'收入支出明细表（基础数据表）'!T218</f>
        <v>0</v>
      </c>
      <c r="H82">
        <f>'收入支出明细表（基础数据表）'!U218</f>
        <v>0</v>
      </c>
      <c r="I82">
        <f>'收入支出明细表（基础数据表）'!V218</f>
        <v>0</v>
      </c>
      <c r="J82">
        <f>'收入支出明细表（基础数据表）'!W218</f>
        <v>0</v>
      </c>
      <c r="K82">
        <f>'收入支出明细表（基础数据表）'!X218</f>
        <v>0</v>
      </c>
      <c r="L82">
        <f>'收入支出明细表（基础数据表）'!Y218</f>
        <v>0</v>
      </c>
      <c r="M82">
        <f>'收入支出明细表（基础数据表）'!Z218</f>
        <v>0</v>
      </c>
      <c r="N82">
        <f>'收入支出明细表（基础数据表）'!AA218</f>
        <v>0</v>
      </c>
      <c r="O82">
        <f>'收入支出明细表（基础数据表）'!AB218</f>
        <v>0</v>
      </c>
      <c r="P82">
        <f>'收入支出明细表（基础数据表）'!AC218</f>
        <v>0</v>
      </c>
      <c r="Q82">
        <f>'收入支出明细表（基础数据表）'!AD218</f>
        <v>0</v>
      </c>
      <c r="R82">
        <f>'收入支出明细表（基础数据表）'!AE218</f>
        <v>0</v>
      </c>
      <c r="S82">
        <f>'收入支出明细表（基础数据表）'!AF218</f>
        <v>0</v>
      </c>
    </row>
    <row r="83">
      <c r="C83" t="str">
        <v>2、CT收入所对应的基础网络资源的成本分摊</v>
      </c>
      <c r="D83" t="str">
        <v>支出</v>
      </c>
      <c r="G83">
        <f>'收入支出明细表（基础数据表）'!T221</f>
        <v>0</v>
      </c>
      <c r="H83">
        <f>'收入支出明细表（基础数据表）'!U221</f>
        <v>0</v>
      </c>
      <c r="I83">
        <f>'收入支出明细表（基础数据表）'!V221</f>
        <v>0</v>
      </c>
      <c r="J83">
        <f>'收入支出明细表（基础数据表）'!W221</f>
        <v>0</v>
      </c>
      <c r="K83">
        <f>'收入支出明细表（基础数据表）'!X221</f>
        <v>0</v>
      </c>
      <c r="L83">
        <f>'收入支出明细表（基础数据表）'!Y221</f>
        <v>0</v>
      </c>
      <c r="M83">
        <f>'收入支出明细表（基础数据表）'!Z221</f>
        <v>0</v>
      </c>
      <c r="N83">
        <f>'收入支出明细表（基础数据表）'!AA221</f>
        <v>0</v>
      </c>
      <c r="O83">
        <f>'收入支出明细表（基础数据表）'!AB221</f>
        <v>0</v>
      </c>
      <c r="P83">
        <f>'收入支出明细表（基础数据表）'!AC221</f>
        <v>0</v>
      </c>
      <c r="Q83">
        <f>'收入支出明细表（基础数据表）'!AD221</f>
        <v>0</v>
      </c>
      <c r="R83">
        <f>'收入支出明细表（基础数据表）'!AE221</f>
        <v>0</v>
      </c>
      <c r="S83">
        <f>'收入支出明细表（基础数据表）'!AF221</f>
        <v>0</v>
      </c>
    </row>
  </sheetData>
  <autoFilter ref="A2:X84"/>
  <mergeCells count="16">
    <mergeCell ref="A1:S1"/>
    <mergeCell ref="A2:C2"/>
    <mergeCell ref="B3:C3"/>
    <mergeCell ref="B38:C38"/>
    <mergeCell ref="A84:F84"/>
    <mergeCell ref="A3:A37"/>
    <mergeCell ref="A38:A53"/>
    <mergeCell ref="A54:A80"/>
    <mergeCell ref="B4:B15"/>
    <mergeCell ref="B16:B37"/>
    <mergeCell ref="B39:B46"/>
    <mergeCell ref="B47:B53"/>
    <mergeCell ref="B54:B64"/>
    <mergeCell ref="B65:B71"/>
    <mergeCell ref="B72:B80"/>
    <mergeCell ref="A81:B83"/>
  </mergeCells>
  <pageMargins left="0.75" right="0.75" top="1" bottom="1" header="0.5" footer="0.5"/>
  <ignoredErrors>
    <ignoredError numberStoredAsText="1" sqref="A1:XEO86"/>
  </ignoredErrors>
</worksheet>
</file>

<file path=xl/worksheets/sheet6.xml><?xml version="1.0" encoding="utf-8"?>
<worksheet xmlns="http://schemas.openxmlformats.org/spreadsheetml/2006/main" xmlns:r="http://schemas.openxmlformats.org/officeDocument/2006/relationships">
  <dimension ref="A1:U41"/>
  <sheetViews>
    <sheetView workbookViewId="0" rightToLeft="0"/>
  </sheetViews>
  <sheetData>
    <row r="1">
      <c r="B1" t="str">
        <v>参数</v>
      </c>
      <c r="C1" t="str">
        <v>月折现率</v>
      </c>
      <c r="D1" t="str">
        <v>所得税率</v>
      </c>
    </row>
    <row r="2">
      <c r="B2" t="str">
        <v>值</v>
      </c>
      <c r="C2">
        <v>0.05</v>
      </c>
    </row>
    <row r="3">
      <c r="B3" t="str">
        <v>ICT项目现金流数据   (单位：元)</v>
      </c>
    </row>
    <row r="4">
      <c r="B4" t="str">
        <v>指标值</v>
      </c>
      <c r="C4" t="str">
        <v>金额（含税）</v>
      </c>
      <c r="D4" t="str">
        <v>期初</v>
      </c>
      <c r="E4" t="str">
        <v>第1年</v>
      </c>
      <c r="F4" t="str">
        <v>第2年</v>
      </c>
      <c r="G4" t="str">
        <v>第3年</v>
      </c>
      <c r="H4" t="str">
        <v>第4年</v>
      </c>
      <c r="I4" t="str">
        <v>第5年</v>
      </c>
      <c r="J4" t="str">
        <v>第6年</v>
      </c>
      <c r="K4" t="str">
        <v>第7年</v>
      </c>
      <c r="L4" t="str">
        <v>第8年</v>
      </c>
      <c r="M4" t="str">
        <v>第9年</v>
      </c>
      <c r="N4" t="str">
        <v>第10年</v>
      </c>
      <c r="O4" t="str">
        <v>…</v>
      </c>
    </row>
    <row r="5">
      <c r="B5" t="str">
        <v>现金流入合计</v>
      </c>
      <c r="C5">
        <f>SUM(D5:O5)</f>
        <v>0</v>
      </c>
      <c r="D5">
        <f>'收入支出明细表（基础数据表）'!H4</f>
        <v>0</v>
      </c>
      <c r="E5">
        <f>'收入支出明细表（基础数据表）'!I4</f>
        <v>0</v>
      </c>
      <c r="F5">
        <f>'收入支出明细表（基础数据表）'!J4</f>
        <v>0</v>
      </c>
      <c r="G5">
        <f>'收入支出明细表（基础数据表）'!K4</f>
        <v>0</v>
      </c>
      <c r="H5">
        <f>'收入支出明细表（基础数据表）'!L4</f>
        <v>0</v>
      </c>
      <c r="I5">
        <f>'收入支出明细表（基础数据表）'!M4</f>
        <v>0</v>
      </c>
      <c r="J5">
        <f>'收入支出明细表（基础数据表）'!N4</f>
        <v>0</v>
      </c>
      <c r="K5">
        <f>'收入支出明细表（基础数据表）'!O4</f>
        <v>0</v>
      </c>
      <c r="L5">
        <f>'收入支出明细表（基础数据表）'!P4</f>
        <v>0</v>
      </c>
      <c r="M5">
        <f>'收入支出明细表（基础数据表）'!Q4</f>
        <v>0</v>
      </c>
      <c r="N5">
        <f>'收入支出明细表（基础数据表）'!R4</f>
        <v>0</v>
      </c>
      <c r="O5">
        <f>'收入支出明细表（基础数据表）'!S4</f>
        <v>0</v>
      </c>
    </row>
    <row r="6">
      <c r="B6" t="str">
        <v>成本类现金流出</v>
      </c>
      <c r="C6">
        <f>SUM(D6:O6)</f>
        <v>0</v>
      </c>
      <c r="D6">
        <f>'收入支出明细表（基础数据表）'!H141+'收入支出明细表（基础数据表）'!H172+'收入支出明细表（基础数据表）'!H191+'收入支出明细表（基础数据表）'!H216</f>
        <v>0</v>
      </c>
      <c r="E6">
        <f>'收入支出明细表（基础数据表）'!I141+'收入支出明细表（基础数据表）'!I172+'收入支出明细表（基础数据表）'!I191+'收入支出明细表（基础数据表）'!I216</f>
        <v>0</v>
      </c>
      <c r="F6">
        <f>'收入支出明细表（基础数据表）'!J141+'收入支出明细表（基础数据表）'!J172+'收入支出明细表（基础数据表）'!J191+'收入支出明细表（基础数据表）'!J216</f>
        <v>0</v>
      </c>
      <c r="G6">
        <f>'收入支出明细表（基础数据表）'!K141+'收入支出明细表（基础数据表）'!K172+'收入支出明细表（基础数据表）'!K191+'收入支出明细表（基础数据表）'!K216</f>
        <v>0</v>
      </c>
      <c r="H6">
        <f>'收入支出明细表（基础数据表）'!L141+'收入支出明细表（基础数据表）'!L172+'收入支出明细表（基础数据表）'!L191+'收入支出明细表（基础数据表）'!L216</f>
        <v>0</v>
      </c>
      <c r="I6">
        <f>'收入支出明细表（基础数据表）'!M141+'收入支出明细表（基础数据表）'!M172+'收入支出明细表（基础数据表）'!M191+'收入支出明细表（基础数据表）'!M216</f>
        <v>0</v>
      </c>
      <c r="J6">
        <f>'收入支出明细表（基础数据表）'!N141+'收入支出明细表（基础数据表）'!N172+'收入支出明细表（基础数据表）'!N191+'收入支出明细表（基础数据表）'!N216</f>
        <v>0</v>
      </c>
      <c r="K6">
        <f>'收入支出明细表（基础数据表）'!O141+'收入支出明细表（基础数据表）'!O172+'收入支出明细表（基础数据表）'!O191+'收入支出明细表（基础数据表）'!O216</f>
        <v>0</v>
      </c>
      <c r="L6">
        <f>'收入支出明细表（基础数据表）'!P141+'收入支出明细表（基础数据表）'!P172+'收入支出明细表（基础数据表）'!P191+'收入支出明细表（基础数据表）'!P216</f>
        <v>0</v>
      </c>
      <c r="M6">
        <f>'收入支出明细表（基础数据表）'!Q141+'收入支出明细表（基础数据表）'!Q172+'收入支出明细表（基础数据表）'!Q191+'收入支出明细表（基础数据表）'!Q216</f>
        <v>0</v>
      </c>
      <c r="N6">
        <f>'收入支出明细表（基础数据表）'!R141+'收入支出明细表（基础数据表）'!R172+'收入支出明细表（基础数据表）'!R191+'收入支出明细表（基础数据表）'!R216</f>
        <v>0</v>
      </c>
      <c r="O6">
        <f>'收入支出明细表（基础数据表）'!S141+'收入支出明细表（基础数据表）'!S172+'收入支出明细表（基础数据表）'!S191+'收入支出明细表（基础数据表）'!S216</f>
        <v>0</v>
      </c>
    </row>
    <row r="7">
      <c r="B7" t="str">
        <v>投资类现金流出</v>
      </c>
      <c r="C7">
        <f>SUM(D7:O7)</f>
        <v>0</v>
      </c>
      <c r="D7">
        <f>'收入支出明细表（基础数据表）'!H100+'收入支出明细表（基础数据表）'!H122</f>
        <v>0</v>
      </c>
      <c r="E7">
        <f>'收入支出明细表（基础数据表）'!I100+'收入支出明细表（基础数据表）'!I122</f>
        <v>0</v>
      </c>
      <c r="F7">
        <f>'收入支出明细表（基础数据表）'!J100+'收入支出明细表（基础数据表）'!J122</f>
        <v>0</v>
      </c>
      <c r="G7">
        <f>'收入支出明细表（基础数据表）'!K100+'收入支出明细表（基础数据表）'!K122</f>
        <v>0</v>
      </c>
      <c r="H7">
        <f>'收入支出明细表（基础数据表）'!L100+'收入支出明细表（基础数据表）'!L122</f>
        <v>0</v>
      </c>
      <c r="I7">
        <f>'收入支出明细表（基础数据表）'!M100+'收入支出明细表（基础数据表）'!M122</f>
        <v>0</v>
      </c>
      <c r="J7">
        <f>'收入支出明细表（基础数据表）'!N100+'收入支出明细表（基础数据表）'!N122</f>
        <v>0</v>
      </c>
      <c r="K7">
        <f>'收入支出明细表（基础数据表）'!O100+'收入支出明细表（基础数据表）'!O122</f>
        <v>0</v>
      </c>
      <c r="L7">
        <f>'收入支出明细表（基础数据表）'!P100+'收入支出明细表（基础数据表）'!P122</f>
        <v>0</v>
      </c>
      <c r="M7">
        <f>'收入支出明细表（基础数据表）'!Q100+'收入支出明细表（基础数据表）'!Q122</f>
        <v>0</v>
      </c>
      <c r="N7">
        <f>'收入支出明细表（基础数据表）'!R100+'收入支出明细表（基础数据表）'!R122</f>
        <v>0</v>
      </c>
      <c r="O7">
        <f>'收入支出明细表（基础数据表）'!S100+'收入支出明细表（基础数据表）'!S122</f>
        <v>0</v>
      </c>
    </row>
    <row r="8">
      <c r="B8" t="str">
        <v>所得税支出</v>
      </c>
      <c r="C8">
        <f>C36</f>
        <v>0</v>
      </c>
      <c r="D8">
        <f>D36</f>
        <v>0</v>
      </c>
      <c r="E8">
        <f>E36</f>
        <v>0</v>
      </c>
      <c r="F8">
        <f>F36</f>
        <v>0</v>
      </c>
      <c r="G8">
        <f>G36</f>
        <v>0</v>
      </c>
      <c r="H8">
        <f>H36</f>
        <v>0</v>
      </c>
      <c r="I8">
        <f>I36</f>
        <v>0</v>
      </c>
      <c r="J8">
        <f>J36</f>
        <v>0</v>
      </c>
      <c r="K8">
        <f>K36</f>
        <v>0</v>
      </c>
      <c r="L8">
        <f>L36</f>
        <v>0</v>
      </c>
      <c r="M8">
        <f>M36</f>
        <v>0</v>
      </c>
      <c r="N8">
        <f>N36</f>
        <v>0</v>
      </c>
      <c r="O8">
        <f>O36</f>
        <v>0</v>
      </c>
    </row>
    <row r="9">
      <c r="B9" t="str">
        <v>现金流出合计</v>
      </c>
      <c r="C9">
        <f>SUM(C6:C8)</f>
        <v>0</v>
      </c>
      <c r="D9">
        <f>SUM(D6:D8)</f>
        <v>0</v>
      </c>
      <c r="E9">
        <f>SUM(E6:E8)</f>
        <v>0</v>
      </c>
      <c r="F9">
        <f>SUM(F6:F8)</f>
        <v>0</v>
      </c>
      <c r="G9">
        <f>SUM(G6:G8)</f>
        <v>0</v>
      </c>
      <c r="H9">
        <f>SUM(H6:H8)</f>
        <v>0</v>
      </c>
      <c r="I9">
        <f>SUM(I6:I8)</f>
        <v>0</v>
      </c>
      <c r="J9">
        <f>SUM(J6:J8)</f>
        <v>0</v>
      </c>
      <c r="K9">
        <f>SUM(K6:K8)</f>
        <v>0</v>
      </c>
      <c r="L9">
        <f>SUM(L6:L8)</f>
        <v>0</v>
      </c>
      <c r="M9">
        <f>SUM(M6:M8)</f>
        <v>0</v>
      </c>
      <c r="N9">
        <f>SUM(N6:N8)</f>
        <v>0</v>
      </c>
      <c r="O9">
        <f>SUM(O6:O8)</f>
        <v>0</v>
      </c>
    </row>
    <row r="10">
      <c r="B10" t="str">
        <v>净现金流量</v>
      </c>
      <c r="C10">
        <f>SUM(D10:O10)</f>
        <v>0</v>
      </c>
      <c r="D10">
        <f>D5-D9</f>
        <v>0</v>
      </c>
      <c r="E10">
        <f>E5-E9</f>
        <v>0</v>
      </c>
      <c r="F10">
        <f>F5-F9</f>
        <v>0</v>
      </c>
      <c r="G10">
        <f>G5-G9</f>
        <v>0</v>
      </c>
      <c r="H10">
        <f>H5-H9</f>
        <v>0</v>
      </c>
      <c r="I10">
        <f>I5-I9</f>
        <v>0</v>
      </c>
      <c r="J10">
        <f>J5-J9</f>
        <v>0</v>
      </c>
      <c r="K10">
        <f>K5-K9</f>
        <v>0</v>
      </c>
      <c r="L10">
        <f>L5-L9</f>
        <v>0</v>
      </c>
      <c r="M10">
        <f>M5-M9</f>
        <v>0</v>
      </c>
      <c r="N10">
        <f>N5-N9</f>
        <v>0</v>
      </c>
      <c r="O10">
        <f>O5-O9</f>
        <v>0</v>
      </c>
    </row>
    <row r="11">
      <c r="B11" t="str">
        <v>累计净现金流量</v>
      </c>
      <c r="C11">
        <f>N11</f>
        <v>0</v>
      </c>
      <c r="D11">
        <f>SUM($D10:D10)</f>
        <v>0</v>
      </c>
      <c r="E11">
        <f>SUM($D10:E10)</f>
        <v>0</v>
      </c>
      <c r="F11">
        <f>SUM($D10:F10)</f>
        <v>0</v>
      </c>
      <c r="G11">
        <f>SUM($D10:G10)</f>
        <v>0</v>
      </c>
      <c r="H11">
        <f>SUM($D10:H10)</f>
        <v>0</v>
      </c>
      <c r="I11">
        <f>SUM($D10:I10)</f>
        <v>0</v>
      </c>
      <c r="J11">
        <f>SUM($D10:J10)</f>
        <v>0</v>
      </c>
      <c r="K11">
        <f>SUM($D10:K10)</f>
        <v>0</v>
      </c>
      <c r="L11">
        <f>SUM($D10:L10)</f>
        <v>0</v>
      </c>
      <c r="M11">
        <f>SUM($D10:M10)</f>
        <v>0</v>
      </c>
      <c r="N11">
        <f>SUM($D10:N10)</f>
        <v>0</v>
      </c>
      <c r="O11">
        <f>SUM($D10:O10)</f>
        <v>0</v>
      </c>
    </row>
    <row r="14">
      <c r="B14" t="str">
        <v>相关现值指标计算表  （单位：元）</v>
      </c>
    </row>
    <row r="15">
      <c r="B15" t="str">
        <v>现值指标</v>
      </c>
      <c r="C15" t="str">
        <v>金额（含税）</v>
      </c>
      <c r="D15" t="str">
        <v>第0年</v>
      </c>
      <c r="E15" t="str">
        <v>第1年</v>
      </c>
      <c r="F15" t="str">
        <v>第2年</v>
      </c>
      <c r="G15" t="str">
        <v>第3年</v>
      </c>
      <c r="H15" t="str">
        <v>第4年</v>
      </c>
      <c r="I15" t="str">
        <v>第5年</v>
      </c>
      <c r="J15" t="str">
        <v>第6年</v>
      </c>
      <c r="K15" t="str">
        <v>第7年</v>
      </c>
      <c r="L15" t="str">
        <v>第8年</v>
      </c>
      <c r="M15" t="str">
        <v>第9年</v>
      </c>
      <c r="N15" t="str">
        <v>第10年</v>
      </c>
      <c r="O15" t="str">
        <v>…</v>
      </c>
    </row>
    <row r="16">
      <c r="B16" t="str">
        <v>净现值累计为正年份</v>
      </c>
      <c r="D16">
        <f>IF(D24&lt;=0,1,0)</f>
        <v>1</v>
      </c>
      <c r="E16">
        <f>IF(E24&lt;=0,1,0)</f>
        <v>1</v>
      </c>
      <c r="F16">
        <f>IF(F24&lt;=0,1,0)</f>
        <v>1</v>
      </c>
      <c r="G16">
        <f>IF(G24&lt;=0,1,0)</f>
        <v>1</v>
      </c>
      <c r="H16">
        <f>IF(H24&lt;=0,1,0)</f>
        <v>1</v>
      </c>
      <c r="I16">
        <f>IF(I24&lt;=0,1,0)</f>
        <v>1</v>
      </c>
      <c r="J16">
        <f>IF(J24&lt;=0,1,0)</f>
        <v>1</v>
      </c>
      <c r="K16">
        <f>IF(K24&lt;=0,1,0)</f>
        <v>1</v>
      </c>
      <c r="L16">
        <f>IF(L24&lt;=0,1,0)</f>
        <v>1</v>
      </c>
      <c r="M16">
        <f>IF(M24&lt;=0,1,0)</f>
        <v>1</v>
      </c>
      <c r="N16">
        <f>IF(N24&lt;=0,1,0)</f>
        <v>1</v>
      </c>
      <c r="O16">
        <f>IF(O24&lt;=0,1,0)</f>
        <v>1</v>
      </c>
    </row>
    <row r="17">
      <c r="B17" t="str">
        <v>净现流累计为正年份</v>
      </c>
      <c r="D17">
        <f>IF(D11&lt;=0,1,0)</f>
        <v>1</v>
      </c>
      <c r="E17">
        <f>IF(E11&lt;=0,1,0)</f>
        <v>1</v>
      </c>
      <c r="F17">
        <f>IF(F11&lt;=0,1,0)</f>
        <v>1</v>
      </c>
      <c r="G17">
        <f>IF(G11&lt;=0,1,0)</f>
        <v>1</v>
      </c>
      <c r="H17">
        <f>IF(H11&lt;=0,1,0)</f>
        <v>1</v>
      </c>
      <c r="I17">
        <f>IF(I11&lt;=0,1,0)</f>
        <v>1</v>
      </c>
      <c r="J17">
        <f>IF(J11&lt;=0,1,0)</f>
        <v>1</v>
      </c>
      <c r="K17">
        <f>IF(K11&lt;=0,1,0)</f>
        <v>1</v>
      </c>
      <c r="L17">
        <f>IF(L11&lt;=0,1,0)</f>
        <v>1</v>
      </c>
      <c r="M17">
        <f>IF(M11&lt;=0,1,0)</f>
        <v>1</v>
      </c>
      <c r="N17">
        <f>IF(N11&lt;=0,1,0)</f>
        <v>1</v>
      </c>
      <c r="O17">
        <f>IF(O11&lt;=0,1,0)</f>
        <v>1</v>
      </c>
    </row>
    <row r="18">
      <c r="B18" t="str">
        <v>指标值</v>
      </c>
      <c r="D18">
        <v>0</v>
      </c>
      <c r="E18">
        <v>1</v>
      </c>
      <c r="F18">
        <v>2</v>
      </c>
      <c r="G18">
        <v>3</v>
      </c>
      <c r="H18">
        <v>4</v>
      </c>
      <c r="I18">
        <v>5</v>
      </c>
      <c r="J18">
        <v>6</v>
      </c>
      <c r="K18">
        <v>7</v>
      </c>
      <c r="L18">
        <v>8</v>
      </c>
      <c r="M18">
        <v>9</v>
      </c>
      <c r="N18">
        <v>10</v>
      </c>
      <c r="O18">
        <v>11</v>
      </c>
    </row>
    <row r="19">
      <c r="B19" t="str">
        <v>现金流入现值</v>
      </c>
      <c r="C19">
        <f>SUM(D19:O19)</f>
        <v>0</v>
      </c>
      <c r="D19">
        <f>D5/(1+$C$2)^D18</f>
        <v>0</v>
      </c>
      <c r="E19">
        <f>E5/(1+$C$2)^E18</f>
        <v>0</v>
      </c>
      <c r="F19">
        <f>F5/(1+$C$2)^F18</f>
        <v>0</v>
      </c>
      <c r="G19">
        <f>G5/(1+$C$2)^G18</f>
        <v>0</v>
      </c>
      <c r="H19">
        <f>H5/(1+$C$2)^H18</f>
        <v>0</v>
      </c>
      <c r="I19">
        <f>I5/(1+$C$2)^I18</f>
        <v>0</v>
      </c>
      <c r="J19">
        <f>J5/(1+$C$2)^J18</f>
        <v>0</v>
      </c>
      <c r="K19">
        <f>K5/(1+$C$2)^K18</f>
        <v>0</v>
      </c>
      <c r="L19">
        <f>L5/(1+$C$2)^L18</f>
        <v>0</v>
      </c>
      <c r="M19">
        <f>M5/(1+$C$2)^M18</f>
        <v>0</v>
      </c>
      <c r="N19">
        <f>N5/(1+$C$2)^N18</f>
        <v>0</v>
      </c>
      <c r="O19">
        <f>O5/(1+$C$2)^O18</f>
        <v>0</v>
      </c>
    </row>
    <row r="20">
      <c r="B20" t="str">
        <v>现金流出现值</v>
      </c>
      <c r="C20">
        <f>SUM(D20:O20)</f>
        <v>0</v>
      </c>
      <c r="D20">
        <f>D9/(1+$C$2)^D18</f>
        <v>0</v>
      </c>
      <c r="E20">
        <f>E9/(1+$C$2)^E18</f>
        <v>0</v>
      </c>
      <c r="F20">
        <f>F9/(1+$C$2)^F18</f>
        <v>0</v>
      </c>
      <c r="G20">
        <f>G9/(1+$C$2)^G18</f>
        <v>0</v>
      </c>
      <c r="H20">
        <f>H9/(1+$C$2)^H18</f>
        <v>0</v>
      </c>
      <c r="I20">
        <f>I9/(1+$C$2)^I18</f>
        <v>0</v>
      </c>
      <c r="J20">
        <f>J9/(1+$C$2)^J18</f>
        <v>0</v>
      </c>
      <c r="K20">
        <f>K9/(1+$C$2)^K18</f>
        <v>0</v>
      </c>
      <c r="L20">
        <f>L9/(1+$C$2)^L18</f>
        <v>0</v>
      </c>
      <c r="M20">
        <f>M9/(1+$C$2)^M18</f>
        <v>0</v>
      </c>
      <c r="N20">
        <f>N9/(1+$C$2)^N18</f>
        <v>0</v>
      </c>
      <c r="O20">
        <f>O9/(1+$C$2)^O18</f>
        <v>0</v>
      </c>
    </row>
    <row r="21">
      <c r="B21" t="str">
        <v>净现金流量</v>
      </c>
      <c r="C21">
        <f>C10</f>
        <v>0</v>
      </c>
      <c r="D21">
        <f>D10</f>
        <v>0</v>
      </c>
      <c r="E21">
        <f>E10</f>
        <v>0</v>
      </c>
      <c r="F21">
        <f>F10</f>
        <v>0</v>
      </c>
      <c r="G21">
        <f>G10</f>
        <v>0</v>
      </c>
      <c r="H21">
        <f>H10</f>
        <v>0</v>
      </c>
      <c r="I21">
        <f>I10</f>
        <v>0</v>
      </c>
      <c r="J21">
        <f>J10</f>
        <v>0</v>
      </c>
      <c r="K21">
        <f>K10</f>
        <v>0</v>
      </c>
      <c r="L21">
        <f>L10</f>
        <v>0</v>
      </c>
      <c r="M21">
        <f>M10</f>
        <v>0</v>
      </c>
      <c r="N21">
        <f>N10</f>
        <v>0</v>
      </c>
      <c r="O21">
        <f>O10</f>
        <v>0</v>
      </c>
    </row>
    <row r="22">
      <c r="B22" t="str">
        <v>净现金流量现值</v>
      </c>
      <c r="C22">
        <f>SUM(D22:O22)</f>
        <v>0</v>
      </c>
      <c r="D22">
        <f>D10/(1+$C$2)^D18</f>
        <v>0</v>
      </c>
      <c r="E22">
        <f>E10/(1+$C$2)^E18</f>
        <v>0</v>
      </c>
      <c r="F22">
        <f>F10/(1+$C$2)^F18</f>
        <v>0</v>
      </c>
      <c r="G22">
        <f>G10/(1+$C$2)^G18</f>
        <v>0</v>
      </c>
      <c r="H22">
        <f>H10/(1+$C$2)^H18</f>
        <v>0</v>
      </c>
      <c r="I22">
        <f>I10/(1+$C$2)^I18</f>
        <v>0</v>
      </c>
      <c r="J22">
        <f>J10/(1+$C$2)^J18</f>
        <v>0</v>
      </c>
      <c r="K22">
        <f>K10/(1+$C$2)^K18</f>
        <v>0</v>
      </c>
      <c r="L22">
        <f>L10/(1+$C$2)^L18</f>
        <v>0</v>
      </c>
      <c r="M22">
        <f>M10/(1+$C$2)^M18</f>
        <v>0</v>
      </c>
      <c r="N22">
        <f>N10/(1+$C$2)^N18</f>
        <v>0</v>
      </c>
      <c r="O22">
        <f>O10/(1+$C$2)^O18</f>
        <v>0</v>
      </c>
    </row>
    <row r="23">
      <c r="B23" t="str">
        <v>累计净现金流量</v>
      </c>
      <c r="C23">
        <f>C11</f>
        <v>0</v>
      </c>
      <c r="D23">
        <f>D11</f>
        <v>0</v>
      </c>
      <c r="E23">
        <f>E11</f>
        <v>0</v>
      </c>
      <c r="F23">
        <f>F11</f>
        <v>0</v>
      </c>
      <c r="G23">
        <f>G11</f>
        <v>0</v>
      </c>
      <c r="H23">
        <f>H11</f>
        <v>0</v>
      </c>
      <c r="I23">
        <f>I11</f>
        <v>0</v>
      </c>
      <c r="J23">
        <f>J11</f>
        <v>0</v>
      </c>
      <c r="K23">
        <f>K11</f>
        <v>0</v>
      </c>
      <c r="L23">
        <f>L11</f>
        <v>0</v>
      </c>
      <c r="M23">
        <f>M11</f>
        <v>0</v>
      </c>
      <c r="N23">
        <f>N11</f>
        <v>0</v>
      </c>
      <c r="O23">
        <f>O11</f>
        <v>0</v>
      </c>
    </row>
    <row r="24">
      <c r="B24" t="str">
        <v>累计净现金流量现值</v>
      </c>
      <c r="C24">
        <f>N24</f>
        <v>0</v>
      </c>
      <c r="D24">
        <f>SUM($D22:D22)</f>
        <v>0</v>
      </c>
      <c r="E24">
        <f>SUM($D22:E22)</f>
        <v>0</v>
      </c>
      <c r="F24">
        <f>SUM($D22:F22)</f>
        <v>0</v>
      </c>
      <c r="G24">
        <f>SUM($D22:G22)</f>
        <v>0</v>
      </c>
      <c r="H24">
        <f>SUM($D22:H22)</f>
        <v>0</v>
      </c>
      <c r="I24">
        <f>SUM($D22:I22)</f>
        <v>0</v>
      </c>
      <c r="J24">
        <f>SUM($D22:J22)</f>
        <v>0</v>
      </c>
      <c r="K24">
        <f>SUM($D22:K22)</f>
        <v>0</v>
      </c>
      <c r="L24">
        <f>SUM($D22:L22)</f>
        <v>0</v>
      </c>
      <c r="M24">
        <f>SUM($D22:M22)</f>
        <v>0</v>
      </c>
      <c r="N24">
        <f>SUM($D22:N22)</f>
        <v>0</v>
      </c>
      <c r="O24">
        <f>SUM($D22:O22)</f>
        <v>0</v>
      </c>
    </row>
    <row r="25">
      <c r="B25" t="str">
        <v>投资类现金流出现值</v>
      </c>
      <c r="C25">
        <f>SUM(D25:O25)</f>
        <v>0</v>
      </c>
      <c r="D25">
        <f>D7/(1+$C$2)^D18</f>
        <v>0</v>
      </c>
      <c r="E25">
        <f>E7/(1+$C$2)^E18</f>
        <v>0</v>
      </c>
      <c r="F25">
        <f>F7/(1+$C$2)^F18</f>
        <v>0</v>
      </c>
      <c r="G25">
        <f>G7/(1+$C$2)^G18</f>
        <v>0</v>
      </c>
      <c r="H25">
        <f>H7/(1+$C$2)^H18</f>
        <v>0</v>
      </c>
      <c r="I25">
        <f>I7/(1+$C$2)^I18</f>
        <v>0</v>
      </c>
      <c r="J25">
        <f>J7/(1+$C$2)^J18</f>
        <v>0</v>
      </c>
      <c r="K25">
        <f>K7/(1+$C$2)^K18</f>
        <v>0</v>
      </c>
      <c r="L25">
        <f>L7/(1+$C$2)^L18</f>
        <v>0</v>
      </c>
      <c r="M25">
        <f>M7/(1+$C$2)^M18</f>
        <v>0</v>
      </c>
      <c r="N25">
        <f>N7/(1+$C$2)^N18</f>
        <v>0</v>
      </c>
      <c r="O25">
        <f>O7/(1+$C$2)^O18</f>
        <v>0</v>
      </c>
    </row>
    <row r="26">
      <c r="B26" t="str">
        <v>累计总投资现金流出现值</v>
      </c>
      <c r="C26">
        <f>C25</f>
        <v>0</v>
      </c>
      <c r="D26">
        <f>SUM($D25:D25)</f>
        <v>0</v>
      </c>
      <c r="E26">
        <f>SUM($D25:E25)</f>
        <v>0</v>
      </c>
      <c r="F26">
        <f>SUM($D25:F25)</f>
        <v>0</v>
      </c>
      <c r="G26">
        <f>SUM($D25:G25)</f>
        <v>0</v>
      </c>
      <c r="H26">
        <f>SUM($D25:H25)</f>
        <v>0</v>
      </c>
      <c r="I26">
        <f>SUM($D25:I25)</f>
        <v>0</v>
      </c>
      <c r="J26">
        <f>SUM($D25:J25)</f>
        <v>0</v>
      </c>
      <c r="K26">
        <f>SUM($D25:K25)</f>
        <v>0</v>
      </c>
      <c r="L26">
        <f>SUM($D25:L25)</f>
        <v>0</v>
      </c>
      <c r="M26">
        <f>SUM($D25:M25)</f>
        <v>0</v>
      </c>
      <c r="N26">
        <f>SUM($D25:N25)</f>
        <v>0</v>
      </c>
      <c r="O26">
        <f>SUM($D25:O25)</f>
        <v>0</v>
      </c>
    </row>
    <row r="27">
      <c r="B27" t="str">
        <v>成本类现金流出现值</v>
      </c>
      <c r="C27">
        <f>SUM(D27:O27)</f>
        <v>0</v>
      </c>
      <c r="D27">
        <f>D6/(1+$C$2)^D18</f>
        <v>0</v>
      </c>
      <c r="E27">
        <f>E6/(1+$C$2)^E18</f>
        <v>0</v>
      </c>
      <c r="F27">
        <f>F6/(1+$C$2)^F18</f>
        <v>0</v>
      </c>
      <c r="G27">
        <f>G6/(1+$C$2)^G18</f>
        <v>0</v>
      </c>
      <c r="H27">
        <f>H6/(1+$C$2)^H18</f>
        <v>0</v>
      </c>
      <c r="I27">
        <f>I6/(1+$C$2)^I18</f>
        <v>0</v>
      </c>
      <c r="J27">
        <f>J6/(1+$C$2)^J18</f>
        <v>0</v>
      </c>
      <c r="K27">
        <f>K6/(1+$C$2)^K18</f>
        <v>0</v>
      </c>
      <c r="L27">
        <f>L6/(1+$C$2)^L18</f>
        <v>0</v>
      </c>
      <c r="M27">
        <f>M6/(1+$C$2)^M18</f>
        <v>0</v>
      </c>
      <c r="N27">
        <f>N6/(1+$C$2)^N18</f>
        <v>0</v>
      </c>
      <c r="O27">
        <f>O6/(1+$C$2)^O18</f>
        <v>0</v>
      </c>
    </row>
    <row r="28">
      <c r="B28" t="str">
        <v>累计总成本现金流出现值</v>
      </c>
      <c r="C28">
        <f>C27</f>
        <v>0</v>
      </c>
      <c r="D28">
        <f>SUM($D27:D27)</f>
        <v>0</v>
      </c>
      <c r="E28">
        <f>SUM($D27:E27)</f>
        <v>0</v>
      </c>
      <c r="F28">
        <f>SUM($D27:F27)</f>
        <v>0</v>
      </c>
      <c r="G28">
        <f>SUM($D27:G27)</f>
        <v>0</v>
      </c>
      <c r="H28">
        <f>SUM($D27:H27)</f>
        <v>0</v>
      </c>
      <c r="I28">
        <f>SUM($D27:I27)</f>
        <v>0</v>
      </c>
      <c r="J28">
        <f>SUM($D27:J27)</f>
        <v>0</v>
      </c>
      <c r="K28">
        <f>SUM($D27:K27)</f>
        <v>0</v>
      </c>
      <c r="L28">
        <f>SUM($D27:L27)</f>
        <v>0</v>
      </c>
      <c r="M28">
        <f>SUM($D27:M27)</f>
        <v>0</v>
      </c>
      <c r="N28">
        <f>SUM($D27:N27)</f>
        <v>0</v>
      </c>
      <c r="O28">
        <f>SUM($D27:O27)</f>
        <v>0</v>
      </c>
    </row>
    <row r="31">
      <c r="B31" t="str">
        <v>所得税支出计算表 （单位：元）</v>
      </c>
    </row>
    <row r="32">
      <c r="B32" t="str">
        <v>数据类型</v>
      </c>
      <c r="C32" t="str">
        <v>金额（不含税）</v>
      </c>
      <c r="D32" t="str">
        <v>第0年</v>
      </c>
      <c r="E32" t="str">
        <v>第1年</v>
      </c>
      <c r="F32" t="str">
        <v>第2年</v>
      </c>
      <c r="G32" t="str">
        <v>第3年</v>
      </c>
      <c r="H32" t="str">
        <v>第4年</v>
      </c>
      <c r="I32" t="str">
        <v>第5年</v>
      </c>
      <c r="J32" t="str">
        <v>第6年</v>
      </c>
      <c r="K32" t="str">
        <v>第7年</v>
      </c>
      <c r="L32" t="str">
        <v>第8年</v>
      </c>
      <c r="M32" t="str">
        <v>第9年</v>
      </c>
      <c r="N32" t="str">
        <v>第10年</v>
      </c>
      <c r="O32" t="str">
        <v>…</v>
      </c>
    </row>
    <row r="33">
      <c r="B33" t="str">
        <v>项目收入合计</v>
      </c>
      <c r="C33">
        <f>'收入支出明细表（基础数据表）'!T3</f>
        <v>0</v>
      </c>
      <c r="D33">
        <f>'收入支出明细表（基础数据表）'!U3</f>
        <v>0</v>
      </c>
      <c r="E33">
        <f>'收入支出明细表（基础数据表）'!V3</f>
        <v>0</v>
      </c>
      <c r="F33">
        <f>'收入支出明细表（基础数据表）'!W3</f>
        <v>0</v>
      </c>
      <c r="G33">
        <f>'收入支出明细表（基础数据表）'!X3</f>
        <v>0</v>
      </c>
      <c r="H33">
        <f>'收入支出明细表（基础数据表）'!Y3</f>
        <v>0</v>
      </c>
      <c r="I33">
        <f>'收入支出明细表（基础数据表）'!Z3</f>
        <v>0</v>
      </c>
      <c r="J33">
        <f>'收入支出明细表（基础数据表）'!AA3</f>
        <v>0</v>
      </c>
      <c r="K33">
        <f>'收入支出明细表（基础数据表）'!AB3</f>
        <v>0</v>
      </c>
      <c r="L33">
        <f>'收入支出明细表（基础数据表）'!AC3</f>
        <v>0</v>
      </c>
      <c r="M33">
        <f>'收入支出明细表（基础数据表）'!AD3</f>
        <v>0</v>
      </c>
      <c r="N33">
        <f>'收入支出明细表（基础数据表）'!AE3</f>
        <v>0</v>
      </c>
      <c r="O33">
        <f>'收入支出明细表（基础数据表）'!AF3</f>
        <v>0</v>
      </c>
    </row>
    <row r="34">
      <c r="B34" t="str">
        <v>项目成本合计</v>
      </c>
      <c r="C34">
        <f>'收入支出明细表（基础数据表）'!T140+'收入支出明细表（基础数据表）'!T171+'收入支出明细表（基础数据表）'!T190+折旧及摊销辅助明细表!D4</f>
        <v>0</v>
      </c>
      <c r="D34">
        <f>'收入支出明细表（基础数据表）'!U140+'收入支出明细表（基础数据表）'!U171+'收入支出明细表（基础数据表）'!U190+折旧及摊销辅助明细表!E4</f>
        <v>0</v>
      </c>
      <c r="E34">
        <f>'收入支出明细表（基础数据表）'!V140+'收入支出明细表（基础数据表）'!V171+'收入支出明细表（基础数据表）'!V190+折旧及摊销辅助明细表!F4</f>
        <v>0</v>
      </c>
      <c r="F34">
        <f>'收入支出明细表（基础数据表）'!W140+'收入支出明细表（基础数据表）'!W171+'收入支出明细表（基础数据表）'!W190+折旧及摊销辅助明细表!G4</f>
        <v>0</v>
      </c>
      <c r="G34">
        <f>'收入支出明细表（基础数据表）'!X140+'收入支出明细表（基础数据表）'!X171+'收入支出明细表（基础数据表）'!X190+折旧及摊销辅助明细表!H4</f>
        <v>0</v>
      </c>
      <c r="H34">
        <f>'收入支出明细表（基础数据表）'!Y140+'收入支出明细表（基础数据表）'!Y171+'收入支出明细表（基础数据表）'!Y190+折旧及摊销辅助明细表!I4</f>
        <v>0</v>
      </c>
      <c r="I34">
        <f>'收入支出明细表（基础数据表）'!Z140+'收入支出明细表（基础数据表）'!Z171+'收入支出明细表（基础数据表）'!Z190+折旧及摊销辅助明细表!J4</f>
        <v>0</v>
      </c>
      <c r="J34">
        <f>'收入支出明细表（基础数据表）'!AA140+'收入支出明细表（基础数据表）'!AA171+'收入支出明细表（基础数据表）'!AA190+折旧及摊销辅助明细表!K4</f>
        <v>0</v>
      </c>
      <c r="K34">
        <f>'收入支出明细表（基础数据表）'!AB140+'收入支出明细表（基础数据表）'!AB171+'收入支出明细表（基础数据表）'!AB190+折旧及摊销辅助明细表!L4</f>
        <v>0</v>
      </c>
      <c r="L34">
        <f>'收入支出明细表（基础数据表）'!AC140+'收入支出明细表（基础数据表）'!AC171+'收入支出明细表（基础数据表）'!AC190+折旧及摊销辅助明细表!M4</f>
        <v>0</v>
      </c>
      <c r="M34">
        <f>'收入支出明细表（基础数据表）'!AD140+'收入支出明细表（基础数据表）'!AD171+'收入支出明细表（基础数据表）'!AD190+折旧及摊销辅助明细表!N4</f>
        <v>0</v>
      </c>
      <c r="N34">
        <f>'收入支出明细表（基础数据表）'!AE140+'收入支出明细表（基础数据表）'!AE171+'收入支出明细表（基础数据表）'!AE190+折旧及摊销辅助明细表!O4</f>
        <v>0</v>
      </c>
      <c r="O34">
        <f>'收入支出明细表（基础数据表）'!AF140+'收入支出明细表（基础数据表）'!AF171+'收入支出明细表（基础数据表）'!AF190+折旧及摊销辅助明细表!P4</f>
        <v>0</v>
      </c>
    </row>
    <row r="35">
      <c r="B35" t="str">
        <v>利润总额</v>
      </c>
      <c r="C35">
        <f>C33-C34</f>
        <v>0</v>
      </c>
      <c r="D35">
        <f>D33-D34</f>
        <v>0</v>
      </c>
      <c r="E35">
        <f>E33-E34</f>
        <v>0</v>
      </c>
      <c r="F35">
        <f>F33-F34</f>
        <v>0</v>
      </c>
      <c r="G35">
        <f>G33-G34</f>
        <v>0</v>
      </c>
      <c r="H35">
        <f>H33-H34</f>
        <v>0</v>
      </c>
      <c r="I35">
        <f>I33-I34</f>
        <v>0</v>
      </c>
      <c r="J35">
        <f>J33-J34</f>
        <v>0</v>
      </c>
      <c r="K35">
        <f>K33-K34</f>
        <v>0</v>
      </c>
      <c r="L35">
        <f>L33-L34</f>
        <v>0</v>
      </c>
      <c r="M35">
        <f>M33-M34</f>
        <v>0</v>
      </c>
      <c r="N35">
        <f>N33-N34</f>
        <v>0</v>
      </c>
      <c r="O35">
        <f>O33-O34</f>
        <v>0</v>
      </c>
    </row>
    <row r="36">
      <c r="B36" t="str">
        <v>所得税支出</v>
      </c>
      <c r="C36">
        <f>C35*$D$2</f>
        <v>0</v>
      </c>
      <c r="D36">
        <f>D35*$D$2</f>
        <v>0</v>
      </c>
      <c r="E36">
        <f>E35*$D$2</f>
        <v>0</v>
      </c>
      <c r="F36">
        <f>F35*$D$2</f>
        <v>0</v>
      </c>
      <c r="G36">
        <f>G35*$D$2</f>
        <v>0</v>
      </c>
      <c r="H36">
        <f>H35*$D$2</f>
        <v>0</v>
      </c>
      <c r="I36">
        <f>I35*$D$2</f>
        <v>0</v>
      </c>
      <c r="J36">
        <f>J35*$D$2</f>
        <v>0</v>
      </c>
      <c r="K36">
        <f>K35*$D$2</f>
        <v>0</v>
      </c>
      <c r="L36">
        <f>L35*$D$2</f>
        <v>0</v>
      </c>
      <c r="M36">
        <f>M35*$D$2</f>
        <v>0</v>
      </c>
      <c r="N36">
        <f>N35*$D$2</f>
        <v>0</v>
      </c>
      <c r="O36">
        <f>O35*$D$2</f>
        <v>0</v>
      </c>
    </row>
  </sheetData>
  <mergeCells count="4">
    <mergeCell ref="B3:P3"/>
    <mergeCell ref="B14:P14"/>
    <mergeCell ref="B31:P31"/>
    <mergeCell ref="E1:P2"/>
  </mergeCells>
  <pageMargins left="0.708661417322835" right="0.708661417322835" top="0.748031496062992" bottom="0.748031496062992" header="0.31496062992126" footer="0.31496062992126"/>
  <ignoredErrors>
    <ignoredError numberStoredAsText="1" sqref="A1:U41"/>
  </ignoredErrors>
</worksheet>
</file>

<file path=xl/worksheets/sheet7.xml><?xml version="1.0" encoding="utf-8"?>
<worksheet xmlns="http://schemas.openxmlformats.org/spreadsheetml/2006/main" xmlns:r="http://schemas.openxmlformats.org/officeDocument/2006/relationships">
  <dimension ref="A1:X90"/>
  <sheetViews>
    <sheetView workbookViewId="0" rightToLeft="0"/>
  </sheetViews>
  <sheetData>
    <row r="1">
      <c r="A1" t="str">
        <v>折旧及摊销辅助测算表</v>
      </c>
    </row>
    <row r="2">
      <c r="A2" t="str">
        <v>手工输入区</v>
      </c>
    </row>
    <row r="3">
      <c r="A3" t="str">
        <v>参考中国移动固定资产目录，平台类设备折旧年限为5年，传输网设备7年，光缆管道10年，软件类2-5年</v>
      </c>
      <c r="D3" t="str">
        <v>合计</v>
      </c>
      <c r="E3" t="str">
        <v>第0年</v>
      </c>
      <c r="F3" t="str">
        <v>第1年</v>
      </c>
      <c r="G3" t="str">
        <v>第2年</v>
      </c>
      <c r="H3" t="str">
        <v>第3年</v>
      </c>
      <c r="I3" t="str">
        <v>第4年</v>
      </c>
      <c r="J3" t="str">
        <v>第5年</v>
      </c>
      <c r="K3" t="str">
        <v>第6年</v>
      </c>
      <c r="L3" t="str">
        <v>第7年</v>
      </c>
      <c r="M3" t="str">
        <v>第8年</v>
      </c>
      <c r="N3" t="str">
        <v>第9年</v>
      </c>
      <c r="O3" t="str">
        <v>第10年</v>
      </c>
      <c r="P3" t="str">
        <v>第11年</v>
      </c>
      <c r="Q3" t="str">
        <v>第12年</v>
      </c>
      <c r="R3" t="str">
        <v>第13年</v>
      </c>
      <c r="S3" t="str">
        <v>第14年</v>
      </c>
      <c r="T3" t="str">
        <v>第15年</v>
      </c>
      <c r="U3" t="str">
        <v>第16年</v>
      </c>
      <c r="V3" t="str">
        <v>第17年</v>
      </c>
      <c r="W3" t="str">
        <v>第18年</v>
      </c>
      <c r="X3" t="str">
        <v>第19年</v>
      </c>
    </row>
    <row r="4">
      <c r="A4" t="str">
        <v>折旧及摊销</v>
      </c>
      <c r="B4" t="str">
        <v>总投资各年折旧及摊销</v>
      </c>
      <c r="D4">
        <f>SUM(E4:X4)</f>
        <v>0</v>
      </c>
      <c r="E4">
        <f>E6+E22+E38+E54+E70</f>
        <v>0</v>
      </c>
      <c r="F4">
        <f>F6+F22+F38+F54+F70</f>
        <v>0</v>
      </c>
      <c r="G4">
        <f>G6+G22+G38+G54+G70</f>
        <v>0</v>
      </c>
      <c r="H4">
        <f>H6+H22+H38+H54+H70</f>
        <v>0</v>
      </c>
      <c r="I4">
        <f>I6+I22+I38+I54+I70</f>
        <v>0</v>
      </c>
      <c r="J4">
        <f>J6+J22+J38+J54+J70</f>
        <v>0</v>
      </c>
      <c r="K4">
        <f>K6+K22+K38+K54+K70</f>
        <v>0</v>
      </c>
      <c r="L4">
        <f>L6+L22+L38+L54+L70</f>
        <v>0</v>
      </c>
      <c r="M4">
        <f>M6+M22+M38+M54+M70</f>
        <v>0</v>
      </c>
      <c r="N4">
        <f>N6+N22+N38+N54+N70</f>
        <v>0</v>
      </c>
      <c r="O4">
        <f>O6+O22+O38+O54+O70</f>
        <v>0</v>
      </c>
      <c r="P4">
        <f>P6+P22+P38+P54+P70</f>
        <v>0</v>
      </c>
      <c r="Q4">
        <f>Q6+Q22+Q38+Q54+Q70</f>
        <v>0</v>
      </c>
      <c r="R4">
        <f>R6+R22+R38+R54+R70</f>
        <v>0</v>
      </c>
      <c r="S4">
        <f>S6+S22+S38+S54+S70</f>
        <v>0</v>
      </c>
      <c r="T4">
        <f>T6+T22+T38+T54+T70</f>
        <v>0</v>
      </c>
      <c r="U4">
        <f>U6+U22+U38+U54+U70</f>
        <v>0</v>
      </c>
      <c r="V4">
        <f>V6+V22+V38+V54+V70</f>
        <v>0</v>
      </c>
      <c r="W4">
        <f>W6+W22+W38+W54+W70</f>
        <v>0</v>
      </c>
      <c r="X4">
        <f>X6+X22+X38+X54+X70</f>
        <v>0</v>
      </c>
    </row>
    <row r="6">
      <c r="B6" t="str">
        <v>平台类设备投资累计折旧</v>
      </c>
      <c r="D6">
        <f>SUM(E6:X6)</f>
        <v>0</v>
      </c>
      <c r="E6">
        <f>SUM(E10:E20)</f>
        <v>0</v>
      </c>
      <c r="F6">
        <f>SUM(F10:F20)</f>
        <v>0</v>
      </c>
      <c r="G6">
        <f>SUM(G10:G20)</f>
        <v>0</v>
      </c>
      <c r="H6">
        <f>SUM(H10:H20)</f>
        <v>0</v>
      </c>
      <c r="I6">
        <f>SUM(I10:I20)</f>
        <v>0</v>
      </c>
      <c r="J6">
        <f>SUM(J10:J20)</f>
        <v>0</v>
      </c>
      <c r="K6">
        <f>SUM(K10:K20)</f>
        <v>0</v>
      </c>
      <c r="L6">
        <f>SUM(L10:L20)</f>
        <v>0</v>
      </c>
      <c r="M6">
        <f>SUM(M10:M20)</f>
        <v>0</v>
      </c>
      <c r="N6">
        <f>SUM(N10:N20)</f>
        <v>0</v>
      </c>
      <c r="O6">
        <f>SUM(O10:O20)</f>
        <v>0</v>
      </c>
      <c r="P6">
        <f>SUM(P10:P20)</f>
        <v>0</v>
      </c>
      <c r="Q6">
        <f>SUM(Q10:Q20)</f>
        <v>0</v>
      </c>
      <c r="R6">
        <f>SUM(R10:R20)</f>
        <v>0</v>
      </c>
      <c r="S6">
        <f>SUM(S10:S20)</f>
        <v>0</v>
      </c>
      <c r="T6">
        <f>SUM(T10:T20)</f>
        <v>0</v>
      </c>
      <c r="U6">
        <f>SUM(U10:U20)</f>
        <v>0</v>
      </c>
      <c r="V6">
        <f>SUM(V10:V20)</f>
        <v>0</v>
      </c>
      <c r="W6">
        <f>SUM(W10:W20)</f>
        <v>0</v>
      </c>
      <c r="X6">
        <f>SUM(X10:X20)</f>
        <v>0</v>
      </c>
    </row>
    <row r="7">
      <c r="B7" t="str">
        <v>折旧年限</v>
      </c>
      <c r="C7">
        <v>5</v>
      </c>
    </row>
    <row r="8">
      <c r="B8" t="str">
        <v>当年转资月份</v>
      </c>
      <c r="F8">
        <v>0</v>
      </c>
      <c r="G8">
        <v>0</v>
      </c>
      <c r="H8">
        <v>0</v>
      </c>
      <c r="I8">
        <v>0</v>
      </c>
      <c r="J8">
        <v>0</v>
      </c>
      <c r="K8">
        <v>0</v>
      </c>
      <c r="L8">
        <v>0</v>
      </c>
      <c r="M8">
        <v>0</v>
      </c>
      <c r="N8">
        <v>0</v>
      </c>
      <c r="O8">
        <v>0</v>
      </c>
    </row>
    <row r="9">
      <c r="B9" t="str">
        <v>各年平台类设备转资规模</v>
      </c>
      <c r="D9">
        <f>SUM(E9:O9)</f>
        <v>0</v>
      </c>
    </row>
    <row r="10">
      <c r="B10" t="str">
        <v>第一年投资在各年的折旧</v>
      </c>
      <c r="D10">
        <f>SUM(E10:X10)</f>
        <v>0</v>
      </c>
      <c r="E10">
        <f>F10*(1-E8/12)</f>
        <v>0</v>
      </c>
      <c r="F10">
        <f>E9/C7</f>
        <v>0</v>
      </c>
      <c r="G10">
        <f>IF(SUM(E10:F10)&lt;E9,IF((E9-SUM(E10:F10))&lt;E9/C7,E9-SUM(E10:F10),E9/C7),0)</f>
        <v>0</v>
      </c>
      <c r="H10">
        <f>IF(SUM(E10:G10)&lt;E9,IF((E9-SUM(E10:G10))&lt;E9/C7,E9-SUM(E10:G10),E9/C7),0)</f>
        <v>0</v>
      </c>
      <c r="I10">
        <f>IF(SUM(E10:H10)&lt;E9,IF((E9-SUM(E10:H10))&lt;E9/C7,E9-SUM(E10:H10),E9/C7),0)</f>
        <v>0</v>
      </c>
      <c r="J10">
        <f>IF(SUM(E10:I10)&lt;E9,IF((E9-SUM(E10:I10))&lt;E9/C7,E9-SUM(E10:I10),E9/C7),0)</f>
        <v>0</v>
      </c>
      <c r="K10">
        <f>IF(SUM(E10:J10)&lt;E9,IF((E9-SUM(E10:J10))&lt;E9/C7,E9-SUM(E10:J10),E9/C7),0)</f>
        <v>0</v>
      </c>
      <c r="L10">
        <f>IF(SUM(E10:K10)&lt;E9,IF((E9-SUM(E10:K10))&lt;E9/C7,E9-SUM(E10:K10),E9/C7),0)</f>
        <v>0</v>
      </c>
      <c r="M10">
        <f>IF(SUM(E10:L10)&lt;E9,IF((E9-SUM(E10:L10))&lt;E9/C7,E9-SUM(E10:L10),E9/C7),0)</f>
        <v>0</v>
      </c>
      <c r="N10">
        <f>IF(SUM(E10:M10)&lt;E9,IF((E9-SUM(E10:M10))&lt;E9/C7,E9-SUM(E10:M10),E9/C7),0)</f>
        <v>0</v>
      </c>
      <c r="O10">
        <f>IF(SUM(E10:N10)&lt;E9,IF((E9-SUM(E10:N10))&lt;E9/C7,E9-SUM(E10:N10),E9/C7),0)</f>
        <v>0</v>
      </c>
      <c r="P10">
        <f>IF(SUM(E10:O10)&lt;E9,IF((E9-SUM(E10:O10))&lt;E9/C7,E9-SUM(E10:O10),E9/C7),0)</f>
        <v>0</v>
      </c>
      <c r="Q10">
        <f>IF(SUM(E10:P10)&lt;E9,IF((E9-SUM(E10:P10))&lt;E9/C7,E9-SUM(E10:P10),E9/C7),0)</f>
        <v>0</v>
      </c>
      <c r="R10">
        <f>IF(SUM(E10:Q10)&lt;E9,IF((E9-SUM(E10:Q10))&lt;E9/C7,E9-SUM(E10:Q10),E9/C7),0)</f>
        <v>0</v>
      </c>
      <c r="S10">
        <f>IF(SUM(E10:R10)&lt;E9,IF((E9-SUM(E10:R10))&lt;E9/C7,E9-SUM(E10:R10),E9/C7),0)</f>
        <v>0</v>
      </c>
      <c r="T10">
        <f>IF(SUM(E10:S10)&lt;E9,IF((E9-SUM(E10:S10))&lt;E9/C7,E9-SUM(E10:S10),E9/C7),0)</f>
        <v>0</v>
      </c>
      <c r="U10">
        <f>IF(SUM(E10:T10)&lt;E9,IF((E9-SUM(E10:T10))&lt;E9/C7,E9-SUM(E10:T10),E9/C7),0)</f>
        <v>0</v>
      </c>
      <c r="V10">
        <f>IF(SUM(E10:U10)&lt;E9,IF((E9-SUM(E10:U10))&lt;E9/C7,E9-SUM(E10:U10),E9/C7),0)</f>
        <v>0</v>
      </c>
      <c r="W10">
        <f>IF(SUM(E10:V10)&lt;E9,IF((E9-SUM(E10:V10))&lt;E9/C7,E9-SUM(E10:V10),E9/C7),0)</f>
        <v>0</v>
      </c>
      <c r="X10">
        <f>IF(SUM(E10:W10)&lt;E9,IF((E9-SUM(E10:W10))&lt;E9/C7,E9-SUM(E10:W10),E9/C7),0)</f>
        <v>0</v>
      </c>
    </row>
    <row r="11">
      <c r="B11" t="str">
        <v>第二年投资在各年的折旧</v>
      </c>
      <c r="D11">
        <f>SUM(E11:X11)</f>
        <v>0</v>
      </c>
      <c r="F11">
        <f>G11*(1-F8/12)</f>
        <v>0</v>
      </c>
      <c r="G11">
        <f>F9/C7</f>
        <v>0</v>
      </c>
      <c r="H11">
        <f>IF(SUM(E11:G11)&lt;F9,IF((F9-SUM(E11:G11))&lt;F9/C7,F9-SUM(E11:G11),F9/C7),0)</f>
        <v>0</v>
      </c>
      <c r="I11">
        <f>IF(SUM(E11:H11)&lt;F9,IF((F9-SUM(E11:H11))&lt;F9/C7,F9-SUM(E11:H11),F9/C7),0)</f>
        <v>0</v>
      </c>
      <c r="J11">
        <f>IF(SUM(E11:I11)&lt;F9,IF((F9-SUM(E11:I11))&lt;F9/C7,F9-SUM(E11:I11),F9/C7),0)</f>
        <v>0</v>
      </c>
      <c r="K11">
        <f>IF(SUM(E11:J11)&lt;F9,IF((F9-SUM(E11:J11))&lt;F9/C7,F9-SUM(E11:J11),F9/C7),0)</f>
        <v>0</v>
      </c>
      <c r="L11">
        <f>IF(SUM(E11:K11)&lt;F9,IF((F9-SUM(E11:K11))&lt;F9/C7,F9-SUM(E11:K11),F9/C7),0)</f>
        <v>0</v>
      </c>
      <c r="M11">
        <f>IF(SUM(E11:L11)&lt;F9,IF((F9-SUM(E11:L11))&lt;F9/C7,F9-SUM(E11:L11),F9/C7),0)</f>
        <v>0</v>
      </c>
      <c r="N11">
        <f>IF(SUM(E11:M11)&lt;F9,IF((F9-SUM(E11:M11))&lt;F9/C7,F9-SUM(E11:M11),F9/C7),0)</f>
        <v>0</v>
      </c>
      <c r="O11">
        <f>IF(SUM(E11:N11)&lt;F9,IF((F9-SUM(E11:N11))&lt;F9/C7,F9-SUM(E11:N11),F9/C7),0)</f>
        <v>0</v>
      </c>
      <c r="P11">
        <f>IF(SUM(E11:O11)&lt;F9,IF((F9-SUM(E11:O11))&lt;F9/C7,F9-SUM(E11:O11),F9/C7),0)</f>
        <v>0</v>
      </c>
      <c r="Q11">
        <f>IF(SUM(E11:P11)&lt;F9,IF((F9-SUM(E11:P11))&lt;F9/C7,F9-SUM(E11:P11),F9/C7),0)</f>
        <v>0</v>
      </c>
      <c r="R11">
        <f>IF(SUM(E11:Q11)&lt;F9,IF((F9-SUM(E11:Q11))&lt;F9/C7,F9-SUM(E11:Q11),F9/C7),0)</f>
        <v>0</v>
      </c>
      <c r="S11">
        <f>IF(SUM(E11:R11)&lt;F9,IF((F9-SUM(E11:R11))&lt;F9/C7,F9-SUM(E11:R11),F9/C7),0)</f>
        <v>0</v>
      </c>
      <c r="T11">
        <f>IF(SUM(E11:S11)&lt;F9,IF((F9-SUM(E11:S11))&lt;F9/C7,F9-SUM(E11:S11),F9/C7),0)</f>
        <v>0</v>
      </c>
      <c r="U11">
        <f>IF(SUM(E11:T11)&lt;F9,IF((F9-SUM(E11:T11))&lt;F9/C7,F9-SUM(E11:T11),F9/C7),0)</f>
        <v>0</v>
      </c>
      <c r="V11">
        <f>IF(SUM(E11:U11)&lt;F9,IF((F9-SUM(E11:U11))&lt;F9/C7,F9-SUM(E11:U11),F9/C7),0)</f>
        <v>0</v>
      </c>
      <c r="W11">
        <f>IF(SUM(E11:V11)&lt;F9,IF((F9-SUM(E11:V11))&lt;F9/C7,F9-SUM(E11:V11),F9/C7),0)</f>
        <v>0</v>
      </c>
      <c r="X11">
        <f>IF(SUM(E11:W11)&lt;F9,IF((F9-SUM(E11:W11))&lt;F9/C7,F9-SUM(E11:W11),F9/C7),0)</f>
        <v>0</v>
      </c>
    </row>
    <row r="12">
      <c r="B12" t="str">
        <v>第三年投资在各年的折旧</v>
      </c>
      <c r="D12">
        <f>SUM(E12:X12)</f>
        <v>0</v>
      </c>
      <c r="G12">
        <f>H12*(1-G8/12)</f>
        <v>0</v>
      </c>
      <c r="H12">
        <f>G9/C7</f>
        <v>0</v>
      </c>
      <c r="I12">
        <f>IF(SUM(E12:H12)&lt;G9,IF((G9-SUM(E12:H12))&lt;G9/C7,G9-SUM(E12:H12),G9/C7),0)</f>
        <v>0</v>
      </c>
      <c r="J12">
        <f>IF(SUM(E12:I12)&lt;G9,IF((G9-SUM(E12:I12))&lt;G9/C7,G9-SUM(E12:I12),G9/C7),0)</f>
        <v>0</v>
      </c>
      <c r="K12">
        <f>IF(SUM(E12:J12)&lt;G9,IF((G9-SUM(E12:J12))&lt;G9/C7,G9-SUM(E12:J12),G9/C7),0)</f>
        <v>0</v>
      </c>
      <c r="L12">
        <f>IF(SUM(E12:K12)&lt;G9,IF((G9-SUM(E12:K12))&lt;G9/C7,G9-SUM(E12:K12),G9/C7),0)</f>
        <v>0</v>
      </c>
      <c r="M12">
        <f>IF(SUM(E12:L12)&lt;G9,IF((G9-SUM(E12:L12))&lt;G9/C7,G9-SUM(E12:L12),G9/C7),0)</f>
        <v>0</v>
      </c>
      <c r="N12">
        <f>IF(SUM(E12:M12)&lt;G9,IF((G9-SUM(E12:M12))&lt;G9/C7,G9-SUM(E12:M12),G9/C7),0)</f>
        <v>0</v>
      </c>
      <c r="O12">
        <f>IF(SUM(E12:N12)&lt;G9,IF((G9-SUM(E12:N12))&lt;G9/C7,G9-SUM(E12:N12),G9/C7),0)</f>
        <v>0</v>
      </c>
      <c r="P12">
        <f>IF(SUM(E12:O12)&lt;G9,IF((G9-SUM(E12:O12))&lt;G9/C7,G9-SUM(E12:O12),G9/C7),0)</f>
        <v>0</v>
      </c>
      <c r="Q12">
        <f>IF(SUM(E12:P12)&lt;G9,IF((G9-SUM(E12:P12))&lt;G9/C7,G9-SUM(E12:P12),G9/C7),0)</f>
        <v>0</v>
      </c>
      <c r="R12">
        <f>IF(SUM(E12:Q12)&lt;G9,IF((G9-SUM(E12:Q12))&lt;G9/C7,G9-SUM(E12:Q12),G9/C7),0)</f>
        <v>0</v>
      </c>
      <c r="S12">
        <f>IF(SUM(E12:R12)&lt;G9,IF((G9-SUM(E12:R12))&lt;G9/C7,G9-SUM(E12:R12),G9/C7),0)</f>
        <v>0</v>
      </c>
      <c r="T12">
        <f>IF(SUM(E12:S12)&lt;G9,IF((G9-SUM(E12:S12))&lt;G9/C7,G9-SUM(E12:S12),G9/C7),0)</f>
        <v>0</v>
      </c>
      <c r="U12">
        <f>IF(SUM(E12:T12)&lt;G9,IF((G9-SUM(E12:T12))&lt;G9/C7,G9-SUM(E12:T12),G9/C7),0)</f>
        <v>0</v>
      </c>
      <c r="V12">
        <f>IF(SUM(E12:U12)&lt;G9,IF((G9-SUM(E12:U12))&lt;G9/C7,G9-SUM(E12:U12),G9/C7),0)</f>
        <v>0</v>
      </c>
      <c r="W12">
        <f>IF(SUM(E12:V12)&lt;G9,IF((G9-SUM(E12:V12))&lt;G9/C7,G9-SUM(E12:V12),G9/C7),0)</f>
        <v>0</v>
      </c>
      <c r="X12">
        <f>IF(SUM(E12:W12)&lt;G9,IF((G9-SUM(E12:W12))&lt;G9/C7,G9-SUM(E12:W12),G9/C7),0)</f>
        <v>0</v>
      </c>
    </row>
    <row r="13">
      <c r="B13" t="str">
        <v>第四年投资在各年的折旧</v>
      </c>
      <c r="D13">
        <f>SUM(E13:X13)</f>
        <v>0</v>
      </c>
      <c r="H13">
        <f>I13*(1-H8/12)</f>
        <v>0</v>
      </c>
      <c r="I13">
        <f>H9/C7</f>
        <v>0</v>
      </c>
      <c r="J13">
        <f>IF(SUM(E13:I13)&lt;H9,IF((H9-SUM(E13:I13))&lt;H9/C7,H9-SUM(E13:I13),H9/C7),0)</f>
        <v>0</v>
      </c>
      <c r="K13">
        <f>IF(SUM(E13:J13)&lt;H9,IF((H9-SUM(E13:J13))&lt;H9/C7,H9-SUM(E13:J13),H9/C7),0)</f>
        <v>0</v>
      </c>
      <c r="L13">
        <f>IF(SUM(E13:K13)&lt;H9,IF((H9-SUM(E13:K13))&lt;H9/C7,H9-SUM(E13:K13),H9/C7),0)</f>
        <v>0</v>
      </c>
      <c r="M13">
        <f>IF(SUM(E13:L13)&lt;H9,IF((H9-SUM(E13:L13))&lt;H9/C7,H9-SUM(E13:L13),H9/C7),0)</f>
        <v>0</v>
      </c>
      <c r="N13">
        <f>IF(SUM(E13:M13)&lt;H9,IF((H9-SUM(E13:M13))&lt;H9/C7,H9-SUM(E13:M13),H9/C7),0)</f>
        <v>0</v>
      </c>
      <c r="O13">
        <f>IF(SUM(E13:N13)&lt;H9,IF((H9-SUM(E13:N13))&lt;H9/C7,H9-SUM(E13:N13),H9/C7),0)</f>
        <v>0</v>
      </c>
      <c r="P13">
        <f>IF(SUM(E13:O13)&lt;H9,IF((H9-SUM(E13:O13))&lt;H9/C7,H9-SUM(E13:O13),H9/C7),0)</f>
        <v>0</v>
      </c>
      <c r="Q13">
        <f>IF(SUM(E13:P13)&lt;H9,IF((H9-SUM(E13:P13))&lt;H9/C7,H9-SUM(E13:P13),H9/C7),0)</f>
        <v>0</v>
      </c>
      <c r="R13">
        <f>IF(SUM(E13:Q13)&lt;H9,IF((H9-SUM(E13:Q13))&lt;H9/C7,H9-SUM(E13:Q13),H9/C7),0)</f>
        <v>0</v>
      </c>
      <c r="S13">
        <f>IF(SUM(E13:R13)&lt;H9,IF((H9-SUM(E13:R13))&lt;H9/C7,H9-SUM(E13:R13),H9/C7),0)</f>
        <v>0</v>
      </c>
      <c r="T13">
        <f>IF(SUM(E13:S13)&lt;H9,IF((H9-SUM(E13:S13))&lt;H9/C7,H9-SUM(E13:S13),H9/C7),0)</f>
        <v>0</v>
      </c>
      <c r="U13">
        <f>IF(SUM(E13:T13)&lt;H9,IF((H9-SUM(E13:T13))&lt;H9/C7,H9-SUM(E13:T13),H9/C7),0)</f>
        <v>0</v>
      </c>
      <c r="V13">
        <f>IF(SUM(E13:U13)&lt;H9,IF((H9-SUM(E13:U13))&lt;H9/C7,H9-SUM(E13:U13),H9/C7),0)</f>
        <v>0</v>
      </c>
      <c r="W13">
        <f>IF(SUM(E13:V13)&lt;H9,IF((H9-SUM(E13:V13))&lt;H9/C7,H9-SUM(E13:V13),H9/C7),0)</f>
        <v>0</v>
      </c>
      <c r="X13">
        <f>IF(SUM(E13:W13)&lt;H9,IF((H9-SUM(E13:W13))&lt;H9/C7,H9-SUM(E13:W13),H9/C7),0)</f>
        <v>0</v>
      </c>
    </row>
    <row r="14">
      <c r="B14" t="str">
        <v>第五年投资在各年的折旧</v>
      </c>
      <c r="D14">
        <f>SUM(E14:X14)</f>
        <v>0</v>
      </c>
      <c r="I14">
        <f>J14*(1-I8/12)</f>
        <v>0</v>
      </c>
      <c r="J14">
        <f>I9/C7</f>
        <v>0</v>
      </c>
      <c r="K14">
        <f>IF(SUM(E14:J14)&lt;I9,IF((I9-SUM(E14:J14))&lt;I9/C7,I9-SUM(E14:J14),I9/C7),0)</f>
        <v>0</v>
      </c>
      <c r="L14">
        <f>IF(SUM(E14:K14)&lt;I9,IF((I9-SUM(E14:K14))&lt;I9/C7,I9-SUM(E14:K14),I9/C7),0)</f>
        <v>0</v>
      </c>
      <c r="M14">
        <f>IF(SUM(E14:L14)&lt;I9,IF((I9-SUM(E14:L14))&lt;I9/C7,I9-SUM(E14:L14),I9/C7),0)</f>
        <v>0</v>
      </c>
      <c r="N14">
        <f>IF(SUM(E14:M14)&lt;I9,IF((I9-SUM(E14:M14))&lt;I9/C7,I9-SUM(E14:M14),I9/C7),0)</f>
        <v>0</v>
      </c>
      <c r="O14">
        <f>IF(SUM(E14:N14)&lt;I9,IF((I9-SUM(E14:N14))&lt;I9/C7,I9-SUM(E14:N14),I9/C7),0)</f>
        <v>0</v>
      </c>
      <c r="P14">
        <f>IF(SUM(E14:O14)&lt;I9,IF((I9-SUM(E14:O14))&lt;I9/C7,I9-SUM(E14:O14),I9/C7),0)</f>
        <v>0</v>
      </c>
      <c r="Q14">
        <f>IF(SUM(E14:P14)&lt;I9,IF((I9-SUM(E14:P14))&lt;I9/C7,I9-SUM(E14:P14),I9/C7),0)</f>
        <v>0</v>
      </c>
      <c r="R14">
        <f>IF(SUM(E14:Q14)&lt;I9,IF((I9-SUM(E14:Q14))&lt;I9/C7,I9-SUM(E14:Q14),I9/C7),0)</f>
        <v>0</v>
      </c>
      <c r="S14">
        <f>IF(SUM(E14:R14)&lt;I9,IF((I9-SUM(E14:R14))&lt;I9/C7,I9-SUM(E14:R14),I9/C7),0)</f>
        <v>0</v>
      </c>
      <c r="T14">
        <f>IF(SUM(E14:S14)&lt;I9,IF((I9-SUM(E14:S14))&lt;I9/C7,I9-SUM(E14:S14),I9/C7),0)</f>
        <v>0</v>
      </c>
      <c r="U14">
        <f>IF(SUM(E14:T14)&lt;I9,IF((I9-SUM(E14:T14))&lt;I9/C7,I9-SUM(E14:T14),I9/C7),0)</f>
        <v>0</v>
      </c>
      <c r="V14">
        <f>IF(SUM(E14:U14)&lt;I9,IF((I9-SUM(E14:U14))&lt;I9/C7,I9-SUM(E14:U14),I9/C7),0)</f>
        <v>0</v>
      </c>
      <c r="W14">
        <f>IF(SUM(E14:V14)&lt;I9,IF((I9-SUM(E14:V14))&lt;I9/C7,I9-SUM(E14:V14),I9/C7),0)</f>
        <v>0</v>
      </c>
      <c r="X14">
        <f>IF(SUM(E14:W14)&lt;I9,IF((I9-SUM(E14:W14))&lt;I9/C7,I9-SUM(E14:W14),I9/C7),0)</f>
        <v>0</v>
      </c>
    </row>
    <row r="15">
      <c r="B15" t="str">
        <v>第六年投资在各年的折旧</v>
      </c>
      <c r="D15">
        <f>SUM(E15:X15)</f>
        <v>0</v>
      </c>
      <c r="J15">
        <f>K15*(1-J8/12)</f>
        <v>0</v>
      </c>
      <c r="K15">
        <f>J9/C7</f>
        <v>0</v>
      </c>
      <c r="L15">
        <f>IF(SUM(E15:K15)&lt;J9,IF((J9-SUM(E15:K15))&lt;J9/C7,J9-SUM(E15:K15),J9/C7),0)</f>
        <v>0</v>
      </c>
      <c r="M15">
        <f>IF(SUM(E15:L15)&lt;J9,IF((J9-SUM(E15:L15))&lt;J9/C7,J9-SUM(E15:L15),J9/C7),0)</f>
        <v>0</v>
      </c>
      <c r="N15">
        <f>IF(SUM(E15:M15)&lt;J9,IF((J9-SUM(E15:M15))&lt;J9/C7,J9-SUM(E15:M15),J9/C7),0)</f>
        <v>0</v>
      </c>
      <c r="O15">
        <f>IF(SUM(E15:N15)&lt;J9,IF((J9-SUM(E15:N15))&lt;J9/C7,J9-SUM(E15:N15),J9/C7),0)</f>
        <v>0</v>
      </c>
      <c r="P15">
        <f>IF(SUM(E15:O15)&lt;J9,IF((J9-SUM(E15:O15))&lt;J9/C7,J9-SUM(E15:O15),J9/C7),0)</f>
        <v>0</v>
      </c>
      <c r="Q15">
        <f>IF(SUM(E15:P15)&lt;J9,IF((J9-SUM(E15:P15))&lt;J9/C7,J9-SUM(E15:P15),J9/C7),0)</f>
        <v>0</v>
      </c>
      <c r="R15">
        <f>IF(SUM(E15:Q15)&lt;J9,IF((J9-SUM(E15:Q15))&lt;J9/C7,J9-SUM(E15:Q15),J9/C7),0)</f>
        <v>0</v>
      </c>
      <c r="S15">
        <f>IF(SUM(E15:R15)&lt;J9,IF((J9-SUM(E15:R15))&lt;J9/C7,J9-SUM(E15:R15),J9/C7),0)</f>
        <v>0</v>
      </c>
      <c r="T15">
        <f>IF(SUM(E15:S15)&lt;J9,IF((J9-SUM(E15:S15))&lt;J9/C7,J9-SUM(E15:S15),J9/C7),0)</f>
        <v>0</v>
      </c>
      <c r="U15">
        <f>IF(SUM(E15:T15)&lt;J9,IF((J9-SUM(E15:T15))&lt;J9/C7,J9-SUM(E15:T15),J9/C7),0)</f>
        <v>0</v>
      </c>
      <c r="V15">
        <f>IF(SUM(E15:U15)&lt;J9,IF((J9-SUM(E15:U15))&lt;J9/C7,J9-SUM(E15:U15),J9/C7),0)</f>
        <v>0</v>
      </c>
      <c r="W15">
        <f>IF(SUM(E15:V15)&lt;J9,IF((J9-SUM(E15:V15))&lt;J9/C7,J9-SUM(E15:V15),J9/C7),0)</f>
        <v>0</v>
      </c>
      <c r="X15">
        <f>IF(SUM(E15:W15)&lt;J9,IF((J9-SUM(E15:W15))&lt;J9/C7,J9-SUM(E15:W15),J9/C7),0)</f>
        <v>0</v>
      </c>
    </row>
    <row r="16">
      <c r="B16" t="str">
        <v>第七年投资在各年的折旧</v>
      </c>
      <c r="D16">
        <f>SUM(E16:X16)</f>
        <v>0</v>
      </c>
      <c r="K16">
        <f>L16*(1-K8/12)</f>
        <v>0</v>
      </c>
      <c r="L16">
        <f>K9/C7</f>
        <v>0</v>
      </c>
      <c r="M16">
        <f>IF(SUM(E16:L16)&lt;K9,IF((K9-SUM(E16:L16))&lt;K9/C7,K9-SUM(E16:L16),K9/C7),0)</f>
        <v>0</v>
      </c>
      <c r="N16">
        <f>IF(SUM(E16:M16)&lt;K9,IF((K9-SUM(E16:M16))&lt;K9/C7,K9-SUM(E16:M16),K9/C7),0)</f>
        <v>0</v>
      </c>
      <c r="O16">
        <f>IF(SUM(E16:N16)&lt;K9,IF((K9-SUM(E16:N16))&lt;K9/C7,K9-SUM(E16:N16),K9/C7),0)</f>
        <v>0</v>
      </c>
      <c r="P16">
        <f>IF(SUM(E16:O16)&lt;K9,IF((K9-SUM(E16:O16))&lt;K9/C7,K9-SUM(E16:O16),K9/C7),0)</f>
        <v>0</v>
      </c>
      <c r="Q16">
        <f>IF(SUM(E16:P16)&lt;K9,IF((K9-SUM(E16:P16))&lt;K9/C7,K9-SUM(E16:P16),K9/C7),0)</f>
        <v>0</v>
      </c>
      <c r="R16">
        <f>IF(SUM(E16:Q16)&lt;K9,IF((K9-SUM(E16:Q16))&lt;K9/C7,K9-SUM(E16:Q16),K9/C7),0)</f>
        <v>0</v>
      </c>
      <c r="S16">
        <f>IF(SUM(E16:R16)&lt;K9,IF((K9-SUM(E16:R16))&lt;K9/C7,K9-SUM(E16:R16),K9/C7),0)</f>
        <v>0</v>
      </c>
      <c r="T16">
        <f>IF(SUM(E16:S16)&lt;K9,IF((K9-SUM(E16:S16))&lt;K9/C7,K9-SUM(E16:S16),K9/C7),0)</f>
        <v>0</v>
      </c>
      <c r="U16">
        <f>IF(SUM(E16:T16)&lt;K9,IF((K9-SUM(E16:T16))&lt;K9/C7,K9-SUM(E16:T16),K9/C7),0)</f>
        <v>0</v>
      </c>
      <c r="V16">
        <f>IF(SUM(E16:U16)&lt;K9,IF((K9-SUM(E16:U16))&lt;K9/C7,K9-SUM(E16:U16),K9/C7),0)</f>
        <v>0</v>
      </c>
      <c r="W16">
        <f>IF(SUM(E16:V16)&lt;K9,IF((K9-SUM(E16:V16))&lt;K9/C7,K9-SUM(E16:V16),K9/C7),0)</f>
        <v>0</v>
      </c>
      <c r="X16">
        <f>IF(SUM(E16:W16)&lt;K9,IF((K9-SUM(E16:W16))&lt;K9/C7,K9-SUM(E16:W16),K9/C7),0)</f>
        <v>0</v>
      </c>
    </row>
    <row r="17">
      <c r="B17" t="str">
        <v>第八年投资在各年的折旧</v>
      </c>
      <c r="D17">
        <f>SUM(E17:X17)</f>
        <v>0</v>
      </c>
      <c r="L17">
        <f>M17*(1-L8/12)</f>
        <v>0</v>
      </c>
      <c r="M17">
        <f>L9/C7</f>
        <v>0</v>
      </c>
      <c r="N17">
        <f>IF(SUM(E17:M17)&lt;L9,IF((L9-SUM(E17:M17))&lt;L9/C7,L9-SUM(E17:M17),L9/C7),0)</f>
        <v>0</v>
      </c>
      <c r="O17">
        <f>IF(SUM(E17:N17)&lt;L9,IF((L9-SUM(E17:N17))&lt;L9/C7,L9-SUM(E17:N17),L9/C7),0)</f>
        <v>0</v>
      </c>
      <c r="P17">
        <f>IF(SUM(E17:O17)&lt;L9,IF((L9-SUM(E17:O17))&lt;L9/C7,L9-SUM(E17:O17),L9/C7),0)</f>
        <v>0</v>
      </c>
      <c r="Q17">
        <f>IF(SUM(E17:P17)&lt;L9,IF((L9-SUM(E17:P17))&lt;L9/C7,L9-SUM(E17:P17),L9/C7),0)</f>
        <v>0</v>
      </c>
      <c r="R17">
        <f>IF(SUM(E17:Q17)&lt;L9,IF((L9-SUM(E17:Q17))&lt;L9/C7,L9-SUM(E17:Q17),L9/C7),0)</f>
        <v>0</v>
      </c>
      <c r="S17">
        <f>IF(SUM(E17:R17)&lt;L9,IF((L9-SUM(E17:R17))&lt;L9/C7,L9-SUM(E17:R17),L9/C7),0)</f>
        <v>0</v>
      </c>
      <c r="T17">
        <f>IF(SUM(E17:S17)&lt;L9,IF((L9-SUM(E17:S17))&lt;L9/C7,L9-SUM(E17:S17),L9/C7),0)</f>
        <v>0</v>
      </c>
      <c r="U17">
        <f>IF(SUM(E17:T17)&lt;L9,IF((L9-SUM(E17:T17))&lt;L9/C7,L9-SUM(E17:T17),L9/C7),0)</f>
        <v>0</v>
      </c>
      <c r="V17">
        <f>IF(SUM(E17:U17)&lt;L9,IF((L9-SUM(E17:U17))&lt;L9/C7,L9-SUM(E17:U17),L9/C7),0)</f>
        <v>0</v>
      </c>
      <c r="W17">
        <f>IF(SUM(E17:V17)&lt;L9,IF((L9-SUM(E17:V17))&lt;L9/C7,L9-SUM(E17:V17),L9/C7),0)</f>
        <v>0</v>
      </c>
      <c r="X17">
        <f>IF(SUM(E17:W17)&lt;L9,IF((L9-SUM(E17:W17))&lt;L9/C7,L9-SUM(E17:W17),L9/C7),0)</f>
        <v>0</v>
      </c>
    </row>
    <row r="18">
      <c r="B18" t="str">
        <v>第九年投资在各年的折旧</v>
      </c>
      <c r="D18">
        <f>SUM(E18:X18)</f>
        <v>0</v>
      </c>
      <c r="M18">
        <f>N18*(1-M8/12)</f>
        <v>0</v>
      </c>
      <c r="N18">
        <f>M9/C7</f>
        <v>0</v>
      </c>
      <c r="O18">
        <f>IF(SUM(E18:N18)&lt;M9,IF((M9-SUM(E18:N18))&lt;M9/C7,M9-SUM(E18:N18),M9/C7),0)</f>
        <v>0</v>
      </c>
      <c r="P18">
        <f>IF(SUM(E18:O18)&lt;M9,IF((M9-SUM(E18:O18))&lt;M9/C7,M9-SUM(E18:O18),M9/C7),0)</f>
        <v>0</v>
      </c>
      <c r="Q18">
        <f>IF(SUM(E18:P18)&lt;M9,IF((M9-SUM(E18:P18))&lt;M9/C7,M9-SUM(E18:P18),M9/C7),0)</f>
        <v>0</v>
      </c>
      <c r="R18">
        <f>IF(SUM(E18:Q18)&lt;M9,IF((M9-SUM(E18:Q18))&lt;M9/C7,M9-SUM(E18:Q18),M9/C7),0)</f>
        <v>0</v>
      </c>
      <c r="S18">
        <f>IF(SUM(E18:R18)&lt;M9,IF((M9-SUM(E18:R18))&lt;M9/C7,M9-SUM(E18:R18),M9/C7),0)</f>
        <v>0</v>
      </c>
      <c r="T18">
        <f>IF(SUM(E18:S18)&lt;M9,IF((M9-SUM(E18:S18))&lt;M9/C7,M9-SUM(E18:S18),M9/C7),0)</f>
        <v>0</v>
      </c>
      <c r="U18">
        <f>IF(SUM(E18:T18)&lt;M9,IF((M9-SUM(E18:T18))&lt;M9/C7,M9-SUM(E18:T18),M9/C7),0)</f>
        <v>0</v>
      </c>
      <c r="V18">
        <f>IF(SUM(E18:U18)&lt;M9,IF((M9-SUM(E18:U18))&lt;M9/C7,M9-SUM(E18:U18),M9/C7),0)</f>
        <v>0</v>
      </c>
      <c r="W18">
        <f>IF(SUM(E18:V18)&lt;M9,IF((M9-SUM(E18:V18))&lt;M9/C7,M9-SUM(E18:V18),M9/C7),0)</f>
        <v>0</v>
      </c>
      <c r="X18">
        <f>IF(SUM(E18:W18)&lt;M9,IF((M9-SUM(E18:W18))&lt;M9/C7,M9-SUM(E18:W18),M9/C7),0)</f>
        <v>0</v>
      </c>
    </row>
    <row r="19">
      <c r="B19" t="str">
        <v>第十年投资在各年的折旧</v>
      </c>
      <c r="D19">
        <f>SUM(E19:X19)</f>
        <v>0</v>
      </c>
      <c r="N19">
        <f>O19*(1-N8/12)</f>
        <v>0</v>
      </c>
      <c r="O19">
        <f>N9/C7</f>
        <v>0</v>
      </c>
      <c r="P19">
        <f>IF(SUM(E19:O19)&lt;N9,IF((N9-SUM(E19:O19))&lt;N9/C7,N9-SUM(E19:O19),N9/C7),0)</f>
        <v>0</v>
      </c>
      <c r="Q19">
        <f>IF(SUM(E19:P19)&lt;N9,IF((N9-SUM(E19:P19))&lt;N9/C7,N9-SUM(E19:P19),N9/C7),0)</f>
        <v>0</v>
      </c>
      <c r="R19">
        <f>IF(SUM(E19:Q19)&lt;N9,IF((N9-SUM(E19:Q19))&lt;N9/C7,N9-SUM(E19:Q19),N9/C7),0)</f>
        <v>0</v>
      </c>
      <c r="S19">
        <f>IF(SUM(E19:R19)&lt;N9,IF((N9-SUM(E19:R19))&lt;N9/C7,N9-SUM(E19:R19),N9/C7),0)</f>
        <v>0</v>
      </c>
      <c r="T19">
        <f>IF(SUM(E19:S19)&lt;N9,IF((N9-SUM(E19:S19))&lt;N9/C7,N9-SUM(E19:S19),N9/C7),0)</f>
        <v>0</v>
      </c>
      <c r="U19">
        <f>IF(SUM(E19:T19)&lt;N9,IF((N9-SUM(E19:T19))&lt;N9/C7,N9-SUM(E19:T19),N9/C7),0)</f>
        <v>0</v>
      </c>
      <c r="V19">
        <f>IF(SUM(E19:U19)&lt;N9,IF((N9-SUM(E19:U19))&lt;N9/C7,N9-SUM(E19:U19),N9/C7),0)</f>
        <v>0</v>
      </c>
      <c r="W19">
        <f>IF(SUM(E19:V19)&lt;N9,IF((N9-SUM(E19:V19))&lt;N9/C7,N9-SUM(E19:V19),N9/C7),0)</f>
        <v>0</v>
      </c>
      <c r="X19">
        <f>IF(SUM(E19:W19)&lt;N9,IF((N9-SUM(E19:W19))&lt;N9/C7,N9-SUM(E19:W19),N9/C7),0)</f>
        <v>0</v>
      </c>
    </row>
    <row r="20">
      <c r="B20" t="str">
        <v>第十一年投资在各年的折旧</v>
      </c>
      <c r="D20">
        <f>SUM(E20:X20)</f>
        <v>0</v>
      </c>
      <c r="O20">
        <f>P20*(1-O8/12)</f>
        <v>0</v>
      </c>
      <c r="P20">
        <f>O9/C7</f>
        <v>0</v>
      </c>
      <c r="Q20">
        <f>IF(SUM(E20:P20)&lt;O9,IF((O9-SUM(E20:P20))&lt;O9/C7,O9-SUM(E20:P20),O9/C7),0)</f>
        <v>0</v>
      </c>
      <c r="R20">
        <f>IF(SUM(E20:Q20)&lt;O9,IF((O9-SUM(E20:Q20))&lt;O9/C7,O9-SUM(E20:Q20),O9/C7),0)</f>
        <v>0</v>
      </c>
      <c r="S20">
        <f>IF(SUM(E20:R20)&lt;O9,IF((O9-SUM(E20:R20))&lt;O9/C7,O9-SUM(E20:R20),O9/C7),0)</f>
        <v>0</v>
      </c>
      <c r="T20">
        <f>IF(SUM(E20:S20)&lt;O9,IF((O9-SUM(E20:S20))&lt;O9/C7,O9-SUM(E20:S20),O9/C7),0)</f>
        <v>0</v>
      </c>
      <c r="U20">
        <f>IF(SUM(E20:T20)&lt;O9,IF((O9-SUM(E20:T20))&lt;O9/C7,O9-SUM(E20:T20),O9/C7),0)</f>
        <v>0</v>
      </c>
      <c r="V20">
        <f>IF(SUM(E20:U20)&lt;O9,IF((O9-SUM(E20:U20))&lt;O9/C7,O9-SUM(E20:U20),O9/C7),0)</f>
        <v>0</v>
      </c>
      <c r="W20">
        <f>IF(SUM(E20:V20)&lt;O9,IF((O9-SUM(E20:V20))&lt;O9/C7,O9-SUM(E20:V20),O9/C7),0)</f>
        <v>0</v>
      </c>
      <c r="X20">
        <f>IF(SUM(E20:W20)&lt;O9,IF((O9-SUM(E20:W20))&lt;O9/C7,O9-SUM(E20:W20),O9/C7),0)</f>
        <v>0</v>
      </c>
    </row>
    <row r="22">
      <c r="B22" t="str">
        <v>传输网设备投资累计折旧</v>
      </c>
      <c r="D22">
        <f>SUM(E22:X22)</f>
        <v>0</v>
      </c>
      <c r="E22">
        <f>SUM(E26:E36)</f>
        <v>0</v>
      </c>
      <c r="F22">
        <f>SUM(F26:F36)</f>
        <v>0</v>
      </c>
      <c r="G22">
        <f>SUM(G26:G36)</f>
        <v>0</v>
      </c>
      <c r="H22">
        <f>SUM(H26:H36)</f>
        <v>0</v>
      </c>
      <c r="I22">
        <f>SUM(I26:I36)</f>
        <v>0</v>
      </c>
      <c r="J22">
        <f>SUM(J26:J36)</f>
        <v>0</v>
      </c>
      <c r="K22">
        <f>SUM(K26:K36)</f>
        <v>0</v>
      </c>
      <c r="L22">
        <f>SUM(L26:L36)</f>
        <v>0</v>
      </c>
      <c r="M22">
        <f>SUM(M26:M36)</f>
        <v>0</v>
      </c>
      <c r="N22">
        <f>SUM(N26:N36)</f>
        <v>0</v>
      </c>
      <c r="O22">
        <f>SUM(O26:O36)</f>
        <v>0</v>
      </c>
      <c r="P22">
        <f>SUM(P26:P36)</f>
        <v>0</v>
      </c>
      <c r="Q22">
        <f>SUM(Q26:Q36)</f>
        <v>0</v>
      </c>
      <c r="R22">
        <f>SUM(R26:R36)</f>
        <v>0</v>
      </c>
      <c r="S22">
        <f>SUM(S26:S36)</f>
        <v>0</v>
      </c>
      <c r="T22">
        <f>SUM(T26:T36)</f>
        <v>0</v>
      </c>
      <c r="U22">
        <f>SUM(U26:U36)</f>
        <v>0</v>
      </c>
      <c r="V22">
        <f>SUM(V26:V36)</f>
        <v>0</v>
      </c>
      <c r="W22">
        <f>SUM(W26:W36)</f>
        <v>0</v>
      </c>
      <c r="X22">
        <f>SUM(X26:X36)</f>
        <v>0</v>
      </c>
    </row>
    <row r="23">
      <c r="B23" t="str">
        <v>折旧年限</v>
      </c>
      <c r="C23">
        <v>7</v>
      </c>
    </row>
    <row r="24">
      <c r="B24" t="str">
        <v>当年转资月份</v>
      </c>
      <c r="E24">
        <v>0</v>
      </c>
      <c r="F24">
        <v>0</v>
      </c>
      <c r="G24">
        <v>0</v>
      </c>
      <c r="H24">
        <v>0</v>
      </c>
      <c r="I24">
        <v>0</v>
      </c>
      <c r="J24">
        <v>0</v>
      </c>
      <c r="K24">
        <v>0</v>
      </c>
      <c r="L24">
        <v>0</v>
      </c>
      <c r="M24">
        <v>0</v>
      </c>
      <c r="N24">
        <v>0</v>
      </c>
      <c r="O24">
        <v>0</v>
      </c>
    </row>
    <row r="25">
      <c r="B25" t="str">
        <v>各年传输网设备转资规模</v>
      </c>
      <c r="D25">
        <f>SUM(E25:O25)</f>
        <v>0</v>
      </c>
    </row>
    <row r="26">
      <c r="B26" t="str">
        <v>第一年投资在各年的折旧</v>
      </c>
      <c r="D26">
        <f>SUM(E26:X26)</f>
        <v>0</v>
      </c>
      <c r="E26">
        <f>F26*(1-E24/12)</f>
        <v>0</v>
      </c>
      <c r="F26">
        <f>E25/C23</f>
        <v>0</v>
      </c>
      <c r="G26">
        <f>IF(SUM(E26:F26)&lt;E25,IF((E25-SUM(E26:F26))&lt;E25/C23,E25-SUM(E26:F26),E25/C23),0)</f>
        <v>0</v>
      </c>
      <c r="H26">
        <f>IF(SUM(E26:G26)&lt;E25,IF((E25-SUM(E26:G26))&lt;E25/C23,E25-SUM(E26:G26),E25/C23),0)</f>
        <v>0</v>
      </c>
      <c r="I26">
        <f>IF(SUM(E26:H26)&lt;E25,IF((E25-SUM(E26:H26))&lt;E25/C23,E25-SUM(E26:H26),E25/C23),0)</f>
        <v>0</v>
      </c>
      <c r="J26">
        <f>IF(SUM(E26:I26)&lt;E25,IF((E25-SUM(E26:I26))&lt;E25/C23,E25-SUM(E26:I26),E25/C23),0)</f>
        <v>0</v>
      </c>
      <c r="K26">
        <f>IF(SUM(E26:J26)&lt;E25,IF((E25-SUM(E26:J26))&lt;E25/C23,E25-SUM(E26:J26),E25/C23),0)</f>
        <v>0</v>
      </c>
      <c r="L26">
        <f>IF(SUM(E26:K26)&lt;E25,IF((E25-SUM(E26:K26))&lt;E25/C23,E25-SUM(E26:K26),E25/C23),0)</f>
        <v>0</v>
      </c>
      <c r="M26">
        <f>IF(SUM(E26:L26)&lt;E25,IF((E25-SUM(E26:L26))&lt;E25/C23,E25-SUM(E26:L26),E25/C23),0)</f>
        <v>0</v>
      </c>
      <c r="N26">
        <f>IF(SUM(E26:M26)&lt;E25,IF((E25-SUM(E26:M26))&lt;E25/C23,E25-SUM(E26:M26),E25/C23),0)</f>
        <v>0</v>
      </c>
      <c r="O26">
        <f>IF(SUM(E26:N26)&lt;E25,IF((E25-SUM(E26:N26))&lt;E25/C23,E25-SUM(E26:N26),E25/C23),0)</f>
        <v>0</v>
      </c>
      <c r="P26">
        <f>IF(SUM(E26:O26)&lt;E25,IF((E25-SUM(E26:O26))&lt;E25/C23,E25-SUM(E26:O26),E25/C23),0)</f>
        <v>0</v>
      </c>
      <c r="Q26">
        <f>IF(SUM(E26:P26)&lt;E25,IF((E25-SUM(E26:P26))&lt;E25/C23,E25-SUM(E26:P26),E25/C23),0)</f>
        <v>0</v>
      </c>
      <c r="R26">
        <f>IF(SUM(E26:Q26)&lt;E25,IF((E25-SUM(E26:Q26))&lt;E25/C23,E25-SUM(E26:Q26),E25/C23),0)</f>
        <v>0</v>
      </c>
      <c r="S26">
        <f>IF(SUM(E26:R26)&lt;E25,IF((E25-SUM(E26:R26))&lt;E25/C23,E25-SUM(E26:R26),E25/C23),0)</f>
        <v>0</v>
      </c>
      <c r="T26">
        <f>IF(SUM(E26:S26)&lt;E25,IF((E25-SUM(E26:S26))&lt;E25/C23,E25-SUM(E26:S26),E25/C23),0)</f>
        <v>0</v>
      </c>
      <c r="U26">
        <f>IF(SUM(E26:T26)&lt;E25,IF((E25-SUM(E26:T26))&lt;E25/C23,E25-SUM(E26:T26),E25/C23),0)</f>
        <v>0</v>
      </c>
      <c r="V26">
        <f>IF(SUM(E26:U26)&lt;E25,IF((E25-SUM(E26:U26))&lt;E25/C23,E25-SUM(E26:U26),E25/C23),0)</f>
        <v>0</v>
      </c>
      <c r="W26">
        <f>IF(SUM(E26:V26)&lt;E25,IF((E25-SUM(E26:V26))&lt;E25/C23,E25-SUM(E26:V26),E25/C23),0)</f>
        <v>0</v>
      </c>
      <c r="X26">
        <f>IF(SUM(E26:W26)&lt;E25,IF((E25-SUM(E26:W26))&lt;E25/C23,E25-SUM(E26:W26),E25/C23),0)</f>
        <v>0</v>
      </c>
    </row>
    <row r="27">
      <c r="B27" t="str">
        <v>第二年投资在各年的折旧</v>
      </c>
      <c r="D27">
        <f>SUM(E27:X27)</f>
        <v>0</v>
      </c>
      <c r="F27">
        <f>G27*(1-F24/12)</f>
        <v>0</v>
      </c>
      <c r="G27">
        <f>F25/C23</f>
        <v>0</v>
      </c>
      <c r="H27">
        <f>IF(SUM(E27:G27)&lt;F25,IF((F25-SUM(E27:G27))&lt;F25/C23,F25-SUM(E27:G27),F25/C23),0)</f>
        <v>0</v>
      </c>
      <c r="I27">
        <f>IF(SUM(E27:H27)&lt;F25,IF((F25-SUM(E27:H27))&lt;F25/C23,F25-SUM(E27:H27),F25/C23),0)</f>
        <v>0</v>
      </c>
      <c r="J27">
        <f>IF(SUM(E27:I27)&lt;F25,IF((F25-SUM(E27:I27))&lt;F25/C23,F25-SUM(E27:I27),F25/C23),0)</f>
        <v>0</v>
      </c>
      <c r="K27">
        <f>IF(SUM(E27:J27)&lt;F25,IF((F25-SUM(E27:J27))&lt;F25/C23,F25-SUM(E27:J27),F25/C23),0)</f>
        <v>0</v>
      </c>
      <c r="L27">
        <f>IF(SUM(E27:K27)&lt;F25,IF((F25-SUM(E27:K27))&lt;F25/C23,F25-SUM(E27:K27),F25/C23),0)</f>
        <v>0</v>
      </c>
      <c r="M27">
        <f>IF(SUM(E27:L27)&lt;F25,IF((F25-SUM(E27:L27))&lt;F25/C23,F25-SUM(E27:L27),F25/C23),0)</f>
        <v>0</v>
      </c>
      <c r="N27">
        <f>IF(SUM(E27:M27)&lt;F25,IF((F25-SUM(E27:M27))&lt;F25/C23,F25-SUM(E27:M27),F25/C23),0)</f>
        <v>0</v>
      </c>
      <c r="O27">
        <f>IF(SUM(E27:N27)&lt;F25,IF((F25-SUM(E27:N27))&lt;F25/C23,F25-SUM(E27:N27),F25/C23),0)</f>
        <v>0</v>
      </c>
      <c r="P27">
        <f>IF(SUM(E27:O27)&lt;F25,IF((F25-SUM(E27:O27))&lt;F25/C23,F25-SUM(E27:O27),F25/C23),0)</f>
        <v>0</v>
      </c>
      <c r="Q27">
        <f>IF(SUM(E27:P27)&lt;F25,IF((F25-SUM(E27:P27))&lt;F25/C23,F25-SUM(E27:P27),F25/C23),0)</f>
        <v>0</v>
      </c>
      <c r="R27">
        <f>IF(SUM(E27:Q27)&lt;F25,IF((F25-SUM(E27:Q27))&lt;F25/C23,F25-SUM(E27:Q27),F25/C23),0)</f>
        <v>0</v>
      </c>
      <c r="S27">
        <f>IF(SUM(E27:R27)&lt;F25,IF((F25-SUM(E27:R27))&lt;F25/C23,F25-SUM(E27:R27),F25/C23),0)</f>
        <v>0</v>
      </c>
      <c r="T27">
        <f>IF(SUM(E27:S27)&lt;F25,IF((F25-SUM(E27:S27))&lt;F25/C23,F25-SUM(E27:S27),F25/C23),0)</f>
        <v>0</v>
      </c>
      <c r="U27">
        <f>IF(SUM(E27:T27)&lt;F25,IF((F25-SUM(E27:T27))&lt;F25/C23,F25-SUM(E27:T27),F25/C23),0)</f>
        <v>0</v>
      </c>
      <c r="V27">
        <f>IF(SUM(E27:U27)&lt;F25,IF((F25-SUM(E27:U27))&lt;F25/C23,F25-SUM(E27:U27),F25/C23),0)</f>
        <v>0</v>
      </c>
      <c r="W27">
        <f>IF(SUM(E27:V27)&lt;F25,IF((F25-SUM(E27:V27))&lt;F25/C23,F25-SUM(E27:V27),F25/C23),0)</f>
        <v>0</v>
      </c>
      <c r="X27">
        <f>IF(SUM(E27:W27)&lt;F25,IF((F25-SUM(E27:W27))&lt;F25/C23,F25-SUM(E27:W27),F25/C23),0)</f>
        <v>0</v>
      </c>
    </row>
    <row r="28">
      <c r="B28" t="str">
        <v>第三年投资在各年的折旧</v>
      </c>
      <c r="D28">
        <f>SUM(E28:X28)</f>
        <v>0</v>
      </c>
      <c r="G28">
        <f>H28*(1-G24/12)</f>
        <v>0</v>
      </c>
      <c r="H28">
        <f>G25/C23</f>
        <v>0</v>
      </c>
      <c r="I28">
        <f>IF(SUM(E28:H28)&lt;G25,IF((G25-SUM(E28:H28))&lt;G25/C23,G25-SUM(E28:H28),G25/C23),0)</f>
        <v>0</v>
      </c>
      <c r="J28">
        <f>IF(SUM(E28:I28)&lt;G25,IF((G25-SUM(E28:I28))&lt;G25/C23,G25-SUM(E28:I28),G25/C23),0)</f>
        <v>0</v>
      </c>
      <c r="K28">
        <f>IF(SUM(E28:J28)&lt;G25,IF((G25-SUM(E28:J28))&lt;G25/C23,G25-SUM(E28:J28),G25/C23),0)</f>
        <v>0</v>
      </c>
      <c r="L28">
        <f>IF(SUM(E28:K28)&lt;G25,IF((G25-SUM(E28:K28))&lt;G25/C23,G25-SUM(E28:K28),G25/C23),0)</f>
        <v>0</v>
      </c>
      <c r="M28">
        <f>IF(SUM(E28:L28)&lt;G25,IF((G25-SUM(E28:L28))&lt;G25/C23,G25-SUM(E28:L28),G25/C23),0)</f>
        <v>0</v>
      </c>
      <c r="N28">
        <f>IF(SUM(E28:M28)&lt;G25,IF((G25-SUM(E28:M28))&lt;G25/C23,G25-SUM(E28:M28),G25/C23),0)</f>
        <v>0</v>
      </c>
      <c r="O28">
        <f>IF(SUM(E28:N28)&lt;G25,IF((G25-SUM(E28:N28))&lt;G25/C23,G25-SUM(E28:N28),G25/C23),0)</f>
        <v>0</v>
      </c>
      <c r="P28">
        <f>IF(SUM(E28:O28)&lt;G25,IF((G25-SUM(E28:O28))&lt;G25/C23,G25-SUM(E28:O28),G25/C23),0)</f>
        <v>0</v>
      </c>
      <c r="Q28">
        <f>IF(SUM(E28:P28)&lt;G25,IF((G25-SUM(E28:P28))&lt;G25/C23,G25-SUM(E28:P28),G25/C23),0)</f>
        <v>0</v>
      </c>
      <c r="R28">
        <f>IF(SUM(E28:Q28)&lt;G25,IF((G25-SUM(E28:Q28))&lt;G25/C23,G25-SUM(E28:Q28),G25/C23),0)</f>
        <v>0</v>
      </c>
      <c r="S28">
        <f>IF(SUM(E28:R28)&lt;G25,IF((G25-SUM(E28:R28))&lt;G25/C23,G25-SUM(E28:R28),G25/C23),0)</f>
        <v>0</v>
      </c>
      <c r="T28">
        <f>IF(SUM(E28:S28)&lt;G25,IF((G25-SUM(E28:S28))&lt;G25/C23,G25-SUM(E28:S28),G25/C23),0)</f>
        <v>0</v>
      </c>
      <c r="U28">
        <f>IF(SUM(E28:T28)&lt;G25,IF((G25-SUM(E28:T28))&lt;G25/C23,G25-SUM(E28:T28),G25/C23),0)</f>
        <v>0</v>
      </c>
      <c r="V28">
        <f>IF(SUM(E28:U28)&lt;G25,IF((G25-SUM(E28:U28))&lt;G25/C23,G25-SUM(E28:U28),G25/C23),0)</f>
        <v>0</v>
      </c>
      <c r="W28">
        <f>IF(SUM(E28:V28)&lt;G25,IF((G25-SUM(E28:V28))&lt;G25/C23,G25-SUM(E28:V28),G25/C23),0)</f>
        <v>0</v>
      </c>
      <c r="X28">
        <f>IF(SUM(E28:W28)&lt;G25,IF((G25-SUM(E28:W28))&lt;G25/C23,G25-SUM(E28:W28),G25/C23),0)</f>
        <v>0</v>
      </c>
    </row>
    <row r="29">
      <c r="B29" t="str">
        <v>第四年投资在各年的折旧</v>
      </c>
      <c r="D29">
        <f>SUM(E29:X29)</f>
        <v>0</v>
      </c>
      <c r="H29">
        <f>I29*(1-H24/12)</f>
        <v>0</v>
      </c>
      <c r="I29">
        <f>H25/C23</f>
        <v>0</v>
      </c>
      <c r="J29">
        <f>IF(SUM(E29:I29)&lt;H25,IF((H25-SUM(E29:I29))&lt;H25/C23,H25-SUM(E29:I29),H25/C23),0)</f>
        <v>0</v>
      </c>
      <c r="K29">
        <f>IF(SUM(E29:J29)&lt;H25,IF((H25-SUM(E29:J29))&lt;H25/C23,H25-SUM(E29:J29),H25/C23),0)</f>
        <v>0</v>
      </c>
      <c r="L29">
        <f>IF(SUM(E29:K29)&lt;H25,IF((H25-SUM(E29:K29))&lt;H25/C23,H25-SUM(E29:K29),H25/C23),0)</f>
        <v>0</v>
      </c>
      <c r="M29">
        <f>IF(SUM(E29:L29)&lt;H25,IF((H25-SUM(E29:L29))&lt;H25/C23,H25-SUM(E29:L29),H25/C23),0)</f>
        <v>0</v>
      </c>
      <c r="N29">
        <f>IF(SUM(E29:M29)&lt;H25,IF((H25-SUM(E29:M29))&lt;H25/C23,H25-SUM(E29:M29),H25/C23),0)</f>
        <v>0</v>
      </c>
      <c r="O29">
        <f>IF(SUM(E29:N29)&lt;H25,IF((H25-SUM(E29:N29))&lt;H25/C23,H25-SUM(E29:N29),H25/C23),0)</f>
        <v>0</v>
      </c>
      <c r="P29">
        <f>IF(SUM(E29:O29)&lt;H25,IF((H25-SUM(E29:O29))&lt;H25/C23,H25-SUM(E29:O29),H25/C23),0)</f>
        <v>0</v>
      </c>
      <c r="Q29">
        <f>IF(SUM(E29:P29)&lt;H25,IF((H25-SUM(E29:P29))&lt;H25/C23,H25-SUM(E29:P29),H25/C23),0)</f>
        <v>0</v>
      </c>
      <c r="R29">
        <f>IF(SUM(E29:Q29)&lt;H25,IF((H25-SUM(E29:Q29))&lt;H25/C23,H25-SUM(E29:Q29),H25/C23),0)</f>
        <v>0</v>
      </c>
      <c r="S29">
        <f>IF(SUM(E29:R29)&lt;H25,IF((H25-SUM(E29:R29))&lt;H25/C23,H25-SUM(E29:R29),H25/C23),0)</f>
        <v>0</v>
      </c>
      <c r="T29">
        <f>IF(SUM(E29:S29)&lt;H25,IF((H25-SUM(E29:S29))&lt;H25/C23,H25-SUM(E29:S29),H25/C23),0)</f>
        <v>0</v>
      </c>
      <c r="U29">
        <f>IF(SUM(E29:T29)&lt;H25,IF((H25-SUM(E29:T29))&lt;H25/C23,H25-SUM(E29:T29),H25/C23),0)</f>
        <v>0</v>
      </c>
      <c r="V29">
        <f>IF(SUM(E29:U29)&lt;H25,IF((H25-SUM(E29:U29))&lt;H25/C23,H25-SUM(E29:U29),H25/C23),0)</f>
        <v>0</v>
      </c>
      <c r="W29">
        <f>IF(SUM(E29:V29)&lt;H25,IF((H25-SUM(E29:V29))&lt;H25/C23,H25-SUM(E29:V29),H25/C23),0)</f>
        <v>0</v>
      </c>
      <c r="X29">
        <f>IF(SUM(E29:W29)&lt;H25,IF((H25-SUM(E29:W29))&lt;H25/C23,H25-SUM(E29:W29),H25/C23),0)</f>
        <v>0</v>
      </c>
    </row>
    <row r="30">
      <c r="B30" t="str">
        <v>第五年投资在各年的折旧</v>
      </c>
      <c r="D30">
        <f>SUM(E30:X30)</f>
        <v>0</v>
      </c>
      <c r="I30">
        <f>J30*(1-I24/12)</f>
        <v>0</v>
      </c>
      <c r="J30">
        <f>I25/C23</f>
        <v>0</v>
      </c>
      <c r="K30">
        <f>IF(SUM(E30:J30)&lt;I25,IF((I25-SUM(E30:J30))&lt;I25/C23,I25-SUM(E30:J30),I25/C23),0)</f>
        <v>0</v>
      </c>
      <c r="L30">
        <f>IF(SUM(E30:K30)&lt;I25,IF((I25-SUM(E30:K30))&lt;I25/C23,I25-SUM(E30:K30),I25/C23),0)</f>
        <v>0</v>
      </c>
      <c r="M30">
        <f>IF(SUM(E30:L30)&lt;I25,IF((I25-SUM(E30:L30))&lt;I25/C23,I25-SUM(E30:L30),I25/C23),0)</f>
        <v>0</v>
      </c>
      <c r="N30">
        <f>IF(SUM(E30:M30)&lt;I25,IF((I25-SUM(E30:M30))&lt;I25/C23,I25-SUM(E30:M30),I25/C23),0)</f>
        <v>0</v>
      </c>
      <c r="O30">
        <f>IF(SUM(E30:N30)&lt;I25,IF((I25-SUM(E30:N30))&lt;I25/C23,I25-SUM(E30:N30),I25/C23),0)</f>
        <v>0</v>
      </c>
      <c r="P30">
        <f>IF(SUM(E30:O30)&lt;I25,IF((I25-SUM(E30:O30))&lt;I25/C23,I25-SUM(E30:O30),I25/C23),0)</f>
        <v>0</v>
      </c>
      <c r="Q30">
        <f>IF(SUM(E30:P30)&lt;I25,IF((I25-SUM(E30:P30))&lt;I25/C23,I25-SUM(E30:P30),I25/C23),0)</f>
        <v>0</v>
      </c>
      <c r="R30">
        <f>IF(SUM(E30:Q30)&lt;I25,IF((I25-SUM(E30:Q30))&lt;I25/C23,I25-SUM(E30:Q30),I25/C23),0)</f>
        <v>0</v>
      </c>
      <c r="S30">
        <f>IF(SUM(E30:R30)&lt;I25,IF((I25-SUM(E30:R30))&lt;I25/C23,I25-SUM(E30:R30),I25/C23),0)</f>
        <v>0</v>
      </c>
      <c r="T30">
        <f>IF(SUM(E30:S30)&lt;I25,IF((I25-SUM(E30:S30))&lt;I25/C23,I25-SUM(E30:S30),I25/C23),0)</f>
        <v>0</v>
      </c>
      <c r="U30">
        <f>IF(SUM(E30:T30)&lt;I25,IF((I25-SUM(E30:T30))&lt;I25/C23,I25-SUM(E30:T30),I25/C23),0)</f>
        <v>0</v>
      </c>
      <c r="V30">
        <f>IF(SUM(E30:U30)&lt;I25,IF((I25-SUM(E30:U30))&lt;I25/C23,I25-SUM(E30:U30),I25/C23),0)</f>
        <v>0</v>
      </c>
      <c r="W30">
        <f>IF(SUM(E30:V30)&lt;I25,IF((I25-SUM(E30:V30))&lt;I25/C23,I25-SUM(E30:V30),I25/C23),0)</f>
        <v>0</v>
      </c>
      <c r="X30">
        <f>IF(SUM(E30:W30)&lt;I25,IF((I25-SUM(E30:W30))&lt;I25/C23,I25-SUM(E30:W30),I25/C23),0)</f>
        <v>0</v>
      </c>
    </row>
    <row r="31">
      <c r="B31" t="str">
        <v>第六年投资在各年的折旧</v>
      </c>
      <c r="D31">
        <f>SUM(E31:X31)</f>
        <v>0</v>
      </c>
      <c r="J31">
        <f>K31*(1-J24/12)</f>
        <v>0</v>
      </c>
      <c r="K31">
        <f>J25/C23</f>
        <v>0</v>
      </c>
      <c r="L31">
        <f>IF(SUM(E31:K31)&lt;J25,IF((J25-SUM(E31:K31))&lt;J25/C23,J25-SUM(E31:K31),J25/C23),0)</f>
        <v>0</v>
      </c>
      <c r="M31">
        <f>IF(SUM(E31:L31)&lt;J25,IF((J25-SUM(E31:L31))&lt;J25/C23,J25-SUM(E31:L31),J25/C23),0)</f>
        <v>0</v>
      </c>
      <c r="N31">
        <f>IF(SUM(E31:M31)&lt;J25,IF((J25-SUM(E31:M31))&lt;J25/C23,J25-SUM(E31:M31),J25/C23),0)</f>
        <v>0</v>
      </c>
      <c r="O31">
        <f>IF(SUM(E31:N31)&lt;J25,IF((J25-SUM(E31:N31))&lt;J25/C23,J25-SUM(E31:N31),J25/C23),0)</f>
        <v>0</v>
      </c>
      <c r="P31">
        <f>IF(SUM(E31:O31)&lt;J25,IF((J25-SUM(E31:O31))&lt;J25/C23,J25-SUM(E31:O31),J25/C23),0)</f>
        <v>0</v>
      </c>
      <c r="Q31">
        <f>IF(SUM(E31:P31)&lt;J25,IF((J25-SUM(E31:P31))&lt;J25/C23,J25-SUM(E31:P31),J25/C23),0)</f>
        <v>0</v>
      </c>
      <c r="R31">
        <f>IF(SUM(E31:Q31)&lt;J25,IF((J25-SUM(E31:Q31))&lt;J25/C23,J25-SUM(E31:Q31),J25/C23),0)</f>
        <v>0</v>
      </c>
      <c r="S31">
        <f>IF(SUM(E31:R31)&lt;J25,IF((J25-SUM(E31:R31))&lt;J25/C23,J25-SUM(E31:R31),J25/C23),0)</f>
        <v>0</v>
      </c>
      <c r="T31">
        <f>IF(SUM(E31:S31)&lt;J25,IF((J25-SUM(E31:S31))&lt;J25/C23,J25-SUM(E31:S31),J25/C23),0)</f>
        <v>0</v>
      </c>
      <c r="U31">
        <f>IF(SUM(E31:T31)&lt;J25,IF((J25-SUM(E31:T31))&lt;J25/C23,J25-SUM(E31:T31),J25/C23),0)</f>
        <v>0</v>
      </c>
      <c r="V31">
        <f>IF(SUM(E31:U31)&lt;J25,IF((J25-SUM(E31:U31))&lt;J25/C23,J25-SUM(E31:U31),J25/C23),0)</f>
        <v>0</v>
      </c>
      <c r="W31">
        <f>IF(SUM(E31:V31)&lt;J25,IF((J25-SUM(E31:V31))&lt;J25/C23,J25-SUM(E31:V31),J25/C23),0)</f>
        <v>0</v>
      </c>
      <c r="X31">
        <f>IF(SUM(E31:W31)&lt;J25,IF((J25-SUM(E31:W31))&lt;J25/C23,J25-SUM(E31:W31),J25/C23),0)</f>
        <v>0</v>
      </c>
    </row>
    <row r="32">
      <c r="B32" t="str">
        <v>第七年投资在各年的折旧</v>
      </c>
      <c r="D32">
        <f>SUM(E32:X32)</f>
        <v>0</v>
      </c>
      <c r="K32">
        <f>L32*(1-K24/12)</f>
        <v>0</v>
      </c>
      <c r="L32">
        <f>K25/C23</f>
        <v>0</v>
      </c>
      <c r="M32">
        <f>IF(SUM(E32:L32)&lt;K25,IF((K25-SUM(E32:L32))&lt;K25/C23,K25-SUM(E32:L32),K25/C23),0)</f>
        <v>0</v>
      </c>
      <c r="N32">
        <f>IF(SUM(E32:M32)&lt;K25,IF((K25-SUM(E32:M32))&lt;K25/C23,K25-SUM(E32:M32),K25/C23),0)</f>
        <v>0</v>
      </c>
      <c r="O32">
        <f>IF(SUM(E32:N32)&lt;K25,IF((K25-SUM(E32:N32))&lt;K25/C23,K25-SUM(E32:N32),K25/C23),0)</f>
        <v>0</v>
      </c>
      <c r="P32">
        <f>IF(SUM(E32:O32)&lt;K25,IF((K25-SUM(E32:O32))&lt;K25/C23,K25-SUM(E32:O32),K25/C23),0)</f>
        <v>0</v>
      </c>
      <c r="Q32">
        <f>IF(SUM(E32:P32)&lt;K25,IF((K25-SUM(E32:P32))&lt;K25/C23,K25-SUM(E32:P32),K25/C23),0)</f>
        <v>0</v>
      </c>
      <c r="R32">
        <f>IF(SUM(E32:Q32)&lt;K25,IF((K25-SUM(E32:Q32))&lt;K25/C23,K25-SUM(E32:Q32),K25/C23),0)</f>
        <v>0</v>
      </c>
      <c r="S32">
        <f>IF(SUM(E32:R32)&lt;K25,IF((K25-SUM(E32:R32))&lt;K25/C23,K25-SUM(E32:R32),K25/C23),0)</f>
        <v>0</v>
      </c>
      <c r="T32">
        <f>IF(SUM(E32:S32)&lt;K25,IF((K25-SUM(E32:S32))&lt;K25/C23,K25-SUM(E32:S32),K25/C23),0)</f>
        <v>0</v>
      </c>
      <c r="U32">
        <f>IF(SUM(E32:T32)&lt;K25,IF((K25-SUM(E32:T32))&lt;K25/C23,K25-SUM(E32:T32),K25/C23),0)</f>
        <v>0</v>
      </c>
      <c r="V32">
        <f>IF(SUM(E32:U32)&lt;K25,IF((K25-SUM(E32:U32))&lt;K25/C23,K25-SUM(E32:U32),K25/C23),0)</f>
        <v>0</v>
      </c>
      <c r="W32">
        <f>IF(SUM(E32:V32)&lt;K25,IF((K25-SUM(E32:V32))&lt;K25/C23,K25-SUM(E32:V32),K25/C23),0)</f>
        <v>0</v>
      </c>
      <c r="X32">
        <f>IF(SUM(E32:W32)&lt;K25,IF((K25-SUM(E32:W32))&lt;K25/C23,K25-SUM(E32:W32),K25/C23),0)</f>
        <v>0</v>
      </c>
    </row>
    <row r="33">
      <c r="B33" t="str">
        <v>第八年投资在各年的折旧</v>
      </c>
      <c r="D33">
        <f>SUM(E33:X33)</f>
        <v>0</v>
      </c>
      <c r="L33">
        <f>M33*(1-L24/12)</f>
        <v>0</v>
      </c>
      <c r="M33">
        <f>L25/C23</f>
        <v>0</v>
      </c>
      <c r="N33">
        <f>IF(SUM(E33:M33)&lt;L25,IF((L25-SUM(E33:M33))&lt;L25/C23,L25-SUM(E33:M33),L25/C23),0)</f>
        <v>0</v>
      </c>
      <c r="O33">
        <f>IF(SUM(E33:N33)&lt;L25,IF((L25-SUM(E33:N33))&lt;L25/C23,L25-SUM(E33:N33),L25/C23),0)</f>
        <v>0</v>
      </c>
      <c r="P33">
        <f>IF(SUM(E33:O33)&lt;L25,IF((L25-SUM(E33:O33))&lt;L25/C23,L25-SUM(E33:O33),L25/C23),0)</f>
        <v>0</v>
      </c>
      <c r="Q33">
        <f>IF(SUM(E33:P33)&lt;L25,IF((L25-SUM(E33:P33))&lt;L25/C23,L25-SUM(E33:P33),L25/C23),0)</f>
        <v>0</v>
      </c>
      <c r="R33">
        <f>IF(SUM(E33:Q33)&lt;L25,IF((L25-SUM(E33:Q33))&lt;L25/C23,L25-SUM(E33:Q33),L25/C23),0)</f>
        <v>0</v>
      </c>
      <c r="S33">
        <f>IF(SUM(E33:R33)&lt;L25,IF((L25-SUM(E33:R33))&lt;L25/C23,L25-SUM(E33:R33),L25/C23),0)</f>
        <v>0</v>
      </c>
      <c r="T33">
        <f>IF(SUM(E33:S33)&lt;L25,IF((L25-SUM(E33:S33))&lt;L25/C23,L25-SUM(E33:S33),L25/C23),0)</f>
        <v>0</v>
      </c>
      <c r="U33">
        <f>IF(SUM(E33:T33)&lt;L25,IF((L25-SUM(E33:T33))&lt;L25/C23,L25-SUM(E33:T33),L25/C23),0)</f>
        <v>0</v>
      </c>
      <c r="V33">
        <f>IF(SUM(E33:U33)&lt;L25,IF((L25-SUM(E33:U33))&lt;L25/C23,L25-SUM(E33:U33),L25/C23),0)</f>
        <v>0</v>
      </c>
      <c r="W33">
        <f>IF(SUM(E33:V33)&lt;L25,IF((L25-SUM(E33:V33))&lt;L25/C23,L25-SUM(E33:V33),L25/C23),0)</f>
        <v>0</v>
      </c>
      <c r="X33">
        <f>IF(SUM(E33:W33)&lt;L25,IF((L25-SUM(E33:W33))&lt;L25/C23,L25-SUM(E33:W33),L25/C23),0)</f>
        <v>0</v>
      </c>
    </row>
    <row r="34">
      <c r="B34" t="str">
        <v>第九年投资在各年的折旧</v>
      </c>
      <c r="D34">
        <f>SUM(E34:X34)</f>
        <v>0</v>
      </c>
      <c r="M34">
        <f>N34*(1-M24/12)</f>
        <v>0</v>
      </c>
      <c r="N34">
        <f>M25/C23</f>
        <v>0</v>
      </c>
      <c r="O34">
        <f>IF(SUM(E34:N34)&lt;M25,IF((M25-SUM(E34:N34))&lt;M25/C23,M25-SUM(E34:N34),M25/C23),0)</f>
        <v>0</v>
      </c>
      <c r="P34">
        <f>IF(SUM(E34:O34)&lt;M25,IF((M25-SUM(E34:O34))&lt;M25/C23,M25-SUM(E34:O34),M25/C23),0)</f>
        <v>0</v>
      </c>
      <c r="Q34">
        <f>IF(SUM(E34:P34)&lt;M25,IF((M25-SUM(E34:P34))&lt;M25/C23,M25-SUM(E34:P34),M25/C23),0)</f>
        <v>0</v>
      </c>
      <c r="R34">
        <f>IF(SUM(E34:Q34)&lt;M25,IF((M25-SUM(E34:Q34))&lt;M25/C23,M25-SUM(E34:Q34),M25/C23),0)</f>
        <v>0</v>
      </c>
      <c r="S34">
        <f>IF(SUM(E34:R34)&lt;M25,IF((M25-SUM(E34:R34))&lt;M25/C23,M25-SUM(E34:R34),M25/C23),0)</f>
        <v>0</v>
      </c>
      <c r="T34">
        <f>IF(SUM(E34:S34)&lt;M25,IF((M25-SUM(E34:S34))&lt;M25/C23,M25-SUM(E34:S34),M25/C23),0)</f>
        <v>0</v>
      </c>
      <c r="U34">
        <f>IF(SUM(E34:T34)&lt;M25,IF((M25-SUM(E34:T34))&lt;M25/C23,M25-SUM(E34:T34),M25/C23),0)</f>
        <v>0</v>
      </c>
      <c r="V34">
        <f>IF(SUM(E34:U34)&lt;M25,IF((M25-SUM(E34:U34))&lt;M25/C23,M25-SUM(E34:U34),M25/C23),0)</f>
        <v>0</v>
      </c>
      <c r="W34">
        <f>IF(SUM(E34:V34)&lt;M25,IF((M25-SUM(E34:V34))&lt;M25/C23,M25-SUM(E34:V34),M25/C23),0)</f>
        <v>0</v>
      </c>
      <c r="X34">
        <f>IF(SUM(E34:W34)&lt;M25,IF((M25-SUM(E34:W34))&lt;M25/C23,M25-SUM(E34:W34),M25/C23),0)</f>
        <v>0</v>
      </c>
    </row>
    <row r="35">
      <c r="B35" t="str">
        <v>第十年投资在各年的折旧</v>
      </c>
      <c r="D35">
        <f>SUM(E35:X35)</f>
        <v>0</v>
      </c>
      <c r="N35">
        <f>O35*(1-N24/12)</f>
        <v>0</v>
      </c>
      <c r="O35">
        <f>N25/C23</f>
        <v>0</v>
      </c>
      <c r="P35">
        <f>IF(SUM(E35:O35)&lt;N25,IF((N25-SUM(E35:O35))&lt;N25/C23,N25-SUM(E35:O35),N25/C23),0)</f>
        <v>0</v>
      </c>
      <c r="Q35">
        <f>IF(SUM(E35:P35)&lt;N25,IF((N25-SUM(E35:P35))&lt;N25/C23,N25-SUM(E35:P35),N25/C23),0)</f>
        <v>0</v>
      </c>
      <c r="R35">
        <f>IF(SUM(E35:Q35)&lt;N25,IF((N25-SUM(E35:Q35))&lt;N25/C23,N25-SUM(E35:Q35),N25/C23),0)</f>
        <v>0</v>
      </c>
      <c r="S35">
        <f>IF(SUM(E35:R35)&lt;N25,IF((N25-SUM(E35:R35))&lt;N25/C23,N25-SUM(E35:R35),N25/C23),0)</f>
        <v>0</v>
      </c>
      <c r="T35">
        <f>IF(SUM(E35:S35)&lt;N25,IF((N25-SUM(E35:S35))&lt;N25/C23,N25-SUM(E35:S35),N25/C23),0)</f>
        <v>0</v>
      </c>
      <c r="U35">
        <f>IF(SUM(E35:T35)&lt;N25,IF((N25-SUM(E35:T35))&lt;N25/C23,N25-SUM(E35:T35),N25/C23),0)</f>
        <v>0</v>
      </c>
      <c r="V35">
        <f>IF(SUM(E35:U35)&lt;N25,IF((N25-SUM(E35:U35))&lt;N25/C23,N25-SUM(E35:U35),N25/C23),0)</f>
        <v>0</v>
      </c>
      <c r="W35">
        <f>IF(SUM(E35:V35)&lt;N25,IF((N25-SUM(E35:V35))&lt;N25/C23,N25-SUM(E35:V35),N25/C23),0)</f>
        <v>0</v>
      </c>
      <c r="X35">
        <f>IF(SUM(E35:W35)&lt;N25,IF((N25-SUM(E35:W35))&lt;N25/C23,N25-SUM(E35:W35),N25/C23),0)</f>
        <v>0</v>
      </c>
    </row>
    <row r="36">
      <c r="B36" t="str">
        <v>第十一年投资在各年的折旧</v>
      </c>
      <c r="D36">
        <f>SUM(E36:X36)</f>
        <v>0</v>
      </c>
      <c r="O36">
        <f>P36*(1-O24/12)</f>
        <v>0</v>
      </c>
      <c r="P36">
        <f>O25/C23</f>
        <v>0</v>
      </c>
      <c r="Q36">
        <f>IF(SUM(E36:P36)&lt;O25,IF((O25-SUM(E36:P36))&lt;O25/C23,O25-SUM(E36:P36),O25/C23),0)</f>
        <v>0</v>
      </c>
      <c r="R36">
        <f>IF(SUM(E36:Q36)&lt;O25,IF((O25-SUM(E36:Q36))&lt;O25/C23,O25-SUM(E36:Q36),O25/C23),0)</f>
        <v>0</v>
      </c>
      <c r="S36">
        <f>IF(SUM(E36:R36)&lt;O25,IF((O25-SUM(E36:R36))&lt;O25/C23,O25-SUM(E36:R36),O25/C23),0)</f>
        <v>0</v>
      </c>
      <c r="T36">
        <f>IF(SUM(E36:S36)&lt;O25,IF((O25-SUM(E36:S36))&lt;O25/C23,O25-SUM(E36:S36),O25/C23),0)</f>
        <v>0</v>
      </c>
      <c r="U36">
        <f>IF(SUM(E36:T36)&lt;O25,IF((O25-SUM(E36:T36))&lt;O25/C23,O25-SUM(E36:T36),O25/C23),0)</f>
        <v>0</v>
      </c>
      <c r="V36">
        <f>IF(SUM(E36:U36)&lt;O25,IF((O25-SUM(E36:U36))&lt;O25/C23,O25-SUM(E36:U36),O25/C23),0)</f>
        <v>0</v>
      </c>
      <c r="W36">
        <f>IF(SUM(E36:V36)&lt;O25,IF((O25-SUM(E36:V36))&lt;O25/C23,O25-SUM(E36:V36),O25/C23),0)</f>
        <v>0</v>
      </c>
      <c r="X36">
        <f>IF(SUM(E36:W36)&lt;O25,IF((O25-SUM(E36:W36))&lt;O25/C23,O25-SUM(E36:W36),O25/C23),0)</f>
        <v>0</v>
      </c>
    </row>
    <row r="38">
      <c r="B38" t="str">
        <v>光缆及管道类投资累计折旧</v>
      </c>
      <c r="D38">
        <f>SUM(E38:X38)</f>
        <v>0</v>
      </c>
      <c r="E38">
        <f>SUM(E42:E52)</f>
        <v>0</v>
      </c>
      <c r="F38">
        <f>SUM(F42:F52)</f>
        <v>0</v>
      </c>
      <c r="G38">
        <f>SUM(G42:G52)</f>
        <v>0</v>
      </c>
      <c r="H38">
        <f>SUM(H42:H52)</f>
        <v>0</v>
      </c>
      <c r="I38">
        <f>SUM(I42:I52)</f>
        <v>0</v>
      </c>
      <c r="J38">
        <f>SUM(J42:J52)</f>
        <v>0</v>
      </c>
      <c r="K38">
        <f>SUM(K42:K52)</f>
        <v>0</v>
      </c>
      <c r="L38">
        <f>SUM(L42:L52)</f>
        <v>0</v>
      </c>
      <c r="M38">
        <f>SUM(M42:M52)</f>
        <v>0</v>
      </c>
      <c r="N38">
        <f>SUM(N42:N52)</f>
        <v>0</v>
      </c>
      <c r="O38">
        <f>SUM(O42:O52)</f>
        <v>0</v>
      </c>
      <c r="P38">
        <f>SUM(P42:P52)</f>
        <v>0</v>
      </c>
      <c r="Q38">
        <f>SUM(Q42:Q52)</f>
        <v>0</v>
      </c>
      <c r="R38">
        <f>SUM(R42:R52)</f>
        <v>0</v>
      </c>
      <c r="S38">
        <f>SUM(S42:S52)</f>
        <v>0</v>
      </c>
      <c r="T38">
        <f>SUM(T42:T52)</f>
        <v>0</v>
      </c>
      <c r="U38">
        <f>SUM(U42:U52)</f>
        <v>0</v>
      </c>
      <c r="V38">
        <f>SUM(V42:V52)</f>
        <v>0</v>
      </c>
      <c r="W38">
        <f>SUM(W42:W52)</f>
        <v>0</v>
      </c>
      <c r="X38">
        <f>SUM(X42:X52)</f>
        <v>0</v>
      </c>
    </row>
    <row r="39">
      <c r="B39" t="str">
        <v>折旧年限</v>
      </c>
      <c r="C39">
        <v>10</v>
      </c>
    </row>
    <row r="40">
      <c r="B40" t="str">
        <v>当年转资月份</v>
      </c>
      <c r="E40">
        <v>11</v>
      </c>
      <c r="F40">
        <v>0</v>
      </c>
      <c r="G40">
        <v>0</v>
      </c>
      <c r="H40">
        <v>0</v>
      </c>
      <c r="I40">
        <v>0</v>
      </c>
      <c r="J40">
        <v>0</v>
      </c>
      <c r="K40">
        <v>0</v>
      </c>
      <c r="L40">
        <v>0</v>
      </c>
      <c r="M40">
        <v>0</v>
      </c>
      <c r="N40">
        <v>0</v>
      </c>
      <c r="O40">
        <v>0</v>
      </c>
    </row>
    <row r="41">
      <c r="B41" t="str">
        <v>各年光缆及管道转资规模</v>
      </c>
      <c r="D41">
        <f>SUM(E41:O41)</f>
        <v>0</v>
      </c>
    </row>
    <row r="42">
      <c r="B42" t="str">
        <v>第一年投资在各年的折旧</v>
      </c>
      <c r="D42">
        <f>SUM(E42:X42)</f>
        <v>0</v>
      </c>
      <c r="E42">
        <f>F42*(1-E40/12)</f>
        <v>0</v>
      </c>
      <c r="F42">
        <f>E41/C39</f>
        <v>0</v>
      </c>
      <c r="G42">
        <f>IF(SUM(E42:F42)&lt;E41,IF((E41-SUM(E42:F42))&lt;E41/C39,E41-SUM(E42:F42),E41/C39),0)</f>
        <v>0</v>
      </c>
      <c r="H42">
        <f>IF(SUM(E42:G42)&lt;E41,IF((E41-SUM(E42:G42))&lt;E41/C39,E41-SUM(E42:G42),E41/C39),0)</f>
        <v>0</v>
      </c>
      <c r="I42">
        <f>IF(SUM(E42:H42)&lt;E41,IF((E41-SUM(E42:H42))&lt;E41/C39,E41-SUM(E42:H42),E41/C39),0)</f>
        <v>0</v>
      </c>
      <c r="J42">
        <f>IF(SUM(E42:I42)&lt;E41,IF((E41-SUM(E42:I42))&lt;E41/C39,E41-SUM(E42:I42),E41/C39),0)</f>
        <v>0</v>
      </c>
      <c r="K42">
        <f>IF(SUM(E42:J42)&lt;E41,IF((E41-SUM(E42:J42))&lt;E41/C39,E41-SUM(E42:J42),E41/C39),0)</f>
        <v>0</v>
      </c>
      <c r="L42">
        <f>IF(SUM(E42:K42)&lt;E41,IF((E41-SUM(E42:K42))&lt;E41/C39,E41-SUM(E42:K42),E41/C39),0)</f>
        <v>0</v>
      </c>
      <c r="M42">
        <f>IF(SUM(E42:L42)&lt;E41,IF((E41-SUM(E42:L42))&lt;E41/C39,E41-SUM(E42:L42),E41/C39),0)</f>
        <v>0</v>
      </c>
      <c r="N42">
        <f>IF(SUM(E42:M42)&lt;E41,IF((E41-SUM(E42:M42))&lt;E41/C39,E41-SUM(E42:M42),E41/C39),0)</f>
        <v>0</v>
      </c>
      <c r="O42">
        <f>IF(SUM(E42:N42)&lt;E41,IF((E41-SUM(E42:N42))&lt;E41/C39,E41-SUM(E42:N42),E41/C39),0)</f>
        <v>0</v>
      </c>
      <c r="P42">
        <f>IF(SUM(E42:O42)&lt;E41,IF((E41-SUM(E42:O42))&lt;E41/C39,E41-SUM(E42:O42),E41/C39),0)</f>
        <v>0</v>
      </c>
      <c r="Q42">
        <f>IF(SUM(E42:P42)&lt;E41,IF((E41-SUM(E42:P42))&lt;E41/C39,E41-SUM(E42:P42),E41/C39),0)</f>
        <v>0</v>
      </c>
      <c r="R42">
        <f>IF(SUM(E42:Q42)&lt;E41,IF((E41-SUM(E42:Q42))&lt;E41/C39,E41-SUM(E42:Q42),E41/C39),0)</f>
        <v>0</v>
      </c>
      <c r="S42">
        <f>IF(SUM(E42:R42)&lt;E41,IF((E41-SUM(E42:R42))&lt;E41/C39,E41-SUM(E42:R42),E41/C39),0)</f>
        <v>0</v>
      </c>
      <c r="T42">
        <f>IF(SUM(E42:S42)&lt;E41,IF((E41-SUM(E42:S42))&lt;E41/C39,E41-SUM(E42:S42),E41/C39),0)</f>
        <v>0</v>
      </c>
      <c r="U42">
        <f>IF(SUM(E42:T42)&lt;E41,IF((E41-SUM(E42:T42))&lt;E41/C39,E41-SUM(E42:T42),E41/C39),0)</f>
        <v>0</v>
      </c>
      <c r="V42">
        <f>IF(SUM(E42:U42)&lt;E41,IF((E41-SUM(E42:U42))&lt;E41/C39,E41-SUM(E42:U42),E41/C39),0)</f>
        <v>0</v>
      </c>
      <c r="W42">
        <f>IF(SUM(E42:V42)&lt;E41,IF((E41-SUM(E42:V42))&lt;E41/C39,E41-SUM(E42:V42),E41/C39),0)</f>
        <v>0</v>
      </c>
      <c r="X42">
        <f>IF(SUM(E42:W42)&lt;E41,IF((E41-SUM(E42:W42))&lt;E41/C39,E41-SUM(E42:W42),E41/C39),0)</f>
        <v>0</v>
      </c>
    </row>
    <row r="43">
      <c r="B43" t="str">
        <v>第二年投资在各年的折旧</v>
      </c>
      <c r="D43">
        <f>SUM(E43:X43)</f>
        <v>0</v>
      </c>
      <c r="F43">
        <f>G43*(1-F40/12)</f>
        <v>0</v>
      </c>
      <c r="G43">
        <f>F41/C39</f>
        <v>0</v>
      </c>
      <c r="H43">
        <f>IF(SUM(E43:G43)&lt;F41,IF((F41-SUM(E43:G43))&lt;F41/C39,F41-SUM(E43:G43),F41/C39),0)</f>
        <v>0</v>
      </c>
      <c r="I43">
        <f>IF(SUM(E43:H43)&lt;F41,IF((F41-SUM(E43:H43))&lt;F41/C39,F41-SUM(E43:H43),F41/C39),0)</f>
        <v>0</v>
      </c>
      <c r="J43">
        <f>IF(SUM(E43:I43)&lt;F41,IF((F41-SUM(E43:I43))&lt;F41/C39,F41-SUM(E43:I43),F41/C39),0)</f>
        <v>0</v>
      </c>
      <c r="K43">
        <f>IF(SUM(E43:J43)&lt;F41,IF((F41-SUM(E43:J43))&lt;F41/C39,F41-SUM(E43:J43),F41/C39),0)</f>
        <v>0</v>
      </c>
      <c r="L43">
        <f>IF(SUM(E43:K43)&lt;F41,IF((F41-SUM(E43:K43))&lt;F41/C39,F41-SUM(E43:K43),F41/C39),0)</f>
        <v>0</v>
      </c>
      <c r="M43">
        <f>IF(SUM(E43:L43)&lt;F41,IF((F41-SUM(E43:L43))&lt;F41/C39,F41-SUM(E43:L43),F41/C39),0)</f>
        <v>0</v>
      </c>
      <c r="N43">
        <f>IF(SUM(E43:M43)&lt;F41,IF((F41-SUM(E43:M43))&lt;F41/C39,F41-SUM(E43:M43),F41/C39),0)</f>
        <v>0</v>
      </c>
      <c r="O43">
        <f>IF(SUM(E43:N43)&lt;F41,IF((F41-SUM(E43:N43))&lt;F41/C39,F41-SUM(E43:N43),F41/C39),0)</f>
        <v>0</v>
      </c>
      <c r="P43">
        <f>IF(SUM(E43:O43)&lt;F41,IF((F41-SUM(E43:O43))&lt;F41/C39,F41-SUM(E43:O43),F41/C39),0)</f>
        <v>0</v>
      </c>
      <c r="Q43">
        <f>IF(SUM(E43:P43)&lt;F41,IF((F41-SUM(E43:P43))&lt;F41/C39,F41-SUM(E43:P43),F41/C39),0)</f>
        <v>0</v>
      </c>
      <c r="R43">
        <f>IF(SUM(E43:Q43)&lt;F41,IF((F41-SUM(E43:Q43))&lt;F41/C39,F41-SUM(E43:Q43),F41/C39),0)</f>
        <v>0</v>
      </c>
      <c r="S43">
        <f>IF(SUM(E43:R43)&lt;F41,IF((F41-SUM(E43:R43))&lt;F41/C39,F41-SUM(E43:R43),F41/C39),0)</f>
        <v>0</v>
      </c>
      <c r="T43">
        <f>IF(SUM(E43:S43)&lt;F41,IF((F41-SUM(E43:S43))&lt;F41/C39,F41-SUM(E43:S43),F41/C39),0)</f>
        <v>0</v>
      </c>
      <c r="U43">
        <f>IF(SUM(E43:T43)&lt;F41,IF((F41-SUM(E43:T43))&lt;F41/C39,F41-SUM(E43:T43),F41/C39),0)</f>
        <v>0</v>
      </c>
      <c r="V43">
        <f>IF(SUM(E43:U43)&lt;F41,IF((F41-SUM(E43:U43))&lt;F41/C39,F41-SUM(E43:U43),F41/C39),0)</f>
        <v>0</v>
      </c>
      <c r="W43">
        <f>IF(SUM(E43:V43)&lt;F41,IF((F41-SUM(E43:V43))&lt;F41/C39,F41-SUM(E43:V43),F41/C39),0)</f>
        <v>0</v>
      </c>
      <c r="X43">
        <f>IF(SUM(E43:W43)&lt;F41,IF((F41-SUM(E43:W43))&lt;F41/C39,F41-SUM(E43:W43),F41/C39),0)</f>
        <v>0</v>
      </c>
    </row>
    <row r="44">
      <c r="B44" t="str">
        <v>第三年投资在各年的折旧</v>
      </c>
      <c r="D44">
        <f>SUM(E44:X44)</f>
        <v>0</v>
      </c>
      <c r="G44">
        <f>H44*(1-G40/12)</f>
        <v>0</v>
      </c>
      <c r="H44">
        <f>G41/C39</f>
        <v>0</v>
      </c>
      <c r="I44">
        <f>IF(SUM(E44:H44)&lt;G41,IF((G41-SUM(E44:H44))&lt;G41/C39,G41-SUM(E44:H44),G41/C39),0)</f>
        <v>0</v>
      </c>
      <c r="J44">
        <f>IF(SUM(E44:I44)&lt;G41,IF((G41-SUM(E44:I44))&lt;G41/C39,G41-SUM(E44:I44),G41/C39),0)</f>
        <v>0</v>
      </c>
      <c r="K44">
        <f>IF(SUM(E44:J44)&lt;G41,IF((G41-SUM(E44:J44))&lt;G41/C39,G41-SUM(E44:J44),G41/C39),0)</f>
        <v>0</v>
      </c>
      <c r="L44">
        <f>IF(SUM(E44:K44)&lt;G41,IF((G41-SUM(E44:K44))&lt;G41/C39,G41-SUM(E44:K44),G41/C39),0)</f>
        <v>0</v>
      </c>
      <c r="M44">
        <f>IF(SUM(E44:L44)&lt;G41,IF((G41-SUM(E44:L44))&lt;G41/C39,G41-SUM(E44:L44),G41/C39),0)</f>
        <v>0</v>
      </c>
      <c r="N44">
        <f>IF(SUM(E44:M44)&lt;G41,IF((G41-SUM(E44:M44))&lt;G41/C39,G41-SUM(E44:M44),G41/C39),0)</f>
        <v>0</v>
      </c>
      <c r="O44">
        <f>IF(SUM(E44:N44)&lt;G41,IF((G41-SUM(E44:N44))&lt;G41/C39,G41-SUM(E44:N44),G41/C39),0)</f>
        <v>0</v>
      </c>
      <c r="P44">
        <f>IF(SUM(E44:O44)&lt;G41,IF((G41-SUM(E44:O44))&lt;G41/C39,G41-SUM(E44:O44),G41/C39),0)</f>
        <v>0</v>
      </c>
      <c r="Q44">
        <f>IF(SUM(E44:P44)&lt;G41,IF((G41-SUM(E44:P44))&lt;G41/C39,G41-SUM(E44:P44),G41/C39),0)</f>
        <v>0</v>
      </c>
      <c r="R44">
        <f>IF(SUM(E44:Q44)&lt;G41,IF((G41-SUM(E44:Q44))&lt;G41/C39,G41-SUM(E44:Q44),G41/C39),0)</f>
        <v>0</v>
      </c>
      <c r="S44">
        <f>IF(SUM(E44:R44)&lt;G41,IF((G41-SUM(E44:R44))&lt;G41/C39,G41-SUM(E44:R44),G41/C39),0)</f>
        <v>0</v>
      </c>
      <c r="T44">
        <f>IF(SUM(E44:S44)&lt;G41,IF((G41-SUM(E44:S44))&lt;G41/C39,G41-SUM(E44:S44),G41/C39),0)</f>
        <v>0</v>
      </c>
      <c r="U44">
        <f>IF(SUM(E44:T44)&lt;G41,IF((G41-SUM(E44:T44))&lt;G41/C39,G41-SUM(E44:T44),G41/C39),0)</f>
        <v>0</v>
      </c>
      <c r="V44">
        <f>IF(SUM(E44:U44)&lt;G41,IF((G41-SUM(E44:U44))&lt;G41/C39,G41-SUM(E44:U44),G41/C39),0)</f>
        <v>0</v>
      </c>
      <c r="W44">
        <f>IF(SUM(E44:V44)&lt;G41,IF((G41-SUM(E44:V44))&lt;G41/C39,G41-SUM(E44:V44),G41/C39),0)</f>
        <v>0</v>
      </c>
      <c r="X44">
        <f>IF(SUM(E44:W44)&lt;G41,IF((G41-SUM(E44:W44))&lt;G41/C39,G41-SUM(E44:W44),G41/C39),0)</f>
        <v>0</v>
      </c>
    </row>
    <row r="45">
      <c r="B45" t="str">
        <v>第四年投资在各年的折旧</v>
      </c>
      <c r="D45">
        <f>SUM(E45:X45)</f>
        <v>0</v>
      </c>
      <c r="H45">
        <f>I45*(1-H40/12)</f>
        <v>0</v>
      </c>
      <c r="I45">
        <f>H41/C39</f>
        <v>0</v>
      </c>
      <c r="J45">
        <f>IF(SUM(E45:I45)&lt;H41,IF((H41-SUM(E45:I45))&lt;H41/C39,H41-SUM(E45:I45),H41/C39),0)</f>
        <v>0</v>
      </c>
      <c r="K45">
        <f>IF(SUM(E45:J45)&lt;H41,IF((H41-SUM(E45:J45))&lt;H41/C39,H41-SUM(E45:J45),H41/C39),0)</f>
        <v>0</v>
      </c>
      <c r="L45">
        <f>IF(SUM(E45:K45)&lt;H41,IF((H41-SUM(E45:K45))&lt;H41/C39,H41-SUM(E45:K45),H41/C39),0)</f>
        <v>0</v>
      </c>
      <c r="M45">
        <f>IF(SUM(E45:L45)&lt;H41,IF((H41-SUM(E45:L45))&lt;H41/C39,H41-SUM(E45:L45),H41/C39),0)</f>
        <v>0</v>
      </c>
      <c r="N45">
        <f>IF(SUM(E45:M45)&lt;H41,IF((H41-SUM(E45:M45))&lt;H41/C39,H41-SUM(E45:M45),H41/C39),0)</f>
        <v>0</v>
      </c>
      <c r="O45">
        <f>IF(SUM(E45:N45)&lt;H41,IF((H41-SUM(E45:N45))&lt;H41/C39,H41-SUM(E45:N45),H41/C39),0)</f>
        <v>0</v>
      </c>
      <c r="P45">
        <f>IF(SUM(E45:O45)&lt;H41,IF((H41-SUM(E45:O45))&lt;H41/C39,H41-SUM(E45:O45),H41/C39),0)</f>
        <v>0</v>
      </c>
      <c r="Q45">
        <f>IF(SUM(E45:P45)&lt;H41,IF((H41-SUM(E45:P45))&lt;H41/C39,H41-SUM(E45:P45),H41/C39),0)</f>
        <v>0</v>
      </c>
      <c r="R45">
        <f>IF(SUM(E45:Q45)&lt;H41,IF((H41-SUM(E45:Q45))&lt;H41/C39,H41-SUM(E45:Q45),H41/C39),0)</f>
        <v>0</v>
      </c>
      <c r="S45">
        <f>IF(SUM(E45:R45)&lt;H41,IF((H41-SUM(E45:R45))&lt;H41/C39,H41-SUM(E45:R45),H41/C39),0)</f>
        <v>0</v>
      </c>
      <c r="T45">
        <f>IF(SUM(E45:S45)&lt;H41,IF((H41-SUM(E45:S45))&lt;H41/C39,H41-SUM(E45:S45),H41/C39),0)</f>
        <v>0</v>
      </c>
      <c r="U45">
        <f>IF(SUM(E45:T45)&lt;H41,IF((H41-SUM(E45:T45))&lt;H41/C39,H41-SUM(E45:T45),H41/C39),0)</f>
        <v>0</v>
      </c>
      <c r="V45">
        <f>IF(SUM(E45:U45)&lt;H41,IF((H41-SUM(E45:U45))&lt;H41/C39,H41-SUM(E45:U45),H41/C39),0)</f>
        <v>0</v>
      </c>
      <c r="W45">
        <f>IF(SUM(E45:V45)&lt;H41,IF((H41-SUM(E45:V45))&lt;H41/C39,H41-SUM(E45:V45),H41/C39),0)</f>
        <v>0</v>
      </c>
      <c r="X45">
        <f>IF(SUM(E45:W45)&lt;H41,IF((H41-SUM(E45:W45))&lt;H41/C39,H41-SUM(E45:W45),H41/C39),0)</f>
        <v>0</v>
      </c>
    </row>
    <row r="46">
      <c r="B46" t="str">
        <v>第五年投资在各年的折旧</v>
      </c>
      <c r="D46">
        <f>SUM(E46:X46)</f>
        <v>0</v>
      </c>
      <c r="I46">
        <f>J46*(1-I40/12)</f>
        <v>0</v>
      </c>
      <c r="J46">
        <f>I41/C39</f>
        <v>0</v>
      </c>
      <c r="K46">
        <f>IF(SUM(E46:J46)&lt;I41,IF((I41-SUM(E46:J46))&lt;I41/C39,I41-SUM(E46:J46),I41/C39),0)</f>
        <v>0</v>
      </c>
      <c r="L46">
        <f>IF(SUM(E46:K46)&lt;I41,IF((I41-SUM(E46:K46))&lt;I41/C39,I41-SUM(E46:K46),I41/C39),0)</f>
        <v>0</v>
      </c>
      <c r="M46">
        <f>IF(SUM(E46:L46)&lt;I41,IF((I41-SUM(E46:L46))&lt;I41/C39,I41-SUM(E46:L46),I41/C39),0)</f>
        <v>0</v>
      </c>
      <c r="N46">
        <f>IF(SUM(E46:M46)&lt;I41,IF((I41-SUM(E46:M46))&lt;I41/C39,I41-SUM(E46:M46),I41/C39),0)</f>
        <v>0</v>
      </c>
      <c r="O46">
        <f>IF(SUM(E46:N46)&lt;I41,IF((I41-SUM(E46:N46))&lt;I41/C39,I41-SUM(E46:N46),I41/C39),0)</f>
        <v>0</v>
      </c>
      <c r="P46">
        <f>IF(SUM(E46:O46)&lt;I41,IF((I41-SUM(E46:O46))&lt;I41/C39,I41-SUM(E46:O46),I41/C39),0)</f>
        <v>0</v>
      </c>
      <c r="Q46">
        <f>IF(SUM(E46:P46)&lt;I41,IF((I41-SUM(E46:P46))&lt;I41/C39,I41-SUM(E46:P46),I41/C39),0)</f>
        <v>0</v>
      </c>
      <c r="R46">
        <f>IF(SUM(E46:Q46)&lt;I41,IF((I41-SUM(E46:Q46))&lt;I41/C39,I41-SUM(E46:Q46),I41/C39),0)</f>
        <v>0</v>
      </c>
      <c r="S46">
        <f>IF(SUM(E46:R46)&lt;I41,IF((I41-SUM(E46:R46))&lt;I41/C39,I41-SUM(E46:R46),I41/C39),0)</f>
        <v>0</v>
      </c>
      <c r="T46">
        <f>IF(SUM(E46:S46)&lt;I41,IF((I41-SUM(E46:S46))&lt;I41/C39,I41-SUM(E46:S46),I41/C39),0)</f>
        <v>0</v>
      </c>
      <c r="U46">
        <f>IF(SUM(E46:T46)&lt;I41,IF((I41-SUM(E46:T46))&lt;I41/C39,I41-SUM(E46:T46),I41/C39),0)</f>
        <v>0</v>
      </c>
      <c r="V46">
        <f>IF(SUM(E46:U46)&lt;I41,IF((I41-SUM(E46:U46))&lt;I41/C39,I41-SUM(E46:U46),I41/C39),0)</f>
        <v>0</v>
      </c>
      <c r="W46">
        <f>IF(SUM(E46:V46)&lt;I41,IF((I41-SUM(E46:V46))&lt;I41/C39,I41-SUM(E46:V46),I41/C39),0)</f>
        <v>0</v>
      </c>
      <c r="X46">
        <f>IF(SUM(E46:W46)&lt;I41,IF((I41-SUM(E46:W46))&lt;I41/C39,I41-SUM(E46:W46),I41/C39),0)</f>
        <v>0</v>
      </c>
    </row>
    <row r="47">
      <c r="B47" t="str">
        <v>第六年投资在各年的折旧</v>
      </c>
      <c r="D47">
        <f>SUM(E47:X47)</f>
        <v>0</v>
      </c>
      <c r="J47">
        <f>K47*(1-J40/12)</f>
        <v>0</v>
      </c>
      <c r="K47">
        <f>J41/C39</f>
        <v>0</v>
      </c>
      <c r="L47">
        <f>IF(SUM(E47:K47)&lt;J41,IF((J41-SUM(E47:K47))&lt;J41/C39,J41-SUM(E47:K47),J41/C39),0)</f>
        <v>0</v>
      </c>
      <c r="M47">
        <f>IF(SUM(E47:L47)&lt;J41,IF((J41-SUM(E47:L47))&lt;J41/C39,J41-SUM(E47:L47),J41/C39),0)</f>
        <v>0</v>
      </c>
      <c r="N47">
        <f>IF(SUM(E47:M47)&lt;J41,IF((J41-SUM(E47:M47))&lt;J41/C39,J41-SUM(E47:M47),J41/C39),0)</f>
        <v>0</v>
      </c>
      <c r="O47">
        <f>IF(SUM(E47:N47)&lt;J41,IF((J41-SUM(E47:N47))&lt;J41/C39,J41-SUM(E47:N47),J41/C39),0)</f>
        <v>0</v>
      </c>
      <c r="P47">
        <f>IF(SUM(E47:O47)&lt;J41,IF((J41-SUM(E47:O47))&lt;J41/C39,J41-SUM(E47:O47),J41/C39),0)</f>
        <v>0</v>
      </c>
      <c r="Q47">
        <f>IF(SUM(E47:P47)&lt;J41,IF((J41-SUM(E47:P47))&lt;J41/C39,J41-SUM(E47:P47),J41/C39),0)</f>
        <v>0</v>
      </c>
      <c r="R47">
        <f>IF(SUM(E47:Q47)&lt;J41,IF((J41-SUM(E47:Q47))&lt;J41/C39,J41-SUM(E47:Q47),J41/C39),0)</f>
        <v>0</v>
      </c>
      <c r="S47">
        <f>IF(SUM(E47:R47)&lt;J41,IF((J41-SUM(E47:R47))&lt;J41/C39,J41-SUM(E47:R47),J41/C39),0)</f>
        <v>0</v>
      </c>
      <c r="T47">
        <f>IF(SUM(E47:S47)&lt;J41,IF((J41-SUM(E47:S47))&lt;J41/C39,J41-SUM(E47:S47),J41/C39),0)</f>
        <v>0</v>
      </c>
      <c r="U47">
        <f>IF(SUM(E47:T47)&lt;J41,IF((J41-SUM(E47:T47))&lt;J41/C39,J41-SUM(E47:T47),J41/C39),0)</f>
        <v>0</v>
      </c>
      <c r="V47">
        <f>IF(SUM(E47:U47)&lt;J41,IF((J41-SUM(E47:U47))&lt;J41/C39,J41-SUM(E47:U47),J41/C39),0)</f>
        <v>0</v>
      </c>
      <c r="W47">
        <f>IF(SUM(E47:V47)&lt;J41,IF((J41-SUM(E47:V47))&lt;J41/C39,J41-SUM(E47:V47),J41/C39),0)</f>
        <v>0</v>
      </c>
      <c r="X47">
        <f>IF(SUM(E47:W47)&lt;J41,IF((J41-SUM(E47:W47))&lt;J41/C39,J41-SUM(E47:W47),J41/C39),0)</f>
        <v>0</v>
      </c>
    </row>
    <row r="48">
      <c r="B48" t="str">
        <v>第七年投资在各年的折旧</v>
      </c>
      <c r="D48">
        <f>SUM(E48:X48)</f>
        <v>0</v>
      </c>
      <c r="K48">
        <f>L48*(1-K40/12)</f>
        <v>0</v>
      </c>
      <c r="L48">
        <f>K41/C39</f>
        <v>0</v>
      </c>
      <c r="M48">
        <f>IF(SUM(E48:L48)&lt;K41,IF((K41-SUM(E48:L48))&lt;K41/C39,K41-SUM(E48:L48),K41/C39),0)</f>
        <v>0</v>
      </c>
      <c r="N48">
        <f>IF(SUM(E48:M48)&lt;K41,IF((K41-SUM(E48:M48))&lt;K41/C39,K41-SUM(E48:M48),K41/C39),0)</f>
        <v>0</v>
      </c>
      <c r="O48">
        <f>IF(SUM(E48:N48)&lt;K41,IF((K41-SUM(E48:N48))&lt;K41/C39,K41-SUM(E48:N48),K41/C39),0)</f>
        <v>0</v>
      </c>
      <c r="P48">
        <f>IF(SUM(E48:O48)&lt;K41,IF((K41-SUM(E48:O48))&lt;K41/C39,K41-SUM(E48:O48),K41/C39),0)</f>
        <v>0</v>
      </c>
      <c r="Q48">
        <f>IF(SUM(E48:P48)&lt;K41,IF((K41-SUM(E48:P48))&lt;K41/C39,K41-SUM(E48:P48),K41/C39),0)</f>
        <v>0</v>
      </c>
      <c r="R48">
        <f>IF(SUM(E48:Q48)&lt;K41,IF((K41-SUM(E48:Q48))&lt;K41/C39,K41-SUM(E48:Q48),K41/C39),0)</f>
        <v>0</v>
      </c>
      <c r="S48">
        <f>IF(SUM(E48:R48)&lt;K41,IF((K41-SUM(E48:R48))&lt;K41/C39,K41-SUM(E48:R48),K41/C39),0)</f>
        <v>0</v>
      </c>
      <c r="T48">
        <f>IF(SUM(E48:S48)&lt;K41,IF((K41-SUM(E48:S48))&lt;K41/C39,K41-SUM(E48:S48),K41/C39),0)</f>
        <v>0</v>
      </c>
      <c r="U48">
        <f>IF(SUM(E48:T48)&lt;K41,IF((K41-SUM(E48:T48))&lt;K41/C39,K41-SUM(E48:T48),K41/C39),0)</f>
        <v>0</v>
      </c>
      <c r="V48">
        <f>IF(SUM(E48:U48)&lt;K41,IF((K41-SUM(E48:U48))&lt;K41/C39,K41-SUM(E48:U48),K41/C39),0)</f>
        <v>0</v>
      </c>
      <c r="W48">
        <f>IF(SUM(E48:V48)&lt;K41,IF((K41-SUM(E48:V48))&lt;K41/C39,K41-SUM(E48:V48),K41/C39),0)</f>
        <v>0</v>
      </c>
      <c r="X48">
        <f>IF(SUM(E48:W48)&lt;K41,IF((K41-SUM(E48:W48))&lt;K41/C39,K41-SUM(E48:W48),K41/C39),0)</f>
        <v>0</v>
      </c>
    </row>
    <row r="49">
      <c r="B49" t="str">
        <v>第八年投资在各年的折旧</v>
      </c>
      <c r="D49">
        <f>SUM(E49:X49)</f>
        <v>0</v>
      </c>
      <c r="L49">
        <f>M49*(1-L40/12)</f>
        <v>0</v>
      </c>
      <c r="M49">
        <f>L41/C39</f>
        <v>0</v>
      </c>
      <c r="N49">
        <f>IF(SUM(E49:M49)&lt;L41,IF((L41-SUM(E49:M49))&lt;L41/C39,L41-SUM(E49:M49),L41/C39),0)</f>
        <v>0</v>
      </c>
      <c r="O49">
        <f>IF(SUM(E49:N49)&lt;L41,IF((L41-SUM(E49:N49))&lt;L41/C39,L41-SUM(E49:N49),L41/C39),0)</f>
        <v>0</v>
      </c>
      <c r="P49">
        <f>IF(SUM(E49:O49)&lt;L41,IF((L41-SUM(E49:O49))&lt;L41/C39,L41-SUM(E49:O49),L41/C39),0)</f>
        <v>0</v>
      </c>
      <c r="Q49">
        <f>IF(SUM(E49:P49)&lt;L41,IF((L41-SUM(E49:P49))&lt;L41/C39,L41-SUM(E49:P49),L41/C39),0)</f>
        <v>0</v>
      </c>
      <c r="R49">
        <f>IF(SUM(E49:Q49)&lt;L41,IF((L41-SUM(E49:Q49))&lt;L41/C39,L41-SUM(E49:Q49),L41/C39),0)</f>
        <v>0</v>
      </c>
      <c r="S49">
        <f>IF(SUM(E49:R49)&lt;L41,IF((L41-SUM(E49:R49))&lt;L41/C39,L41-SUM(E49:R49),L41/C39),0)</f>
        <v>0</v>
      </c>
      <c r="T49">
        <f>IF(SUM(E49:S49)&lt;L41,IF((L41-SUM(E49:S49))&lt;L41/C39,L41-SUM(E49:S49),L41/C39),0)</f>
        <v>0</v>
      </c>
      <c r="U49">
        <f>IF(SUM(E49:T49)&lt;L41,IF((L41-SUM(E49:T49))&lt;L41/C39,L41-SUM(E49:T49),L41/C39),0)</f>
        <v>0</v>
      </c>
      <c r="V49">
        <f>IF(SUM(E49:U49)&lt;L41,IF((L41-SUM(E49:U49))&lt;L41/C39,L41-SUM(E49:U49),L41/C39),0)</f>
        <v>0</v>
      </c>
      <c r="W49">
        <f>IF(SUM(E49:V49)&lt;L41,IF((L41-SUM(E49:V49))&lt;L41/C39,L41-SUM(E49:V49),L41/C39),0)</f>
        <v>0</v>
      </c>
      <c r="X49">
        <f>IF(SUM(E49:W49)&lt;L41,IF((L41-SUM(E49:W49))&lt;L41/C39,L41-SUM(E49:W49),L41/C39),0)</f>
        <v>0</v>
      </c>
    </row>
    <row r="50">
      <c r="B50" t="str">
        <v>第九年投资在各年的折旧</v>
      </c>
      <c r="D50">
        <f>SUM(E50:X50)</f>
        <v>0</v>
      </c>
      <c r="M50">
        <f>N50*(1-M40/12)</f>
        <v>0</v>
      </c>
      <c r="N50">
        <f>M41/C39</f>
        <v>0</v>
      </c>
      <c r="O50">
        <f>IF(SUM(E50:N50)&lt;M41,IF((M41-SUM(E50:N50))&lt;M41/C39,M41-SUM(E50:N50),M41/C39),0)</f>
        <v>0</v>
      </c>
      <c r="P50">
        <f>IF(SUM(E50:O50)&lt;M41,IF((M41-SUM(E50:O50))&lt;M41/C39,M41-SUM(E50:O50),M41/C39),0)</f>
        <v>0</v>
      </c>
      <c r="Q50">
        <f>IF(SUM(E50:P50)&lt;M41,IF((M41-SUM(E50:P50))&lt;M41/C39,M41-SUM(E50:P50),M41/C39),0)</f>
        <v>0</v>
      </c>
      <c r="R50">
        <f>IF(SUM(E50:Q50)&lt;M41,IF((M41-SUM(E50:Q50))&lt;M41/C39,M41-SUM(E50:Q50),M41/C39),0)</f>
        <v>0</v>
      </c>
      <c r="S50">
        <f>IF(SUM(E50:R50)&lt;M41,IF((M41-SUM(E50:R50))&lt;M41/C39,M41-SUM(E50:R50),M41/C39),0)</f>
        <v>0</v>
      </c>
      <c r="T50">
        <f>IF(SUM(E50:S50)&lt;M41,IF((M41-SUM(E50:S50))&lt;M41/C39,M41-SUM(E50:S50),M41/C39),0)</f>
        <v>0</v>
      </c>
      <c r="U50">
        <f>IF(SUM(E50:T50)&lt;M41,IF((M41-SUM(E50:T50))&lt;M41/C39,M41-SUM(E50:T50),M41/C39),0)</f>
        <v>0</v>
      </c>
      <c r="V50">
        <f>IF(SUM(E50:U50)&lt;M41,IF((M41-SUM(E50:U50))&lt;M41/C39,M41-SUM(E50:U50),M41/C39),0)</f>
        <v>0</v>
      </c>
      <c r="W50">
        <f>IF(SUM(E50:V50)&lt;M41,IF((M41-SUM(E50:V50))&lt;M41/C39,M41-SUM(E50:V50),M41/C39),0)</f>
        <v>0</v>
      </c>
      <c r="X50">
        <f>IF(SUM(E50:W50)&lt;M41,IF((M41-SUM(E50:W50))&lt;M41/C39,M41-SUM(E50:W50),M41/C39),0)</f>
        <v>0</v>
      </c>
    </row>
    <row r="51">
      <c r="B51" t="str">
        <v>第十年投资在各年的折旧</v>
      </c>
      <c r="D51">
        <f>SUM(E51:X51)</f>
        <v>0</v>
      </c>
      <c r="N51">
        <f>O51*(1-N40/12)</f>
        <v>0</v>
      </c>
      <c r="O51">
        <f>N41/C39</f>
        <v>0</v>
      </c>
      <c r="P51">
        <f>IF(SUM(E51:O51)&lt;N41,IF((N41-SUM(E51:O51))&lt;N41/C39,N41-SUM(E51:O51),N41/C39),0)</f>
        <v>0</v>
      </c>
      <c r="Q51">
        <f>IF(SUM(E51:P51)&lt;N41,IF((N41-SUM(E51:P51))&lt;N41/C39,N41-SUM(E51:P51),N41/C39),0)</f>
        <v>0</v>
      </c>
      <c r="R51">
        <f>IF(SUM(E51:Q51)&lt;N41,IF((N41-SUM(E51:Q51))&lt;N41/C39,N41-SUM(E51:Q51),N41/C39),0)</f>
        <v>0</v>
      </c>
      <c r="S51">
        <f>IF(SUM(E51:R51)&lt;N41,IF((N41-SUM(E51:R51))&lt;N41/C39,N41-SUM(E51:R51),N41/C39),0)</f>
        <v>0</v>
      </c>
      <c r="T51">
        <f>IF(SUM(E51:S51)&lt;N41,IF((N41-SUM(E51:S51))&lt;N41/C39,N41-SUM(E51:S51),N41/C39),0)</f>
        <v>0</v>
      </c>
      <c r="U51">
        <f>IF(SUM(E51:T51)&lt;N41,IF((N41-SUM(E51:T51))&lt;N41/C39,N41-SUM(E51:T51),N41/C39),0)</f>
        <v>0</v>
      </c>
      <c r="V51">
        <f>IF(SUM(E51:U51)&lt;N41,IF((N41-SUM(E51:U51))&lt;N41/C39,N41-SUM(E51:U51),N41/C39),0)</f>
        <v>0</v>
      </c>
      <c r="W51">
        <f>IF(SUM(E51:V51)&lt;N41,IF((N41-SUM(E51:V51))&lt;N41/C39,N41-SUM(E51:V51),N41/C39),0)</f>
        <v>0</v>
      </c>
      <c r="X51">
        <f>IF(SUM(E51:W51)&lt;N41,IF((N41-SUM(E51:W51))&lt;N41/C39,N41-SUM(E51:W51),N41/C39),0)</f>
        <v>0</v>
      </c>
    </row>
    <row r="52">
      <c r="B52" t="str">
        <v>第十一年投资在各年的折旧</v>
      </c>
      <c r="D52">
        <f>SUM(E52:X52)</f>
        <v>0</v>
      </c>
      <c r="O52">
        <f>P52*(1-O40/12)</f>
        <v>0</v>
      </c>
      <c r="P52">
        <f>O41/C39</f>
        <v>0</v>
      </c>
      <c r="Q52">
        <f>IF(SUM(E52:P52)&lt;O41,IF((O41-SUM(E52:P52))&lt;O41/C39,O41-SUM(E52:P52),O41/C39),0)</f>
        <v>0</v>
      </c>
      <c r="R52">
        <f>IF(SUM(E52:Q52)&lt;O41,IF((O41-SUM(E52:Q52))&lt;O41/C39,O41-SUM(E52:Q52),O41/C39),0)</f>
        <v>0</v>
      </c>
      <c r="S52">
        <f>IF(SUM(E52:R52)&lt;O41,IF((O41-SUM(E52:R52))&lt;O41/C39,O41-SUM(E52:R52),O41/C39),0)</f>
        <v>0</v>
      </c>
      <c r="T52">
        <f>IF(SUM(E52:S52)&lt;O41,IF((O41-SUM(E52:S52))&lt;O41/C39,O41-SUM(E52:S52),O41/C39),0)</f>
        <v>0</v>
      </c>
      <c r="U52">
        <f>IF(SUM(E52:T52)&lt;O41,IF((O41-SUM(E52:T52))&lt;O41/C39,O41-SUM(E52:T52),O41/C39),0)</f>
        <v>0</v>
      </c>
      <c r="V52">
        <f>IF(SUM(E52:U52)&lt;O41,IF((O41-SUM(E52:U52))&lt;O41/C39,O41-SUM(E52:U52),O41/C39),0)</f>
        <v>0</v>
      </c>
      <c r="W52">
        <f>IF(SUM(E52:V52)&lt;O41,IF((O41-SUM(E52:V52))&lt;O41/C39,O41-SUM(E52:V52),O41/C39),0)</f>
        <v>0</v>
      </c>
      <c r="X52">
        <f>IF(SUM(E52:W52)&lt;O41,IF((O41-SUM(E52:W52))&lt;O41/C39,O41-SUM(E52:W52),O41/C39),0)</f>
        <v>0</v>
      </c>
    </row>
    <row r="54">
      <c r="B54" t="str">
        <v>软件类投资累计摊销</v>
      </c>
      <c r="D54">
        <f>SUM(E54:X54)</f>
        <v>0</v>
      </c>
      <c r="E54">
        <f>SUM(E58:E68)</f>
        <v>0</v>
      </c>
      <c r="F54">
        <f>SUM(F58:F68)</f>
        <v>0</v>
      </c>
      <c r="G54">
        <f>SUM(G58:G68)</f>
        <v>0</v>
      </c>
      <c r="H54">
        <f>SUM(H58:H68)</f>
        <v>0</v>
      </c>
      <c r="I54">
        <f>SUM(I58:I68)</f>
        <v>0</v>
      </c>
      <c r="J54">
        <f>SUM(J58:J68)</f>
        <v>0</v>
      </c>
      <c r="K54">
        <f>SUM(K58:K68)</f>
        <v>0</v>
      </c>
      <c r="L54">
        <f>SUM(L58:L68)</f>
        <v>0</v>
      </c>
      <c r="M54">
        <f>SUM(M58:M68)</f>
        <v>0</v>
      </c>
      <c r="N54">
        <f>SUM(N58:N68)</f>
        <v>0</v>
      </c>
      <c r="O54">
        <f>SUM(O58:O68)</f>
        <v>0</v>
      </c>
      <c r="P54">
        <f>SUM(P58:P68)</f>
        <v>0</v>
      </c>
      <c r="Q54">
        <f>SUM(Q58:Q68)</f>
        <v>0</v>
      </c>
      <c r="R54">
        <f>SUM(R58:R68)</f>
        <v>0</v>
      </c>
      <c r="S54">
        <f>SUM(S58:S68)</f>
        <v>0</v>
      </c>
      <c r="T54">
        <f>SUM(T58:T68)</f>
        <v>0</v>
      </c>
      <c r="U54">
        <f>SUM(U58:U68)</f>
        <v>0</v>
      </c>
      <c r="V54">
        <f>SUM(V58:V68)</f>
        <v>0</v>
      </c>
      <c r="W54">
        <f>SUM(W58:W68)</f>
        <v>0</v>
      </c>
      <c r="X54">
        <f>SUM(X58:X68)</f>
        <v>0</v>
      </c>
    </row>
    <row r="55">
      <c r="B55" t="str">
        <v>摊销年限</v>
      </c>
      <c r="C55">
        <v>5</v>
      </c>
    </row>
    <row r="56">
      <c r="B56" t="str">
        <v>当年转资月份</v>
      </c>
      <c r="E56">
        <v>0</v>
      </c>
      <c r="F56">
        <v>0</v>
      </c>
      <c r="G56">
        <v>0</v>
      </c>
      <c r="H56">
        <v>0</v>
      </c>
      <c r="I56">
        <v>0</v>
      </c>
      <c r="J56">
        <v>0</v>
      </c>
      <c r="K56">
        <v>0</v>
      </c>
      <c r="L56">
        <v>0</v>
      </c>
      <c r="M56">
        <v>0</v>
      </c>
      <c r="N56">
        <v>0</v>
      </c>
      <c r="O56">
        <v>0</v>
      </c>
    </row>
    <row r="57">
      <c r="B57" t="str">
        <v>各年软件类转资规模</v>
      </c>
      <c r="D57">
        <f>SUM(E57:O57)</f>
        <v>0</v>
      </c>
    </row>
    <row r="58">
      <c r="B58" t="str">
        <v>第一年投资在各年的折旧</v>
      </c>
      <c r="D58">
        <f>SUM(E58:X58)</f>
        <v>0</v>
      </c>
      <c r="E58">
        <f>F58*(1-E56/12)</f>
        <v>0</v>
      </c>
      <c r="F58">
        <f>E57/C55</f>
        <v>0</v>
      </c>
      <c r="G58">
        <f>IF(SUM(E58:F58)&lt;E57,IF((E57-SUM(E58:F58))&lt;E57/C55,E57-SUM(E58:F58),E57/C55),0)</f>
        <v>0</v>
      </c>
      <c r="H58">
        <f>IF(SUM(E58:G58)&lt;E57,IF((E57-SUM(E58:G58))&lt;E57/C55,E57-SUM(E58:G58),E57/C55),0)</f>
        <v>0</v>
      </c>
      <c r="I58">
        <f>IF(SUM(E58:H58)&lt;E57,IF((E57-SUM(E58:H58))&lt;E57/C55,E57-SUM(E58:H58),E57/C55),0)</f>
        <v>0</v>
      </c>
      <c r="J58">
        <f>IF(SUM(E58:I58)&lt;E57,IF((E57-SUM(E58:I58))&lt;E57/C55,E57-SUM(E58:I58),E57/C55),0)</f>
        <v>0</v>
      </c>
      <c r="K58">
        <f>IF(SUM(E58:J58)&lt;E57,IF((E57-SUM(E58:J58))&lt;E57/C55,E57-SUM(E58:J58),E57/C55),0)</f>
        <v>0</v>
      </c>
      <c r="L58">
        <f>IF(SUM(E58:K58)&lt;E57,IF((E57-SUM(E58:K58))&lt;E57/C55,E57-SUM(E58:K58),E57/C55),0)</f>
        <v>0</v>
      </c>
      <c r="M58">
        <f>IF(SUM(E58:L58)&lt;E57,IF((E57-SUM(E58:L58))&lt;E57/C55,E57-SUM(E58:L58),E57/C55),0)</f>
        <v>0</v>
      </c>
      <c r="N58">
        <f>IF(SUM(E58:M58)&lt;E57,IF((E57-SUM(E58:M58))&lt;E57/C55,E57-SUM(E58:M58),E57/C55),0)</f>
        <v>0</v>
      </c>
      <c r="O58">
        <f>IF(SUM(E58:N58)&lt;E57,IF((E57-SUM(E58:N58))&lt;E57/C55,E57-SUM(E58:N58),E57/C55),0)</f>
        <v>0</v>
      </c>
      <c r="P58">
        <f>IF(SUM(E58:O58)&lt;E57,IF((E57-SUM(E58:O58))&lt;E57/C55,E57-SUM(E58:O58),E57/C55),0)</f>
        <v>0</v>
      </c>
      <c r="Q58">
        <f>IF(SUM(E58:P58)&lt;E57,IF((E57-SUM(E58:P58))&lt;E57/C55,E57-SUM(E58:P58),E57/C55),0)</f>
        <v>0</v>
      </c>
      <c r="R58">
        <f>IF(SUM(E58:Q58)&lt;E57,IF((E57-SUM(E58:Q58))&lt;E57/C55,E57-SUM(E58:Q58),E57/C55),0)</f>
        <v>0</v>
      </c>
      <c r="S58">
        <f>IF(SUM(E58:R58)&lt;E57,IF((E57-SUM(E58:R58))&lt;E57/C55,E57-SUM(E58:R58),E57/C55),0)</f>
        <v>0</v>
      </c>
      <c r="T58">
        <f>IF(SUM(E58:S58)&lt;E57,IF((E57-SUM(E58:S58))&lt;E57/C55,E57-SUM(E58:S58),E57/C55),0)</f>
        <v>0</v>
      </c>
      <c r="U58">
        <f>IF(SUM(E58:T58)&lt;E57,IF((E57-SUM(E58:T58))&lt;E57/C55,E57-SUM(E58:T58),E57/C55),0)</f>
        <v>0</v>
      </c>
      <c r="V58">
        <f>IF(SUM(E58:U58)&lt;E57,IF((E57-SUM(E58:U58))&lt;E57/C55,E57-SUM(E58:U58),E57/C55),0)</f>
        <v>0</v>
      </c>
      <c r="W58">
        <f>IF(SUM(E58:V58)&lt;E57,IF((E57-SUM(E58:V58))&lt;E57/C55,E57-SUM(E58:V58),E57/C55),0)</f>
        <v>0</v>
      </c>
      <c r="X58">
        <f>IF(SUM(E58:W58)&lt;E57,IF((E57-SUM(E58:W58))&lt;E57/C55,E57-SUM(E58:W58),E57/C55),0)</f>
        <v>0</v>
      </c>
    </row>
    <row r="59">
      <c r="B59" t="str">
        <v>第二年投资在各年的折旧</v>
      </c>
      <c r="D59">
        <f>SUM(E59:X59)</f>
        <v>0</v>
      </c>
      <c r="F59">
        <f>G59*(1-F56/12)</f>
        <v>0</v>
      </c>
      <c r="G59">
        <f>F57/C55</f>
        <v>0</v>
      </c>
      <c r="H59">
        <f>IF(SUM(E59:G59)&lt;F57,IF((F57-SUM(E59:G59))&lt;F57/C55,F57-SUM(E59:G59),F57/C55),0)</f>
        <v>0</v>
      </c>
      <c r="I59">
        <f>IF(SUM(E59:H59)&lt;F57,IF((F57-SUM(E59:H59))&lt;F57/C55,F57-SUM(E59:H59),F57/C55),0)</f>
        <v>0</v>
      </c>
      <c r="J59">
        <f>IF(SUM(E59:I59)&lt;F57,IF((F57-SUM(E59:I59))&lt;F57/C55,F57-SUM(E59:I59),F57/C55),0)</f>
        <v>0</v>
      </c>
      <c r="K59">
        <f>IF(SUM(E59:J59)&lt;F57,IF((F57-SUM(E59:J59))&lt;F57/C55,F57-SUM(E59:J59),F57/C55),0)</f>
        <v>0</v>
      </c>
      <c r="L59">
        <f>IF(SUM(E59:K59)&lt;F57,IF((F57-SUM(E59:K59))&lt;F57/C55,F57-SUM(E59:K59),F57/C55),0)</f>
        <v>0</v>
      </c>
      <c r="M59">
        <f>IF(SUM(E59:L59)&lt;F57,IF((F57-SUM(E59:L59))&lt;F57/C55,F57-SUM(E59:L59),F57/C55),0)</f>
        <v>0</v>
      </c>
      <c r="N59">
        <f>IF(SUM(E59:M59)&lt;F57,IF((F57-SUM(E59:M59))&lt;F57/C55,F57-SUM(E59:M59),F57/C55),0)</f>
        <v>0</v>
      </c>
      <c r="O59">
        <f>IF(SUM(E59:N59)&lt;F57,IF((F57-SUM(E59:N59))&lt;F57/C55,F57-SUM(E59:N59),F57/C55),0)</f>
        <v>0</v>
      </c>
      <c r="P59">
        <f>IF(SUM(E59:O59)&lt;F57,IF((F57-SUM(E59:O59))&lt;F57/C55,F57-SUM(E59:O59),F57/C55),0)</f>
        <v>0</v>
      </c>
      <c r="Q59">
        <f>IF(SUM(E59:P59)&lt;F57,IF((F57-SUM(E59:P59))&lt;F57/C55,F57-SUM(E59:P59),F57/C55),0)</f>
        <v>0</v>
      </c>
      <c r="R59">
        <f>IF(SUM(E59:Q59)&lt;F57,IF((F57-SUM(E59:Q59))&lt;F57/C55,F57-SUM(E59:Q59),F57/C55),0)</f>
        <v>0</v>
      </c>
      <c r="S59">
        <f>IF(SUM(E59:R59)&lt;F57,IF((F57-SUM(E59:R59))&lt;F57/C55,F57-SUM(E59:R59),F57/C55),0)</f>
        <v>0</v>
      </c>
      <c r="T59">
        <f>IF(SUM(E59:S59)&lt;F57,IF((F57-SUM(E59:S59))&lt;F57/C55,F57-SUM(E59:S59),F57/C55),0)</f>
        <v>0</v>
      </c>
      <c r="U59">
        <f>IF(SUM(E59:T59)&lt;F57,IF((F57-SUM(E59:T59))&lt;F57/C55,F57-SUM(E59:T59),F57/C55),0)</f>
        <v>0</v>
      </c>
      <c r="V59">
        <f>IF(SUM(E59:U59)&lt;F57,IF((F57-SUM(E59:U59))&lt;F57/C55,F57-SUM(E59:U59),F57/C55),0)</f>
        <v>0</v>
      </c>
      <c r="W59">
        <f>IF(SUM(E59:V59)&lt;F57,IF((F57-SUM(E59:V59))&lt;F57/C55,F57-SUM(E59:V59),F57/C55),0)</f>
        <v>0</v>
      </c>
      <c r="X59">
        <f>IF(SUM(E59:W59)&lt;F57,IF((F57-SUM(E59:W59))&lt;F57/C55,F57-SUM(E59:W59),F57/C55),0)</f>
        <v>0</v>
      </c>
    </row>
    <row r="60">
      <c r="B60" t="str">
        <v>第三年投资在各年的折旧</v>
      </c>
      <c r="D60">
        <f>SUM(E60:X60)</f>
        <v>0</v>
      </c>
      <c r="G60">
        <f>H60*(1-G56/12)</f>
        <v>0</v>
      </c>
      <c r="H60">
        <f>G57/C55</f>
        <v>0</v>
      </c>
      <c r="I60">
        <f>IF(SUM(E60:H60)&lt;G57,IF((G57-SUM(E60:H60))&lt;G57/C55,G57-SUM(E60:H60),G57/C55),0)</f>
        <v>0</v>
      </c>
      <c r="J60">
        <f>IF(SUM(E60:I60)&lt;G57,IF((G57-SUM(E60:I60))&lt;G57/C55,G57-SUM(E60:I60),G57/C55),0)</f>
        <v>0</v>
      </c>
      <c r="K60">
        <f>IF(SUM(E60:J60)&lt;G57,IF((G57-SUM(E60:J60))&lt;G57/C55,G57-SUM(E60:J60),G57/C55),0)</f>
        <v>0</v>
      </c>
      <c r="L60">
        <f>IF(SUM(E60:K60)&lt;G57,IF((G57-SUM(E60:K60))&lt;G57/C55,G57-SUM(E60:K60),G57/C55),0)</f>
        <v>0</v>
      </c>
      <c r="M60">
        <f>IF(SUM(E60:L60)&lt;G57,IF((G57-SUM(E60:L60))&lt;G57/C55,G57-SUM(E60:L60),G57/C55),0)</f>
        <v>0</v>
      </c>
      <c r="N60">
        <f>IF(SUM(E60:M60)&lt;G57,IF((G57-SUM(E60:M60))&lt;G57/C55,G57-SUM(E60:M60),G57/C55),0)</f>
        <v>0</v>
      </c>
      <c r="O60">
        <f>IF(SUM(E60:N60)&lt;G57,IF((G57-SUM(E60:N60))&lt;G57/C55,G57-SUM(E60:N60),G57/C55),0)</f>
        <v>0</v>
      </c>
      <c r="P60">
        <f>IF(SUM(E60:O60)&lt;G57,IF((G57-SUM(E60:O60))&lt;G57/C55,G57-SUM(E60:O60),G57/C55),0)</f>
        <v>0</v>
      </c>
      <c r="Q60">
        <f>IF(SUM(E60:P60)&lt;G57,IF((G57-SUM(E60:P60))&lt;G57/C55,G57-SUM(E60:P60),G57/C55),0)</f>
        <v>0</v>
      </c>
      <c r="R60">
        <f>IF(SUM(E60:Q60)&lt;G57,IF((G57-SUM(E60:Q60))&lt;G57/C55,G57-SUM(E60:Q60),G57/C55),0)</f>
        <v>0</v>
      </c>
      <c r="S60">
        <f>IF(SUM(E60:R60)&lt;G57,IF((G57-SUM(E60:R60))&lt;G57/C55,G57-SUM(E60:R60),G57/C55),0)</f>
        <v>0</v>
      </c>
      <c r="T60">
        <f>IF(SUM(E60:S60)&lt;G57,IF((G57-SUM(E60:S60))&lt;G57/C55,G57-SUM(E60:S60),G57/C55),0)</f>
        <v>0</v>
      </c>
      <c r="U60">
        <f>IF(SUM(E60:T60)&lt;G57,IF((G57-SUM(E60:T60))&lt;G57/C55,G57-SUM(E60:T60),G57/C55),0)</f>
        <v>0</v>
      </c>
      <c r="V60">
        <f>IF(SUM(E60:U60)&lt;G57,IF((G57-SUM(E60:U60))&lt;G57/C55,G57-SUM(E60:U60),G57/C55),0)</f>
        <v>0</v>
      </c>
      <c r="W60">
        <f>IF(SUM(E60:V60)&lt;G57,IF((G57-SUM(E60:V60))&lt;G57/C55,G57-SUM(E60:V60),G57/C55),0)</f>
        <v>0</v>
      </c>
      <c r="X60">
        <f>IF(SUM(E60:W60)&lt;G57,IF((G57-SUM(E60:W60))&lt;G57/C55,G57-SUM(E60:W60),G57/C55),0)</f>
        <v>0</v>
      </c>
    </row>
    <row r="61">
      <c r="B61" t="str">
        <v>第四年投资在各年的折旧</v>
      </c>
      <c r="D61">
        <f>SUM(E61:X61)</f>
        <v>0</v>
      </c>
      <c r="H61">
        <f>I61*(1-H56/12)</f>
        <v>0</v>
      </c>
      <c r="I61">
        <f>H57/C55</f>
        <v>0</v>
      </c>
      <c r="J61">
        <f>IF(SUM(E61:I61)&lt;H57,IF((H57-SUM(E61:I61))&lt;H57/C55,H57-SUM(E61:I61),H57/C55),0)</f>
        <v>0</v>
      </c>
      <c r="K61">
        <f>IF(SUM(E61:J61)&lt;H57,IF((H57-SUM(E61:J61))&lt;H57/C55,H57-SUM(E61:J61),H57/C55),0)</f>
        <v>0</v>
      </c>
      <c r="L61">
        <f>IF(SUM(E61:K61)&lt;H57,IF((H57-SUM(E61:K61))&lt;H57/C55,H57-SUM(E61:K61),H57/C55),0)</f>
        <v>0</v>
      </c>
      <c r="M61">
        <f>IF(SUM(E61:L61)&lt;H57,IF((H57-SUM(E61:L61))&lt;H57/C55,H57-SUM(E61:L61),H57/C55),0)</f>
        <v>0</v>
      </c>
      <c r="N61">
        <f>IF(SUM(E61:M61)&lt;H57,IF((H57-SUM(E61:M61))&lt;H57/C55,H57-SUM(E61:M61),H57/C55),0)</f>
        <v>0</v>
      </c>
      <c r="O61">
        <f>IF(SUM(E61:N61)&lt;H57,IF((H57-SUM(E61:N61))&lt;H57/C55,H57-SUM(E61:N61),H57/C55),0)</f>
        <v>0</v>
      </c>
      <c r="P61">
        <f>IF(SUM(E61:O61)&lt;H57,IF((H57-SUM(E61:O61))&lt;H57/C55,H57-SUM(E61:O61),H57/C55),0)</f>
        <v>0</v>
      </c>
      <c r="Q61">
        <f>IF(SUM(E61:P61)&lt;H57,IF((H57-SUM(E61:P61))&lt;H57/C55,H57-SUM(E61:P61),H57/C55),0)</f>
        <v>0</v>
      </c>
      <c r="R61">
        <f>IF(SUM(E61:Q61)&lt;H57,IF((H57-SUM(E61:Q61))&lt;H57/C55,H57-SUM(E61:Q61),H57/C55),0)</f>
        <v>0</v>
      </c>
      <c r="S61">
        <f>IF(SUM(E61:R61)&lt;H57,IF((H57-SUM(E61:R61))&lt;H57/C55,H57-SUM(E61:R61),H57/C55),0)</f>
        <v>0</v>
      </c>
      <c r="T61">
        <f>IF(SUM(E61:S61)&lt;H57,IF((H57-SUM(E61:S61))&lt;H57/C55,H57-SUM(E61:S61),H57/C55),0)</f>
        <v>0</v>
      </c>
      <c r="U61">
        <f>IF(SUM(E61:T61)&lt;H57,IF((H57-SUM(E61:T61))&lt;H57/C55,H57-SUM(E61:T61),H57/C55),0)</f>
        <v>0</v>
      </c>
      <c r="V61">
        <f>IF(SUM(E61:U61)&lt;H57,IF((H57-SUM(E61:U61))&lt;H57/C55,H57-SUM(E61:U61),H57/C55),0)</f>
        <v>0</v>
      </c>
      <c r="W61">
        <f>IF(SUM(E61:V61)&lt;H57,IF((H57-SUM(E61:V61))&lt;H57/C55,H57-SUM(E61:V61),H57/C55),0)</f>
        <v>0</v>
      </c>
      <c r="X61">
        <f>IF(SUM(E61:W61)&lt;H57,IF((H57-SUM(E61:W61))&lt;H57/C55,H57-SUM(E61:W61),H57/C55),0)</f>
        <v>0</v>
      </c>
    </row>
    <row r="62">
      <c r="B62" t="str">
        <v>第五年投资在各年的折旧</v>
      </c>
      <c r="D62">
        <f>SUM(E62:X62)</f>
        <v>0</v>
      </c>
      <c r="I62">
        <f>J62*(1-I56/12)</f>
        <v>0</v>
      </c>
      <c r="J62">
        <f>I57/C55</f>
        <v>0</v>
      </c>
      <c r="K62">
        <f>IF(SUM(E62:J62)&lt;I57,IF((I57-SUM(E62:J62))&lt;I57/C55,I57-SUM(E62:J62),I57/C55),0)</f>
        <v>0</v>
      </c>
      <c r="L62">
        <f>IF(SUM(E62:K62)&lt;I57,IF((I57-SUM(E62:K62))&lt;I57/C55,I57-SUM(E62:K62),I57/C55),0)</f>
        <v>0</v>
      </c>
      <c r="M62">
        <f>IF(SUM(E62:L62)&lt;I57,IF((I57-SUM(E62:L62))&lt;I57/C55,I57-SUM(E62:L62),I57/C55),0)</f>
        <v>0</v>
      </c>
      <c r="N62">
        <f>IF(SUM(E62:M62)&lt;I57,IF((I57-SUM(E62:M62))&lt;I57/C55,I57-SUM(E62:M62),I57/C55),0)</f>
        <v>0</v>
      </c>
      <c r="O62">
        <f>IF(SUM(E62:N62)&lt;I57,IF((I57-SUM(E62:N62))&lt;I57/C55,I57-SUM(E62:N62),I57/C55),0)</f>
        <v>0</v>
      </c>
      <c r="P62">
        <f>IF(SUM(E62:O62)&lt;I57,IF((I57-SUM(E62:O62))&lt;I57/C55,I57-SUM(E62:O62),I57/C55),0)</f>
        <v>0</v>
      </c>
      <c r="Q62">
        <f>IF(SUM(E62:P62)&lt;I57,IF((I57-SUM(E62:P62))&lt;I57/C55,I57-SUM(E62:P62),I57/C55),0)</f>
        <v>0</v>
      </c>
      <c r="R62">
        <f>IF(SUM(E62:Q62)&lt;I57,IF((I57-SUM(E62:Q62))&lt;I57/C55,I57-SUM(E62:Q62),I57/C55),0)</f>
        <v>0</v>
      </c>
      <c r="S62">
        <f>IF(SUM(E62:R62)&lt;I57,IF((I57-SUM(E62:R62))&lt;I57/C55,I57-SUM(E62:R62),I57/C55),0)</f>
        <v>0</v>
      </c>
      <c r="T62">
        <f>IF(SUM(E62:S62)&lt;I57,IF((I57-SUM(E62:S62))&lt;I57/C55,I57-SUM(E62:S62),I57/C55),0)</f>
        <v>0</v>
      </c>
      <c r="U62">
        <f>IF(SUM(E62:T62)&lt;I57,IF((I57-SUM(E62:T62))&lt;I57/C55,I57-SUM(E62:T62),I57/C55),0)</f>
        <v>0</v>
      </c>
      <c r="V62">
        <f>IF(SUM(E62:U62)&lt;I57,IF((I57-SUM(E62:U62))&lt;I57/C55,I57-SUM(E62:U62),I57/C55),0)</f>
        <v>0</v>
      </c>
      <c r="W62">
        <f>IF(SUM(E62:V62)&lt;I57,IF((I57-SUM(E62:V62))&lt;I57/C55,I57-SUM(E62:V62),I57/C55),0)</f>
        <v>0</v>
      </c>
      <c r="X62">
        <f>IF(SUM(E62:W62)&lt;I57,IF((I57-SUM(E62:W62))&lt;I57/C55,I57-SUM(E62:W62),I57/C55),0)</f>
        <v>0</v>
      </c>
    </row>
    <row r="63">
      <c r="B63" t="str">
        <v>第六年投资在各年的折旧</v>
      </c>
      <c r="D63">
        <f>SUM(E63:X63)</f>
        <v>0</v>
      </c>
      <c r="J63">
        <f>K63*(1-J56/12)</f>
        <v>0</v>
      </c>
      <c r="K63">
        <f>J57/C55</f>
        <v>0</v>
      </c>
      <c r="L63">
        <f>IF(SUM(E63:K63)&lt;J57,IF((J57-SUM(E63:K63))&lt;J57/C55,J57-SUM(E63:K63),J57/C55),0)</f>
        <v>0</v>
      </c>
      <c r="M63">
        <f>IF(SUM(E63:L63)&lt;J57,IF((J57-SUM(E63:L63))&lt;J57/C55,J57-SUM(E63:L63),J57/C55),0)</f>
        <v>0</v>
      </c>
      <c r="N63">
        <f>IF(SUM(E63:M63)&lt;J57,IF((J57-SUM(E63:M63))&lt;J57/C55,J57-SUM(E63:M63),J57/C55),0)</f>
        <v>0</v>
      </c>
      <c r="O63">
        <f>IF(SUM(E63:N63)&lt;J57,IF((J57-SUM(E63:N63))&lt;J57/C55,J57-SUM(E63:N63),J57/C55),0)</f>
        <v>0</v>
      </c>
      <c r="P63">
        <f>IF(SUM(E63:O63)&lt;J57,IF((J57-SUM(E63:O63))&lt;J57/C55,J57-SUM(E63:O63),J57/C55),0)</f>
        <v>0</v>
      </c>
      <c r="Q63">
        <f>IF(SUM(E63:P63)&lt;J57,IF((J57-SUM(E63:P63))&lt;J57/C55,J57-SUM(E63:P63),J57/C55),0)</f>
        <v>0</v>
      </c>
      <c r="R63">
        <f>IF(SUM(E63:Q63)&lt;J57,IF((J57-SUM(E63:Q63))&lt;J57/C55,J57-SUM(E63:Q63),J57/C55),0)</f>
        <v>0</v>
      </c>
      <c r="S63">
        <f>IF(SUM(E63:R63)&lt;J57,IF((J57-SUM(E63:R63))&lt;J57/C55,J57-SUM(E63:R63),J57/C55),0)</f>
        <v>0</v>
      </c>
      <c r="T63">
        <f>IF(SUM(E63:S63)&lt;J57,IF((J57-SUM(E63:S63))&lt;J57/C55,J57-SUM(E63:S63),J57/C55),0)</f>
        <v>0</v>
      </c>
      <c r="U63">
        <f>IF(SUM(E63:T63)&lt;J57,IF((J57-SUM(E63:T63))&lt;J57/C55,J57-SUM(E63:T63),J57/C55),0)</f>
        <v>0</v>
      </c>
      <c r="V63">
        <f>IF(SUM(E63:U63)&lt;J57,IF((J57-SUM(E63:U63))&lt;J57/C55,J57-SUM(E63:U63),J57/C55),0)</f>
        <v>0</v>
      </c>
      <c r="W63">
        <f>IF(SUM(E63:V63)&lt;J57,IF((J57-SUM(E63:V63))&lt;J57/C55,J57-SUM(E63:V63),J57/C55),0)</f>
        <v>0</v>
      </c>
      <c r="X63">
        <f>IF(SUM(E63:W63)&lt;J57,IF((J57-SUM(E63:W63))&lt;J57/C55,J57-SUM(E63:W63),J57/C55),0)</f>
        <v>0</v>
      </c>
    </row>
    <row r="64">
      <c r="B64" t="str">
        <v>第七年投资在各年的折旧</v>
      </c>
      <c r="D64">
        <f>SUM(E64:X64)</f>
        <v>0</v>
      </c>
      <c r="K64">
        <f>L64*(1-K56/12)</f>
        <v>0</v>
      </c>
      <c r="L64">
        <f>K57/C55</f>
        <v>0</v>
      </c>
      <c r="M64">
        <f>IF(SUM(E64:L64)&lt;K57,IF((K57-SUM(E64:L64))&lt;K57/C55,K57-SUM(E64:L64),K57/C55),0)</f>
        <v>0</v>
      </c>
      <c r="N64">
        <f>IF(SUM(E64:M64)&lt;K57,IF((K57-SUM(E64:M64))&lt;K57/C55,K57-SUM(E64:M64),K57/C55),0)</f>
        <v>0</v>
      </c>
      <c r="O64">
        <f>IF(SUM(E64:N64)&lt;K57,IF((K57-SUM(E64:N64))&lt;K57/C55,K57-SUM(E64:N64),K57/C55),0)</f>
        <v>0</v>
      </c>
      <c r="P64">
        <f>IF(SUM(E64:O64)&lt;K57,IF((K57-SUM(E64:O64))&lt;K57/C55,K57-SUM(E64:O64),K57/C55),0)</f>
        <v>0</v>
      </c>
      <c r="Q64">
        <f>IF(SUM(E64:P64)&lt;K57,IF((K57-SUM(E64:P64))&lt;K57/C55,K57-SUM(E64:P64),K57/C55),0)</f>
        <v>0</v>
      </c>
      <c r="R64">
        <f>IF(SUM(E64:Q64)&lt;K57,IF((K57-SUM(E64:Q64))&lt;K57/C55,K57-SUM(E64:Q64),K57/C55),0)</f>
        <v>0</v>
      </c>
      <c r="S64">
        <f>IF(SUM(E64:R64)&lt;K57,IF((K57-SUM(E64:R64))&lt;K57/C55,K57-SUM(E64:R64),K57/C55),0)</f>
        <v>0</v>
      </c>
      <c r="T64">
        <f>IF(SUM(E64:S64)&lt;K57,IF((K57-SUM(E64:S64))&lt;K57/C55,K57-SUM(E64:S64),K57/C55),0)</f>
        <v>0</v>
      </c>
      <c r="U64">
        <f>IF(SUM(E64:T64)&lt;K57,IF((K57-SUM(E64:T64))&lt;K57/C55,K57-SUM(E64:T64),K57/C55),0)</f>
        <v>0</v>
      </c>
      <c r="V64">
        <f>IF(SUM(E64:U64)&lt;K57,IF((K57-SUM(E64:U64))&lt;K57/C55,K57-SUM(E64:U64),K57/C55),0)</f>
        <v>0</v>
      </c>
      <c r="W64">
        <f>IF(SUM(E64:V64)&lt;K57,IF((K57-SUM(E64:V64))&lt;K57/C55,K57-SUM(E64:V64),K57/C55),0)</f>
        <v>0</v>
      </c>
      <c r="X64">
        <f>IF(SUM(E64:W64)&lt;K57,IF((K57-SUM(E64:W64))&lt;K57/C55,K57-SUM(E64:W64),K57/C55),0)</f>
        <v>0</v>
      </c>
    </row>
    <row r="65">
      <c r="B65" t="str">
        <v>第八年投资在各年的折旧</v>
      </c>
      <c r="D65">
        <f>SUM(E65:X65)</f>
        <v>0</v>
      </c>
      <c r="L65">
        <f>M65*(1-L56/12)</f>
        <v>0</v>
      </c>
      <c r="M65">
        <f>L57/C55</f>
        <v>0</v>
      </c>
      <c r="N65">
        <f>IF(SUM(E65:M65)&lt;L57,IF((L57-SUM(E65:M65))&lt;L57/C55,L57-SUM(E65:M65),L57/C55),0)</f>
        <v>0</v>
      </c>
      <c r="O65">
        <f>IF(SUM(E65:N65)&lt;L57,IF((L57-SUM(E65:N65))&lt;L57/C55,L57-SUM(E65:N65),L57/C55),0)</f>
        <v>0</v>
      </c>
      <c r="P65">
        <f>IF(SUM(E65:O65)&lt;L57,IF((L57-SUM(E65:O65))&lt;L57/C55,L57-SUM(E65:O65),L57/C55),0)</f>
        <v>0</v>
      </c>
      <c r="Q65">
        <f>IF(SUM(E65:P65)&lt;L57,IF((L57-SUM(E65:P65))&lt;L57/C55,L57-SUM(E65:P65),L57/C55),0)</f>
        <v>0</v>
      </c>
      <c r="R65">
        <f>IF(SUM(E65:Q65)&lt;L57,IF((L57-SUM(E65:Q65))&lt;L57/C55,L57-SUM(E65:Q65),L57/C55),0)</f>
        <v>0</v>
      </c>
      <c r="S65">
        <f>IF(SUM(E65:R65)&lt;L57,IF((L57-SUM(E65:R65))&lt;L57/C55,L57-SUM(E65:R65),L57/C55),0)</f>
        <v>0</v>
      </c>
      <c r="T65">
        <f>IF(SUM(E65:S65)&lt;L57,IF((L57-SUM(E65:S65))&lt;L57/C55,L57-SUM(E65:S65),L57/C55),0)</f>
        <v>0</v>
      </c>
      <c r="U65">
        <f>IF(SUM(E65:T65)&lt;L57,IF((L57-SUM(E65:T65))&lt;L57/C55,L57-SUM(E65:T65),L57/C55),0)</f>
        <v>0</v>
      </c>
      <c r="V65">
        <f>IF(SUM(E65:U65)&lt;L57,IF((L57-SUM(E65:U65))&lt;L57/C55,L57-SUM(E65:U65),L57/C55),0)</f>
        <v>0</v>
      </c>
      <c r="W65">
        <f>IF(SUM(E65:V65)&lt;L57,IF((L57-SUM(E65:V65))&lt;L57/C55,L57-SUM(E65:V65),L57/C55),0)</f>
        <v>0</v>
      </c>
      <c r="X65">
        <f>IF(SUM(E65:W65)&lt;L57,IF((L57-SUM(E65:W65))&lt;L57/C55,L57-SUM(E65:W65),L57/C55),0)</f>
        <v>0</v>
      </c>
    </row>
    <row r="66">
      <c r="B66" t="str">
        <v>第九年投资在各年的折旧</v>
      </c>
      <c r="D66">
        <f>SUM(E66:X66)</f>
        <v>0</v>
      </c>
      <c r="M66">
        <f>N66*(1-M56/12)</f>
        <v>0</v>
      </c>
      <c r="N66">
        <f>M57/C55</f>
        <v>0</v>
      </c>
      <c r="O66">
        <f>IF(SUM(E66:N66)&lt;M57,IF((M57-SUM(E66:N66))&lt;M57/C55,M57-SUM(E66:N66),M57/C55),0)</f>
        <v>0</v>
      </c>
      <c r="P66">
        <f>IF(SUM(E66:O66)&lt;M57,IF((M57-SUM(E66:O66))&lt;M57/C55,M57-SUM(E66:O66),M57/C55),0)</f>
        <v>0</v>
      </c>
      <c r="Q66">
        <f>IF(SUM(E66:P66)&lt;M57,IF((M57-SUM(E66:P66))&lt;M57/C55,M57-SUM(E66:P66),M57/C55),0)</f>
        <v>0</v>
      </c>
      <c r="R66">
        <f>IF(SUM(E66:Q66)&lt;M57,IF((M57-SUM(E66:Q66))&lt;M57/C55,M57-SUM(E66:Q66),M57/C55),0)</f>
        <v>0</v>
      </c>
      <c r="S66">
        <f>IF(SUM(E66:R66)&lt;M57,IF((M57-SUM(E66:R66))&lt;M57/C55,M57-SUM(E66:R66),M57/C55),0)</f>
        <v>0</v>
      </c>
      <c r="T66">
        <f>IF(SUM(E66:S66)&lt;M57,IF((M57-SUM(E66:S66))&lt;M57/C55,M57-SUM(E66:S66),M57/C55),0)</f>
        <v>0</v>
      </c>
      <c r="U66">
        <f>IF(SUM(E66:T66)&lt;M57,IF((M57-SUM(E66:T66))&lt;M57/C55,M57-SUM(E66:T66),M57/C55),0)</f>
        <v>0</v>
      </c>
      <c r="V66">
        <f>IF(SUM(E66:U66)&lt;M57,IF((M57-SUM(E66:U66))&lt;M57/C55,M57-SUM(E66:U66),M57/C55),0)</f>
        <v>0</v>
      </c>
      <c r="W66">
        <f>IF(SUM(E66:V66)&lt;M57,IF((M57-SUM(E66:V66))&lt;M57/C55,M57-SUM(E66:V66),M57/C55),0)</f>
        <v>0</v>
      </c>
      <c r="X66">
        <f>IF(SUM(E66:W66)&lt;M57,IF((M57-SUM(E66:W66))&lt;M57/C55,M57-SUM(E66:W66),M57/C55),0)</f>
        <v>0</v>
      </c>
    </row>
    <row r="67">
      <c r="B67" t="str">
        <v>第十年投资在各年的折旧</v>
      </c>
      <c r="D67">
        <f>SUM(E67:X67)</f>
        <v>0</v>
      </c>
      <c r="N67">
        <f>O67*(1-N56/12)</f>
        <v>0</v>
      </c>
      <c r="O67">
        <f>N57/C55</f>
        <v>0</v>
      </c>
      <c r="P67">
        <f>IF(SUM(E67:O67)&lt;N57,IF((N57-SUM(E67:O67))&lt;N57/C55,N57-SUM(E67:O67),N57/C55),0)</f>
        <v>0</v>
      </c>
      <c r="Q67">
        <f>IF(SUM(E67:P67)&lt;N57,IF((N57-SUM(E67:P67))&lt;N57/C55,N57-SUM(E67:P67),N57/C55),0)</f>
        <v>0</v>
      </c>
      <c r="R67">
        <f>IF(SUM(E67:Q67)&lt;N57,IF((N57-SUM(E67:Q67))&lt;N57/C55,N57-SUM(E67:Q67),N57/C55),0)</f>
        <v>0</v>
      </c>
      <c r="S67">
        <f>IF(SUM(E67:R67)&lt;N57,IF((N57-SUM(E67:R67))&lt;N57/C55,N57-SUM(E67:R67),N57/C55),0)</f>
        <v>0</v>
      </c>
      <c r="T67">
        <f>IF(SUM(E67:S67)&lt;N57,IF((N57-SUM(E67:S67))&lt;N57/C55,N57-SUM(E67:S67),N57/C55),0)</f>
        <v>0</v>
      </c>
      <c r="U67">
        <f>IF(SUM(E67:T67)&lt;N57,IF((N57-SUM(E67:T67))&lt;N57/C55,N57-SUM(E67:T67),N57/C55),0)</f>
        <v>0</v>
      </c>
      <c r="V67">
        <f>IF(SUM(E67:U67)&lt;N57,IF((N57-SUM(E67:U67))&lt;N57/C55,N57-SUM(E67:U67),N57/C55),0)</f>
        <v>0</v>
      </c>
      <c r="W67">
        <f>IF(SUM(E67:V67)&lt;N57,IF((N57-SUM(E67:V67))&lt;N57/C55,N57-SUM(E67:V67),N57/C55),0)</f>
        <v>0</v>
      </c>
      <c r="X67">
        <f>IF(SUM(E67:W67)&lt;N57,IF((N57-SUM(E67:W67))&lt;N57/C55,N57-SUM(E67:W67),N57/C55),0)</f>
        <v>0</v>
      </c>
    </row>
    <row r="68">
      <c r="B68" t="str">
        <v>第十一年投资在各年的折旧</v>
      </c>
      <c r="D68">
        <f>SUM(E68:X68)</f>
        <v>0</v>
      </c>
      <c r="O68">
        <f>P68*(1-O56/12)</f>
        <v>0</v>
      </c>
      <c r="P68">
        <f>O57/C55</f>
        <v>0</v>
      </c>
      <c r="Q68">
        <f>IF(SUM(E68:P68)&lt;O57,IF((O57-SUM(E68:P68))&lt;O57/C55,O57-SUM(E68:P68),O57/C55),0)</f>
        <v>0</v>
      </c>
      <c r="R68">
        <f>IF(SUM(E68:Q68)&lt;O57,IF((O57-SUM(E68:Q68))&lt;O57/C55,O57-SUM(E68:Q68),O57/C55),0)</f>
        <v>0</v>
      </c>
      <c r="S68">
        <f>IF(SUM(E68:R68)&lt;O57,IF((O57-SUM(E68:R68))&lt;O57/C55,O57-SUM(E68:R68),O57/C55),0)</f>
        <v>0</v>
      </c>
      <c r="T68">
        <f>IF(SUM(E68:S68)&lt;O57,IF((O57-SUM(E68:S68))&lt;O57/C55,O57-SUM(E68:S68),O57/C55),0)</f>
        <v>0</v>
      </c>
      <c r="U68">
        <f>IF(SUM(E68:T68)&lt;O57,IF((O57-SUM(E68:T68))&lt;O57/C55,O57-SUM(E68:T68),O57/C55),0)</f>
        <v>0</v>
      </c>
      <c r="V68">
        <f>IF(SUM(E68:U68)&lt;O57,IF((O57-SUM(E68:U68))&lt;O57/C55,O57-SUM(E68:U68),O57/C55),0)</f>
        <v>0</v>
      </c>
      <c r="W68">
        <f>IF(SUM(E68:V68)&lt;O57,IF((O57-SUM(E68:V68))&lt;O57/C55,O57-SUM(E68:V68),O57/C55),0)</f>
        <v>0</v>
      </c>
      <c r="X68">
        <f>IF(SUM(E68:W68)&lt;O57,IF((O57-SUM(E68:W68))&lt;O57/C55,O57-SUM(E68:W68),O57/C55),0)</f>
        <v>0</v>
      </c>
    </row>
    <row r="70">
      <c r="B70" t="str">
        <v>其他类投资累计折旧</v>
      </c>
      <c r="D70">
        <f>SUM(E70:X70)</f>
        <v>0</v>
      </c>
      <c r="E70">
        <f>SUM(E74:E84)</f>
        <v>0</v>
      </c>
      <c r="F70">
        <f>SUM(F74:F84)</f>
        <v>0</v>
      </c>
      <c r="G70">
        <f>SUM(G74:G84)</f>
        <v>0</v>
      </c>
      <c r="H70">
        <f>SUM(H74:H84)</f>
        <v>0</v>
      </c>
      <c r="I70">
        <f>SUM(I74:I84)</f>
        <v>0</v>
      </c>
      <c r="J70">
        <f>SUM(J74:J84)</f>
        <v>0</v>
      </c>
      <c r="K70">
        <f>SUM(K74:K84)</f>
        <v>0</v>
      </c>
      <c r="L70">
        <f>SUM(L74:L84)</f>
        <v>0</v>
      </c>
      <c r="M70">
        <f>SUM(M74:M84)</f>
        <v>0</v>
      </c>
      <c r="N70">
        <f>SUM(N74:N84)</f>
        <v>0</v>
      </c>
      <c r="O70">
        <f>SUM(O74:O84)</f>
        <v>0</v>
      </c>
      <c r="P70">
        <f>SUM(P74:P84)</f>
        <v>0</v>
      </c>
      <c r="Q70">
        <f>SUM(Q74:Q84)</f>
        <v>0</v>
      </c>
      <c r="R70">
        <f>SUM(R74:R84)</f>
        <v>0</v>
      </c>
      <c r="S70">
        <f>SUM(S74:S84)</f>
        <v>0</v>
      </c>
      <c r="T70">
        <f>SUM(T74:T84)</f>
        <v>0</v>
      </c>
      <c r="U70">
        <f>SUM(U74:U84)</f>
        <v>0</v>
      </c>
      <c r="V70">
        <f>SUM(V74:V84)</f>
        <v>0</v>
      </c>
      <c r="W70">
        <f>SUM(W74:W84)</f>
        <v>0</v>
      </c>
      <c r="X70">
        <f>SUM(X74:X84)</f>
        <v>0</v>
      </c>
    </row>
    <row r="71">
      <c r="B71" t="str">
        <v>折旧年限</v>
      </c>
      <c r="C71">
        <v>5</v>
      </c>
    </row>
    <row r="72">
      <c r="B72" t="str">
        <v>当年投产月份</v>
      </c>
      <c r="E72">
        <v>0</v>
      </c>
      <c r="F72">
        <v>0</v>
      </c>
      <c r="G72">
        <v>0</v>
      </c>
      <c r="H72">
        <v>0</v>
      </c>
      <c r="I72">
        <v>0</v>
      </c>
      <c r="J72">
        <v>0</v>
      </c>
      <c r="K72">
        <v>0</v>
      </c>
      <c r="L72">
        <v>0</v>
      </c>
      <c r="M72">
        <v>0</v>
      </c>
      <c r="N72">
        <v>0</v>
      </c>
      <c r="O72">
        <v>0</v>
      </c>
    </row>
    <row r="73">
      <c r="B73" t="str">
        <v>其他类投资规模</v>
      </c>
      <c r="D73">
        <f>SUM(E73:O73)</f>
        <v>0</v>
      </c>
    </row>
    <row r="74">
      <c r="B74" t="str">
        <v>第一年投资在各年的折旧</v>
      </c>
      <c r="D74">
        <f>SUM(E74:X74)</f>
        <v>0</v>
      </c>
      <c r="E74">
        <f>F74*(1-E72/12)</f>
        <v>0</v>
      </c>
      <c r="F74">
        <f>E73/C71</f>
        <v>0</v>
      </c>
      <c r="G74">
        <f>IF(SUM(E74:F74)&lt;E73,IF((E73-SUM(E74:F74))&lt;E73/C71,E73-SUM(E74:F74),E73/C71),0)</f>
        <v>0</v>
      </c>
      <c r="H74">
        <f>IF(SUM(E74:G74)&lt;E73,IF((E73-SUM(E74:G74))&lt;E73/C71,E73-SUM(E74:G74),E73/C71),0)</f>
        <v>0</v>
      </c>
      <c r="I74">
        <f>IF(SUM(E74:H74)&lt;E73,IF((E73-SUM(E74:H74))&lt;E73/C71,E73-SUM(E74:H74),E73/C71),0)</f>
        <v>0</v>
      </c>
      <c r="J74">
        <f>IF(SUM(E74:I74)&lt;E73,IF((E73-SUM(E74:I74))&lt;E73/C71,E73-SUM(E74:I74),E73/C71),0)</f>
        <v>0</v>
      </c>
      <c r="K74">
        <f>IF(SUM(E74:J74)&lt;E73,IF((E73-SUM(E74:J74))&lt;E73/C71,E73-SUM(E74:J74),E73/C71),0)</f>
        <v>0</v>
      </c>
      <c r="L74">
        <f>IF(SUM(E74:K74)&lt;E73,IF((E73-SUM(E74:K74))&lt;E73/C71,E73-SUM(E74:K74),E73/C71),0)</f>
        <v>0</v>
      </c>
      <c r="M74">
        <f>IF(SUM(E74:L74)&lt;E73,IF((E73-SUM(E74:L74))&lt;E73/C71,E73-SUM(E74:L74),E73/C71),0)</f>
        <v>0</v>
      </c>
      <c r="N74">
        <f>IF(SUM(E74:M74)&lt;E73,IF((E73-SUM(E74:M74))&lt;E73/C71,E73-SUM(E74:M74),E73/C71),0)</f>
        <v>0</v>
      </c>
      <c r="O74">
        <f>IF(SUM(E74:N74)&lt;E73,IF((E73-SUM(E74:N74))&lt;E73/C71,E73-SUM(E74:N74),E73/C71),0)</f>
        <v>0</v>
      </c>
      <c r="P74">
        <f>IF(SUM(E74:O74)&lt;E73,IF((E73-SUM(E74:O74))&lt;E73/C71,E73-SUM(E74:O74),E73/C71),0)</f>
        <v>0</v>
      </c>
      <c r="Q74">
        <f>IF(SUM(E74:P74)&lt;E73,IF((E73-SUM(E74:P74))&lt;E73/C71,E73-SUM(E74:P74),E73/C71),0)</f>
        <v>0</v>
      </c>
      <c r="R74">
        <f>IF(SUM(E74:Q74)&lt;E73,IF((E73-SUM(E74:Q74))&lt;E73/C71,E73-SUM(E74:Q74),E73/C71),0)</f>
        <v>0</v>
      </c>
      <c r="S74">
        <f>IF(SUM(E74:R74)&lt;E73,IF((E73-SUM(E74:R74))&lt;E73/C71,E73-SUM(E74:R74),E73/C71),0)</f>
        <v>0</v>
      </c>
      <c r="T74">
        <f>IF(SUM(E74:S74)&lt;E73,IF((E73-SUM(E74:S74))&lt;E73/C71,E73-SUM(E74:S74),E73/C71),0)</f>
        <v>0</v>
      </c>
      <c r="U74">
        <f>IF(SUM(E74:T74)&lt;E73,IF((E73-SUM(E74:T74))&lt;E73/C71,E73-SUM(E74:T74),E73/C71),0)</f>
        <v>0</v>
      </c>
      <c r="V74">
        <f>IF(SUM(E74:U74)&lt;E73,IF((E73-SUM(E74:U74))&lt;E73/C71,E73-SUM(E74:U74),E73/C71),0)</f>
        <v>0</v>
      </c>
      <c r="W74">
        <f>IF(SUM(E74:V74)&lt;E73,IF((E73-SUM(E74:V74))&lt;E73/C71,E73-SUM(E74:V74),E73/C71),0)</f>
        <v>0</v>
      </c>
      <c r="X74">
        <f>IF(SUM(E74:W74)&lt;E73,IF((E73-SUM(E74:W74))&lt;E73/C71,E73-SUM(E74:W74),E73/C71),0)</f>
        <v>0</v>
      </c>
    </row>
    <row r="75">
      <c r="B75" t="str">
        <v>第二年投资在各年的折旧</v>
      </c>
      <c r="D75">
        <f>SUM(E75:X75)</f>
        <v>0</v>
      </c>
      <c r="F75">
        <f>G75*(1-F72/12)</f>
        <v>0</v>
      </c>
      <c r="G75">
        <f>F73/C71</f>
        <v>0</v>
      </c>
      <c r="H75">
        <f>IF(SUM(E75:G75)&lt;F73,IF((F73-SUM(E75:G75))&lt;F73/C71,F73-SUM(E75:G75),F73/C71),0)</f>
        <v>0</v>
      </c>
      <c r="I75">
        <f>IF(SUM(E75:H75)&lt;F73,IF((F73-SUM(E75:H75))&lt;F73/C71,F73-SUM(E75:H75),F73/C71),0)</f>
        <v>0</v>
      </c>
      <c r="J75">
        <f>IF(SUM(E75:I75)&lt;F73,IF((F73-SUM(E75:I75))&lt;F73/C71,F73-SUM(E75:I75),F73/C71),0)</f>
        <v>0</v>
      </c>
      <c r="K75">
        <f>IF(SUM(E75:J75)&lt;F73,IF((F73-SUM(E75:J75))&lt;F73/C71,F73-SUM(E75:J75),F73/C71),0)</f>
        <v>0</v>
      </c>
      <c r="L75">
        <f>IF(SUM(E75:K75)&lt;F73,IF((F73-SUM(E75:K75))&lt;F73/C71,F73-SUM(E75:K75),F73/C71),0)</f>
        <v>0</v>
      </c>
      <c r="M75">
        <f>IF(SUM(E75:L75)&lt;F73,IF((F73-SUM(E75:L75))&lt;F73/C71,F73-SUM(E75:L75),F73/C71),0)</f>
        <v>0</v>
      </c>
      <c r="N75">
        <f>IF(SUM(E75:M75)&lt;F73,IF((F73-SUM(E75:M75))&lt;F73/C71,F73-SUM(E75:M75),F73/C71),0)</f>
        <v>0</v>
      </c>
      <c r="O75">
        <f>IF(SUM(E75:N75)&lt;F73,IF((F73-SUM(E75:N75))&lt;F73/C71,F73-SUM(E75:N75),F73/C71),0)</f>
        <v>0</v>
      </c>
      <c r="P75">
        <f>IF(SUM(E75:O75)&lt;F73,IF((F73-SUM(E75:O75))&lt;F73/C71,F73-SUM(E75:O75),F73/C71),0)</f>
        <v>0</v>
      </c>
      <c r="Q75">
        <f>IF(SUM(E75:P75)&lt;F73,IF((F73-SUM(E75:P75))&lt;F73/C71,F73-SUM(E75:P75),F73/C71),0)</f>
        <v>0</v>
      </c>
      <c r="R75">
        <f>IF(SUM(E75:Q75)&lt;F73,IF((F73-SUM(E75:Q75))&lt;F73/C71,F73-SUM(E75:Q75),F73/C71),0)</f>
        <v>0</v>
      </c>
      <c r="S75">
        <f>IF(SUM(E75:R75)&lt;F73,IF((F73-SUM(E75:R75))&lt;F73/C71,F73-SUM(E75:R75),F73/C71),0)</f>
        <v>0</v>
      </c>
      <c r="T75">
        <f>IF(SUM(E75:S75)&lt;F73,IF((F73-SUM(E75:S75))&lt;F73/C71,F73-SUM(E75:S75),F73/C71),0)</f>
        <v>0</v>
      </c>
      <c r="U75">
        <f>IF(SUM(E75:T75)&lt;F73,IF((F73-SUM(E75:T75))&lt;F73/C71,F73-SUM(E75:T75),F73/C71),0)</f>
        <v>0</v>
      </c>
      <c r="V75">
        <f>IF(SUM(E75:U75)&lt;F73,IF((F73-SUM(E75:U75))&lt;F73/C71,F73-SUM(E75:U75),F73/C71),0)</f>
        <v>0</v>
      </c>
      <c r="W75">
        <f>IF(SUM(E75:V75)&lt;F73,IF((F73-SUM(E75:V75))&lt;F73/C71,F73-SUM(E75:V75),F73/C71),0)</f>
        <v>0</v>
      </c>
      <c r="X75">
        <f>IF(SUM(E75:W75)&lt;F73,IF((F73-SUM(E75:W75))&lt;F73/C71,F73-SUM(E75:W75),F73/C71),0)</f>
        <v>0</v>
      </c>
    </row>
    <row r="76">
      <c r="B76" t="str">
        <v>第三年投资在各年的折旧</v>
      </c>
      <c r="D76">
        <f>SUM(E76:X76)</f>
        <v>0</v>
      </c>
      <c r="G76">
        <f>H76*(1-G72/12)</f>
        <v>0</v>
      </c>
      <c r="H76">
        <f>G73/C71</f>
        <v>0</v>
      </c>
      <c r="I76">
        <f>IF(SUM(E76:H76)&lt;G73,IF((G73-SUM(E76:H76))&lt;G73/C71,G73-SUM(E76:H76),G73/C71),0)</f>
        <v>0</v>
      </c>
      <c r="J76">
        <f>IF(SUM(E76:I76)&lt;G73,IF((G73-SUM(E76:I76))&lt;G73/C71,G73-SUM(E76:I76),G73/C71),0)</f>
        <v>0</v>
      </c>
      <c r="K76">
        <f>IF(SUM(E76:J76)&lt;G73,IF((G73-SUM(E76:J76))&lt;G73/C71,G73-SUM(E76:J76),G73/C71),0)</f>
        <v>0</v>
      </c>
      <c r="L76">
        <f>IF(SUM(E76:K76)&lt;G73,IF((G73-SUM(E76:K76))&lt;G73/C71,G73-SUM(E76:K76),G73/C71),0)</f>
        <v>0</v>
      </c>
      <c r="M76">
        <f>IF(SUM(E76:L76)&lt;G73,IF((G73-SUM(E76:L76))&lt;G73/C71,G73-SUM(E76:L76),G73/C71),0)</f>
        <v>0</v>
      </c>
      <c r="N76">
        <f>IF(SUM(E76:M76)&lt;G73,IF((G73-SUM(E76:M76))&lt;G73/C71,G73-SUM(E76:M76),G73/C71),0)</f>
        <v>0</v>
      </c>
      <c r="O76">
        <f>IF(SUM(E76:N76)&lt;G73,IF((G73-SUM(E76:N76))&lt;G73/C71,G73-SUM(E76:N76),G73/C71),0)</f>
        <v>0</v>
      </c>
      <c r="P76">
        <f>IF(SUM(E76:O76)&lt;G73,IF((G73-SUM(E76:O76))&lt;G73/C71,G73-SUM(E76:O76),G73/C71),0)</f>
        <v>0</v>
      </c>
      <c r="Q76">
        <f>IF(SUM(E76:P76)&lt;G73,IF((G73-SUM(E76:P76))&lt;G73/C71,G73-SUM(E76:P76),G73/C71),0)</f>
        <v>0</v>
      </c>
      <c r="R76">
        <f>IF(SUM(E76:Q76)&lt;G73,IF((G73-SUM(E76:Q76))&lt;G73/C71,G73-SUM(E76:Q76),G73/C71),0)</f>
        <v>0</v>
      </c>
      <c r="S76">
        <f>IF(SUM(E76:R76)&lt;G73,IF((G73-SUM(E76:R76))&lt;G73/C71,G73-SUM(E76:R76),G73/C71),0)</f>
        <v>0</v>
      </c>
      <c r="T76">
        <f>IF(SUM(E76:S76)&lt;G73,IF((G73-SUM(E76:S76))&lt;G73/C71,G73-SUM(E76:S76),G73/C71),0)</f>
        <v>0</v>
      </c>
      <c r="U76">
        <f>IF(SUM(E76:T76)&lt;G73,IF((G73-SUM(E76:T76))&lt;G73/C71,G73-SUM(E76:T76),G73/C71),0)</f>
        <v>0</v>
      </c>
      <c r="V76">
        <f>IF(SUM(E76:U76)&lt;G73,IF((G73-SUM(E76:U76))&lt;G73/C71,G73-SUM(E76:U76),G73/C71),0)</f>
        <v>0</v>
      </c>
      <c r="W76">
        <f>IF(SUM(E76:V76)&lt;G73,IF((G73-SUM(E76:V76))&lt;G73/C71,G73-SUM(E76:V76),G73/C71),0)</f>
        <v>0</v>
      </c>
      <c r="X76">
        <f>IF(SUM(E76:W76)&lt;G73,IF((G73-SUM(E76:W76))&lt;G73/C71,G73-SUM(E76:W76),G73/C71),0)</f>
        <v>0</v>
      </c>
    </row>
    <row r="77">
      <c r="B77" t="str">
        <v>第四年投资在各年的折旧</v>
      </c>
      <c r="D77">
        <f>SUM(E77:X77)</f>
        <v>0</v>
      </c>
      <c r="H77">
        <f>I77*(1-H72/12)</f>
        <v>0</v>
      </c>
      <c r="I77">
        <f>H73/C71</f>
        <v>0</v>
      </c>
      <c r="J77">
        <f>IF(SUM(E77:I77)&lt;H73,IF((H73-SUM(E77:I77))&lt;H73/C71,H73-SUM(E77:I77),H73/C71),0)</f>
        <v>0</v>
      </c>
      <c r="K77">
        <f>IF(SUM(E77:J77)&lt;H73,IF((H73-SUM(E77:J77))&lt;H73/C71,H73-SUM(E77:J77),H73/C71),0)</f>
        <v>0</v>
      </c>
      <c r="L77">
        <f>IF(SUM(E77:K77)&lt;H73,IF((H73-SUM(E77:K77))&lt;H73/C71,H73-SUM(E77:K77),H73/C71),0)</f>
        <v>0</v>
      </c>
      <c r="M77">
        <f>IF(SUM(E77:L77)&lt;H73,IF((H73-SUM(E77:L77))&lt;H73/C71,H73-SUM(E77:L77),H73/C71),0)</f>
        <v>0</v>
      </c>
      <c r="N77">
        <f>IF(SUM(E77:M77)&lt;H73,IF((H73-SUM(E77:M77))&lt;H73/C71,H73-SUM(E77:M77),H73/C71),0)</f>
        <v>0</v>
      </c>
      <c r="O77">
        <f>IF(SUM(E77:N77)&lt;H73,IF((H73-SUM(E77:N77))&lt;H73/C71,H73-SUM(E77:N77),H73/C71),0)</f>
        <v>0</v>
      </c>
      <c r="P77">
        <f>IF(SUM(E77:O77)&lt;H73,IF((H73-SUM(E77:O77))&lt;H73/C71,H73-SUM(E77:O77),H73/C71),0)</f>
        <v>0</v>
      </c>
      <c r="Q77">
        <f>IF(SUM(E77:P77)&lt;H73,IF((H73-SUM(E77:P77))&lt;H73/C71,H73-SUM(E77:P77),H73/C71),0)</f>
        <v>0</v>
      </c>
      <c r="R77">
        <f>IF(SUM(E77:Q77)&lt;H73,IF((H73-SUM(E77:Q77))&lt;H73/C71,H73-SUM(E77:Q77),H73/C71),0)</f>
        <v>0</v>
      </c>
      <c r="S77">
        <f>IF(SUM(E77:R77)&lt;H73,IF((H73-SUM(E77:R77))&lt;H73/C71,H73-SUM(E77:R77),H73/C71),0)</f>
        <v>0</v>
      </c>
      <c r="T77">
        <f>IF(SUM(E77:S77)&lt;H73,IF((H73-SUM(E77:S77))&lt;H73/C71,H73-SUM(E77:S77),H73/C71),0)</f>
        <v>0</v>
      </c>
      <c r="U77">
        <f>IF(SUM(E77:T77)&lt;H73,IF((H73-SUM(E77:T77))&lt;H73/C71,H73-SUM(E77:T77),H73/C71),0)</f>
        <v>0</v>
      </c>
      <c r="V77">
        <f>IF(SUM(E77:U77)&lt;H73,IF((H73-SUM(E77:U77))&lt;H73/C71,H73-SUM(E77:U77),H73/C71),0)</f>
        <v>0</v>
      </c>
      <c r="W77">
        <f>IF(SUM(E77:V77)&lt;H73,IF((H73-SUM(E77:V77))&lt;H73/C71,H73-SUM(E77:V77),H73/C71),0)</f>
        <v>0</v>
      </c>
      <c r="X77">
        <f>IF(SUM(E77:W77)&lt;H73,IF((H73-SUM(E77:W77))&lt;H73/C71,H73-SUM(E77:W77),H73/C71),0)</f>
        <v>0</v>
      </c>
    </row>
    <row r="78">
      <c r="B78" t="str">
        <v>第五年投资在各年的折旧</v>
      </c>
      <c r="D78">
        <f>SUM(E78:X78)</f>
        <v>0</v>
      </c>
      <c r="I78">
        <f>J78*(1-I72/12)</f>
        <v>0</v>
      </c>
      <c r="J78">
        <f>I73/C71</f>
        <v>0</v>
      </c>
      <c r="K78">
        <f>IF(SUM(E78:J78)&lt;I73,IF((I73-SUM(E78:J78))&lt;I73/C71,I73-SUM(E78:J78),I73/C71),0)</f>
        <v>0</v>
      </c>
      <c r="L78">
        <f>IF(SUM(E78:K78)&lt;I73,IF((I73-SUM(E78:K78))&lt;I73/C71,I73-SUM(E78:K78),I73/C71),0)</f>
        <v>0</v>
      </c>
      <c r="M78">
        <f>IF(SUM(E78:L78)&lt;I73,IF((I73-SUM(E78:L78))&lt;I73/C71,I73-SUM(E78:L78),I73/C71),0)</f>
        <v>0</v>
      </c>
      <c r="N78">
        <f>IF(SUM(E78:M78)&lt;I73,IF((I73-SUM(E78:M78))&lt;I73/C71,I73-SUM(E78:M78),I73/C71),0)</f>
        <v>0</v>
      </c>
      <c r="O78">
        <f>IF(SUM(E78:N78)&lt;I73,IF((I73-SUM(E78:N78))&lt;I73/C71,I73-SUM(E78:N78),I73/C71),0)</f>
        <v>0</v>
      </c>
      <c r="P78">
        <f>IF(SUM(E78:O78)&lt;I73,IF((I73-SUM(E78:O78))&lt;I73/C71,I73-SUM(E78:O78),I73/C71),0)</f>
        <v>0</v>
      </c>
      <c r="Q78">
        <f>IF(SUM(E78:P78)&lt;I73,IF((I73-SUM(E78:P78))&lt;I73/C71,I73-SUM(E78:P78),I73/C71),0)</f>
        <v>0</v>
      </c>
      <c r="R78">
        <f>IF(SUM(E78:Q78)&lt;I73,IF((I73-SUM(E78:Q78))&lt;I73/C71,I73-SUM(E78:Q78),I73/C71),0)</f>
        <v>0</v>
      </c>
      <c r="S78">
        <f>IF(SUM(E78:R78)&lt;I73,IF((I73-SUM(E78:R78))&lt;I73/C71,I73-SUM(E78:R78),I73/C71),0)</f>
        <v>0</v>
      </c>
      <c r="T78">
        <f>IF(SUM(E78:S78)&lt;I73,IF((I73-SUM(E78:S78))&lt;I73/C71,I73-SUM(E78:S78),I73/C71),0)</f>
        <v>0</v>
      </c>
      <c r="U78">
        <f>IF(SUM(E78:T78)&lt;I73,IF((I73-SUM(E78:T78))&lt;I73/C71,I73-SUM(E78:T78),I73/C71),0)</f>
        <v>0</v>
      </c>
      <c r="V78">
        <f>IF(SUM(E78:U78)&lt;I73,IF((I73-SUM(E78:U78))&lt;I73/C71,I73-SUM(E78:U78),I73/C71),0)</f>
        <v>0</v>
      </c>
      <c r="W78">
        <f>IF(SUM(E78:V78)&lt;I73,IF((I73-SUM(E78:V78))&lt;I73/C71,I73-SUM(E78:V78),I73/C71),0)</f>
        <v>0</v>
      </c>
      <c r="X78">
        <f>IF(SUM(E78:W78)&lt;I73,IF((I73-SUM(E78:W78))&lt;I73/C71,I73-SUM(E78:W78),I73/C71),0)</f>
        <v>0</v>
      </c>
    </row>
    <row r="79">
      <c r="B79" t="str">
        <v>第六年投资在各年的折旧</v>
      </c>
      <c r="D79">
        <f>SUM(E79:X79)</f>
        <v>0</v>
      </c>
      <c r="J79">
        <f>K79*(1-J72/12)</f>
        <v>0</v>
      </c>
      <c r="K79">
        <f>J73/C71</f>
        <v>0</v>
      </c>
      <c r="L79">
        <f>IF(SUM(E79:K79)&lt;J73,IF((J73-SUM(E79:K79))&lt;J73/C71,J73-SUM(E79:K79),J73/C71),0)</f>
        <v>0</v>
      </c>
      <c r="M79">
        <f>IF(SUM(E79:L79)&lt;J73,IF((J73-SUM(E79:L79))&lt;J73/C71,J73-SUM(E79:L79),J73/C71),0)</f>
        <v>0</v>
      </c>
      <c r="N79">
        <f>IF(SUM(E79:M79)&lt;J73,IF((J73-SUM(E79:M79))&lt;J73/C71,J73-SUM(E79:M79),J73/C71),0)</f>
        <v>0</v>
      </c>
      <c r="O79">
        <f>IF(SUM(E79:N79)&lt;J73,IF((J73-SUM(E79:N79))&lt;J73/C71,J73-SUM(E79:N79),J73/C71),0)</f>
        <v>0</v>
      </c>
      <c r="P79">
        <f>IF(SUM(E79:O79)&lt;J73,IF((J73-SUM(E79:O79))&lt;J73/C71,J73-SUM(E79:O79),J73/C71),0)</f>
        <v>0</v>
      </c>
      <c r="Q79">
        <f>IF(SUM(E79:P79)&lt;J73,IF((J73-SUM(E79:P79))&lt;J73/C71,J73-SUM(E79:P79),J73/C71),0)</f>
        <v>0</v>
      </c>
      <c r="R79">
        <f>IF(SUM(E79:Q79)&lt;J73,IF((J73-SUM(E79:Q79))&lt;J73/C71,J73-SUM(E79:Q79),J73/C71),0)</f>
        <v>0</v>
      </c>
      <c r="S79">
        <f>IF(SUM(E79:R79)&lt;J73,IF((J73-SUM(E79:R79))&lt;J73/C71,J73-SUM(E79:R79),J73/C71),0)</f>
        <v>0</v>
      </c>
      <c r="T79">
        <f>IF(SUM(E79:S79)&lt;J73,IF((J73-SUM(E79:S79))&lt;J73/C71,J73-SUM(E79:S79),J73/C71),0)</f>
        <v>0</v>
      </c>
      <c r="U79">
        <f>IF(SUM(E79:T79)&lt;J73,IF((J73-SUM(E79:T79))&lt;J73/C71,J73-SUM(E79:T79),J73/C71),0)</f>
        <v>0</v>
      </c>
      <c r="V79">
        <f>IF(SUM(E79:U79)&lt;J73,IF((J73-SUM(E79:U79))&lt;J73/C71,J73-SUM(E79:U79),J73/C71),0)</f>
        <v>0</v>
      </c>
      <c r="W79">
        <f>IF(SUM(E79:V79)&lt;J73,IF((J73-SUM(E79:V79))&lt;J73/C71,J73-SUM(E79:V79),J73/C71),0)</f>
        <v>0</v>
      </c>
      <c r="X79">
        <f>IF(SUM(E79:W79)&lt;J73,IF((J73-SUM(E79:W79))&lt;J73/C71,J73-SUM(E79:W79),J73/C71),0)</f>
        <v>0</v>
      </c>
    </row>
    <row r="80">
      <c r="B80" t="str">
        <v>第七年投资在各年的折旧</v>
      </c>
      <c r="D80">
        <f>SUM(E80:X80)</f>
        <v>0</v>
      </c>
      <c r="K80">
        <f>L80*(1-K72/12)</f>
        <v>0</v>
      </c>
      <c r="L80">
        <f>K73/C71</f>
        <v>0</v>
      </c>
      <c r="M80">
        <f>IF(SUM(E80:L80)&lt;K73,IF((K73-SUM(E80:L80))&lt;K73/C71,K73-SUM(E80:L80),K73/C71),0)</f>
        <v>0</v>
      </c>
      <c r="N80">
        <f>IF(SUM(E80:M80)&lt;K73,IF((K73-SUM(E80:M80))&lt;K73/C71,K73-SUM(E80:M80),K73/C71),0)</f>
        <v>0</v>
      </c>
      <c r="O80">
        <f>IF(SUM(E80:N80)&lt;K73,IF((K73-SUM(E80:N80))&lt;K73/C71,K73-SUM(E80:N80),K73/C71),0)</f>
        <v>0</v>
      </c>
      <c r="P80">
        <f>IF(SUM(E80:O80)&lt;K73,IF((K73-SUM(E80:O80))&lt;K73/C71,K73-SUM(E80:O80),K73/C71),0)</f>
        <v>0</v>
      </c>
      <c r="Q80">
        <f>IF(SUM(E80:P80)&lt;K73,IF((K73-SUM(E80:P80))&lt;K73/C71,K73-SUM(E80:P80),K73/C71),0)</f>
        <v>0</v>
      </c>
      <c r="R80">
        <f>IF(SUM(E80:Q80)&lt;K73,IF((K73-SUM(E80:Q80))&lt;K73/C71,K73-SUM(E80:Q80),K73/C71),0)</f>
        <v>0</v>
      </c>
      <c r="S80">
        <f>IF(SUM(E80:R80)&lt;K73,IF((K73-SUM(E80:R80))&lt;K73/C71,K73-SUM(E80:R80),K73/C71),0)</f>
        <v>0</v>
      </c>
      <c r="T80">
        <f>IF(SUM(E80:S80)&lt;K73,IF((K73-SUM(E80:S80))&lt;K73/C71,K73-SUM(E80:S80),K73/C71),0)</f>
        <v>0</v>
      </c>
      <c r="U80">
        <f>IF(SUM(E80:T80)&lt;K73,IF((K73-SUM(E80:T80))&lt;K73/C71,K73-SUM(E80:T80),K73/C71),0)</f>
        <v>0</v>
      </c>
      <c r="V80">
        <f>IF(SUM(E80:U80)&lt;K73,IF((K73-SUM(E80:U80))&lt;K73/C71,K73-SUM(E80:U80),K73/C71),0)</f>
        <v>0</v>
      </c>
      <c r="W80">
        <f>IF(SUM(E80:V80)&lt;K73,IF((K73-SUM(E80:V80))&lt;K73/C71,K73-SUM(E80:V80),K73/C71),0)</f>
        <v>0</v>
      </c>
      <c r="X80">
        <f>IF(SUM(E80:W80)&lt;K73,IF((K73-SUM(E80:W80))&lt;K73/C71,K73-SUM(E80:W80),K73/C71),0)</f>
        <v>0</v>
      </c>
    </row>
    <row r="81">
      <c r="B81" t="str">
        <v>第八年投资在各年的折旧</v>
      </c>
      <c r="D81">
        <f>SUM(E81:X81)</f>
        <v>0</v>
      </c>
      <c r="L81">
        <f>M81*(1-L72/12)</f>
        <v>0</v>
      </c>
      <c r="M81">
        <f>L73/C71</f>
        <v>0</v>
      </c>
      <c r="N81">
        <f>IF(SUM(E81:M81)&lt;L73,IF((L73-SUM(E81:M81))&lt;L73/C71,L73-SUM(E81:M81),L73/C71),0)</f>
        <v>0</v>
      </c>
      <c r="O81">
        <f>IF(SUM(E81:N81)&lt;L73,IF((L73-SUM(E81:N81))&lt;L73/C71,L73-SUM(E81:N81),L73/C71),0)</f>
        <v>0</v>
      </c>
      <c r="P81">
        <f>IF(SUM(E81:O81)&lt;L73,IF((L73-SUM(E81:O81))&lt;L73/C71,L73-SUM(E81:O81),L73/C71),0)</f>
        <v>0</v>
      </c>
      <c r="Q81">
        <f>IF(SUM(E81:P81)&lt;L73,IF((L73-SUM(E81:P81))&lt;L73/C71,L73-SUM(E81:P81),L73/C71),0)</f>
        <v>0</v>
      </c>
      <c r="R81">
        <f>IF(SUM(E81:Q81)&lt;L73,IF((L73-SUM(E81:Q81))&lt;L73/C71,L73-SUM(E81:Q81),L73/C71),0)</f>
        <v>0</v>
      </c>
      <c r="S81">
        <f>IF(SUM(E81:R81)&lt;L73,IF((L73-SUM(E81:R81))&lt;L73/C71,L73-SUM(E81:R81),L73/C71),0)</f>
        <v>0</v>
      </c>
      <c r="T81">
        <f>IF(SUM(E81:S81)&lt;L73,IF((L73-SUM(E81:S81))&lt;L73/C71,L73-SUM(E81:S81),L73/C71),0)</f>
        <v>0</v>
      </c>
      <c r="U81">
        <f>IF(SUM(E81:T81)&lt;L73,IF((L73-SUM(E81:T81))&lt;L73/C71,L73-SUM(E81:T81),L73/C71),0)</f>
        <v>0</v>
      </c>
      <c r="V81">
        <f>IF(SUM(E81:U81)&lt;L73,IF((L73-SUM(E81:U81))&lt;L73/C71,L73-SUM(E81:U81),L73/C71),0)</f>
        <v>0</v>
      </c>
      <c r="W81">
        <f>IF(SUM(E81:V81)&lt;L73,IF((L73-SUM(E81:V81))&lt;L73/C71,L73-SUM(E81:V81),L73/C71),0)</f>
        <v>0</v>
      </c>
      <c r="X81">
        <f>IF(SUM(E81:W81)&lt;L73,IF((L73-SUM(E81:W81))&lt;L73/C71,L73-SUM(E81:W81),L73/C71),0)</f>
        <v>0</v>
      </c>
    </row>
    <row r="82">
      <c r="B82" t="str">
        <v>第九年投资在各年的折旧</v>
      </c>
      <c r="D82">
        <f>SUM(E82:X82)</f>
        <v>0</v>
      </c>
      <c r="M82">
        <f>N82*(1-M72/12)</f>
        <v>0</v>
      </c>
      <c r="N82">
        <f>M73/C71</f>
        <v>0</v>
      </c>
      <c r="O82">
        <f>IF(SUM(E82:N82)&lt;M73,IF((M73-SUM(E82:N82))&lt;M73/C71,M73-SUM(E82:N82),M73/C71),0)</f>
        <v>0</v>
      </c>
      <c r="P82">
        <f>IF(SUM(E82:O82)&lt;M73,IF((M73-SUM(E82:O82))&lt;M73/C71,M73-SUM(E82:O82),M73/C71),0)</f>
        <v>0</v>
      </c>
      <c r="Q82">
        <f>IF(SUM(E82:P82)&lt;M73,IF((M73-SUM(E82:P82))&lt;M73/C71,M73-SUM(E82:P82),M73/C71),0)</f>
        <v>0</v>
      </c>
      <c r="R82">
        <f>IF(SUM(E82:Q82)&lt;M73,IF((M73-SUM(E82:Q82))&lt;M73/C71,M73-SUM(E82:Q82),M73/C71),0)</f>
        <v>0</v>
      </c>
      <c r="S82">
        <f>IF(SUM(E82:R82)&lt;M73,IF((M73-SUM(E82:R82))&lt;M73/C71,M73-SUM(E82:R82),M73/C71),0)</f>
        <v>0</v>
      </c>
      <c r="T82">
        <f>IF(SUM(E82:S82)&lt;M73,IF((M73-SUM(E82:S82))&lt;M73/C71,M73-SUM(E82:S82),M73/C71),0)</f>
        <v>0</v>
      </c>
      <c r="U82">
        <f>IF(SUM(E82:T82)&lt;M73,IF((M73-SUM(E82:T82))&lt;M73/C71,M73-SUM(E82:T82),M73/C71),0)</f>
        <v>0</v>
      </c>
      <c r="V82">
        <f>IF(SUM(E82:U82)&lt;M73,IF((M73-SUM(E82:U82))&lt;M73/C71,M73-SUM(E82:U82),M73/C71),0)</f>
        <v>0</v>
      </c>
      <c r="W82">
        <f>IF(SUM(E82:V82)&lt;M73,IF((M73-SUM(E82:V82))&lt;M73/C71,M73-SUM(E82:V82),M73/C71),0)</f>
        <v>0</v>
      </c>
      <c r="X82">
        <f>IF(SUM(E82:W82)&lt;M73,IF((M73-SUM(E82:W82))&lt;M73/C71,M73-SUM(E82:W82),M73/C71),0)</f>
        <v>0</v>
      </c>
    </row>
    <row r="83">
      <c r="B83" t="str">
        <v>第十年投资在各年的折旧</v>
      </c>
      <c r="D83">
        <f>SUM(E83:X83)</f>
        <v>0</v>
      </c>
      <c r="N83">
        <f>O83*(1-N72/12)</f>
        <v>0</v>
      </c>
      <c r="O83">
        <f>N73/C71</f>
        <v>0</v>
      </c>
      <c r="P83">
        <f>IF(SUM(E83:O83)&lt;N73,IF((N73-SUM(E83:O83))&lt;N73/C71,N73-SUM(E83:O83),N73/C71),0)</f>
        <v>0</v>
      </c>
      <c r="Q83">
        <f>IF(SUM(E83:P83)&lt;N73,IF((N73-SUM(E83:P83))&lt;N73/C71,N73-SUM(E83:P83),N73/C71),0)</f>
        <v>0</v>
      </c>
      <c r="R83">
        <f>IF(SUM(E83:Q83)&lt;N73,IF((N73-SUM(E83:Q83))&lt;N73/C71,N73-SUM(E83:Q83),N73/C71),0)</f>
        <v>0</v>
      </c>
      <c r="S83">
        <f>IF(SUM(E83:R83)&lt;N73,IF((N73-SUM(E83:R83))&lt;N73/C71,N73-SUM(E83:R83),N73/C71),0)</f>
        <v>0</v>
      </c>
      <c r="T83">
        <f>IF(SUM(E83:S83)&lt;N73,IF((N73-SUM(E83:S83))&lt;N73/C71,N73-SUM(E83:S83),N73/C71),0)</f>
        <v>0</v>
      </c>
      <c r="U83">
        <f>IF(SUM(E83:T83)&lt;N73,IF((N73-SUM(E83:T83))&lt;N73/C71,N73-SUM(E83:T83),N73/C71),0)</f>
        <v>0</v>
      </c>
      <c r="V83">
        <f>IF(SUM(E83:U83)&lt;N73,IF((N73-SUM(E83:U83))&lt;N73/C71,N73-SUM(E83:U83),N73/C71),0)</f>
        <v>0</v>
      </c>
      <c r="W83">
        <f>IF(SUM(E83:V83)&lt;N73,IF((N73-SUM(E83:V83))&lt;N73/C71,N73-SUM(E83:V83),N73/C71),0)</f>
        <v>0</v>
      </c>
      <c r="X83">
        <f>IF(SUM(E83:W83)&lt;N73,IF((N73-SUM(E83:W83))&lt;N73/C71,N73-SUM(E83:W83),N73/C71),0)</f>
        <v>0</v>
      </c>
    </row>
    <row r="84">
      <c r="B84" t="str">
        <v>第十一年投资在各年的折旧</v>
      </c>
      <c r="D84">
        <f>SUM(E84:X84)</f>
        <v>0</v>
      </c>
      <c r="O84">
        <f>P84*(1-O72/12)</f>
        <v>0</v>
      </c>
      <c r="P84">
        <f>O73/C71</f>
        <v>0</v>
      </c>
      <c r="Q84">
        <f>IF(SUM(E84:P84)&lt;O73,IF((O73-SUM(E84:P84))&lt;O73/C71,O73-SUM(E84:P84),O73/C71),0)</f>
        <v>0</v>
      </c>
      <c r="R84">
        <f>IF(SUM(E84:Q84)&lt;O73,IF((O73-SUM(E84:Q84))&lt;O73/C71,O73-SUM(E84:Q84),O73/C71),0)</f>
        <v>0</v>
      </c>
      <c r="S84">
        <f>IF(SUM(E84:R84)&lt;O73,IF((O73-SUM(E84:R84))&lt;O73/C71,O73-SUM(E84:R84),O73/C71),0)</f>
        <v>0</v>
      </c>
      <c r="T84">
        <f>IF(SUM(E84:S84)&lt;O73,IF((O73-SUM(E84:S84))&lt;O73/C71,O73-SUM(E84:S84),O73/C71),0)</f>
        <v>0</v>
      </c>
      <c r="U84">
        <f>IF(SUM(E84:T84)&lt;O73,IF((O73-SUM(E84:T84))&lt;O73/C71,O73-SUM(E84:T84),O73/C71),0)</f>
        <v>0</v>
      </c>
      <c r="V84">
        <f>IF(SUM(E84:U84)&lt;O73,IF((O73-SUM(E84:U84))&lt;O73/C71,O73-SUM(E84:U84),O73/C71),0)</f>
        <v>0</v>
      </c>
      <c r="W84">
        <f>IF(SUM(E84:V84)&lt;O73,IF((O73-SUM(E84:V84))&lt;O73/C71,O73-SUM(E84:V84),O73/C71),0)</f>
        <v>0</v>
      </c>
      <c r="X84">
        <f>IF(SUM(E84:W84)&lt;O73,IF((O73-SUM(E84:W84))&lt;O73/C71,O73-SUM(E84:W84),O73/C71),0)</f>
        <v>0</v>
      </c>
    </row>
    <row r="86">
      <c r="A86" t="str">
        <v>校验：</v>
      </c>
      <c r="D86" t="str">
        <v>合计</v>
      </c>
      <c r="E86" t="str">
        <v>第一年</v>
      </c>
      <c r="F86" t="str">
        <v>第二年</v>
      </c>
      <c r="G86" t="str">
        <v>第三年</v>
      </c>
      <c r="H86" t="str">
        <v>第四年</v>
      </c>
      <c r="I86" t="str">
        <v>第五年</v>
      </c>
      <c r="J86" t="str">
        <v>第六年</v>
      </c>
      <c r="K86" t="str">
        <v>第七年</v>
      </c>
      <c r="L86" t="str">
        <v>第八年</v>
      </c>
      <c r="M86" t="str">
        <v>第九年</v>
      </c>
      <c r="N86" t="str">
        <v>第十年</v>
      </c>
    </row>
    <row r="87">
      <c r="A87" t="str">
        <v>①《折旧及摊销辅助测算表》-各年各类设备转资规模各类投资规模</v>
      </c>
      <c r="D87">
        <f>D9+D25+D41+D57+D73</f>
        <v>0</v>
      </c>
      <c r="E87">
        <f>E9+E25+E41+E57+E73</f>
        <v>0</v>
      </c>
      <c r="F87">
        <f>F9+F25+F41+F57+F73</f>
        <v>0</v>
      </c>
      <c r="G87">
        <f>G9+G25+G41+G57+G73</f>
        <v>0</v>
      </c>
      <c r="H87">
        <f>H9+H25+H41+H57+H73</f>
        <v>0</v>
      </c>
      <c r="I87">
        <f>I9+I25+I41+I57+I73</f>
        <v>0</v>
      </c>
      <c r="J87">
        <f>J9+J25+J41+J57+J73</f>
        <v>0</v>
      </c>
      <c r="K87">
        <f>K9+K25+K41+K57+K73</f>
        <v>0</v>
      </c>
      <c r="L87">
        <f>L9+L25+L41+L57+L73</f>
        <v>0</v>
      </c>
      <c r="M87">
        <f>M9+M25+M41+M57+M73</f>
        <v>0</v>
      </c>
      <c r="N87">
        <f>N9+N25+N41+N57+N73</f>
        <v>0</v>
      </c>
    </row>
    <row r="88">
      <c r="A88" t="str">
        <v>②《数据明细表》的项目建设支出</v>
      </c>
      <c r="D88">
        <f>SUM([1]数据明细表!F40:F50)</f>
        <v>20</v>
      </c>
      <c r="E88">
        <f>SUM([1]数据明细表!H40:H50)</f>
        <v>20</v>
      </c>
      <c r="F88">
        <f>SUM([1]数据明细表!I40:I50)</f>
        <v>0</v>
      </c>
      <c r="G88">
        <f>SUM([1]数据明细表!J40:J50)</f>
        <v>0</v>
      </c>
      <c r="H88">
        <f>SUM([1]数据明细表!K40:K50)</f>
        <v>0</v>
      </c>
      <c r="I88">
        <f>SUM([1]数据明细表!L40:L50)</f>
        <v>0</v>
      </c>
      <c r="J88">
        <f>SUM([1]数据明细表!M40:M50)</f>
        <v>0</v>
      </c>
      <c r="K88">
        <f>SUM([1]数据明细表!N40:N50)</f>
        <v>0</v>
      </c>
      <c r="L88">
        <f>SUM([1]数据明细表!O40:O50)</f>
        <v>0</v>
      </c>
      <c r="M88">
        <f>SUM([1]数据明细表!P40:P50)</f>
        <v>0</v>
      </c>
      <c r="N88">
        <f>SUM([1]数据明细表!Q40:Q50)</f>
        <v>0</v>
      </c>
    </row>
    <row r="89">
      <c r="A89" t="str">
        <v>①-②核对</v>
      </c>
      <c r="D89">
        <f>D87-D88</f>
        <v>-20</v>
      </c>
      <c r="E89">
        <f>E87-E88</f>
        <v>-20</v>
      </c>
      <c r="F89">
        <f>F87-F88</f>
        <v>0</v>
      </c>
      <c r="G89">
        <f>G87-G88</f>
        <v>0</v>
      </c>
      <c r="H89">
        <f>H87-H88</f>
        <v>0</v>
      </c>
      <c r="I89">
        <f>I87-I88</f>
        <v>0</v>
      </c>
      <c r="J89">
        <f>J87-J88</f>
        <v>0</v>
      </c>
      <c r="K89">
        <f>K87-K88</f>
        <v>0</v>
      </c>
      <c r="L89">
        <f>L87-L88</f>
        <v>0</v>
      </c>
      <c r="M89">
        <f>M87-M88</f>
        <v>0</v>
      </c>
      <c r="N89">
        <f>N87-N88</f>
        <v>0</v>
      </c>
    </row>
    <row r="90">
      <c r="A90" t="str">
        <v>校验备注：《折旧及摊销辅助测算表》-各年各类设备转资规模合计数等于《数据明细表》的项目建设支出合计数。</v>
      </c>
    </row>
  </sheetData>
  <mergeCells count="15">
    <mergeCell ref="A86:C86"/>
    <mergeCell ref="A87:C87"/>
    <mergeCell ref="A88:C88"/>
    <mergeCell ref="A89:C89"/>
    <mergeCell ref="A4:A84"/>
    <mergeCell ref="D39:X39"/>
    <mergeCell ref="B53:X53"/>
    <mergeCell ref="D55:X55"/>
    <mergeCell ref="B69:X69"/>
    <mergeCell ref="D71:X71"/>
    <mergeCell ref="A1:X1"/>
    <mergeCell ref="A2:B2"/>
    <mergeCell ref="A3:C3"/>
    <mergeCell ref="D7:X7"/>
    <mergeCell ref="D23:X23"/>
  </mergeCells>
  <pageMargins left="0.75" right="0.75" top="1" bottom="1" header="0.5" footer="0.5"/>
  <ignoredErrors>
    <ignoredError numberStoredAsText="1" sqref="A1:X90"/>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模型说明</vt:lpstr>
      <vt:lpstr>综合评估表</vt:lpstr>
      <vt:lpstr>收入支出明细表（基础数据表）</vt:lpstr>
      <vt:lpstr>收入支出明细表（含税）</vt:lpstr>
      <vt:lpstr>收入支出明细表（不含税)</vt:lpstr>
      <vt:lpstr>现金流量明细表</vt:lpstr>
      <vt:lpstr>折旧及摊销辅助明细表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2006-09-13T11:21:00Z</dcterms:created>
  <dcterms:modified xsi:type="dcterms:W3CDTF">2024-10-14T12:03:17Z</dcterms:modified>
  <cp:lastModifiedBy>Wayne W</cp:lastModifiedBy>
  <dc:creator>Administrator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ICV">
    <vt:lpwstr>E1507A9FF8B94C079474BB27B8657B41</vt:lpwstr>
  </property>
  <property fmtid="{D5CDD505-2E9C-101B-9397-08002B2CF9AE}" pid="5" name="KSOProductBuildVer">
    <vt:lpwstr>2052-11.8.2.11716</vt:lpwstr>
  </property>
</Properties>
</file>